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pivotCache/pivotCacheRecords7.xml" ContentType="application/vnd.openxmlformats-officedocument.spreadsheetml.pivotCacheRecords+xml"/>
  <Override PartName="/xl/pivotCache/pivotCacheDefinition8.xml" ContentType="application/vnd.openxmlformats-officedocument.spreadsheetml.pivotCacheDefinition+xml"/>
  <Override PartName="/xl/pivotCache/pivotCacheRecords8.xml" ContentType="application/vnd.openxmlformats-officedocument.spreadsheetml.pivotCacheRecords+xml"/>
  <Override PartName="/xl/pivotCache/pivotCacheDefinition9.xml" ContentType="application/vnd.openxmlformats-officedocument.spreadsheetml.pivotCacheDefinition+xml"/>
  <Override PartName="/xl/pivotCache/pivotCacheRecords9.xml" ContentType="application/vnd.openxmlformats-officedocument.spreadsheetml.pivotCacheRecords+xml"/>
  <Override PartName="/xl/pivotCache/pivotCacheDefinition10.xml" ContentType="application/vnd.openxmlformats-officedocument.spreadsheetml.pivotCacheDefinition+xml"/>
  <Override PartName="/xl/pivotCache/pivotCacheRecords10.xml" ContentType="application/vnd.openxmlformats-officedocument.spreadsheetml.pivotCacheRecords+xml"/>
  <Override PartName="/xl/pivotCache/pivotCacheDefinition11.xml" ContentType="application/vnd.openxmlformats-officedocument.spreadsheetml.pivotCacheDefinition+xml"/>
  <Override PartName="/xl/pivotCache/pivotCacheRecords11.xml" ContentType="application/vnd.openxmlformats-officedocument.spreadsheetml.pivotCacheRecords+xml"/>
  <Override PartName="/xl/pivotCache/pivotCacheDefinition12.xml" ContentType="application/vnd.openxmlformats-officedocument.spreadsheetml.pivotCacheDefinition+xml"/>
  <Override PartName="/xl/pivotCache/pivotCacheRecords12.xml" ContentType="application/vnd.openxmlformats-officedocument.spreadsheetml.pivotCacheRecords+xml"/>
  <Override PartName="/xl/pivotCache/pivotCacheDefinition13.xml" ContentType="application/vnd.openxmlformats-officedocument.spreadsheetml.pivotCacheDefinition+xml"/>
  <Override PartName="/xl/pivotCache/pivotCacheRecords13.xml" ContentType="application/vnd.openxmlformats-officedocument.spreadsheetml.pivotCacheRecords+xml"/>
  <Override PartName="/xl/pivotCache/pivotCacheDefinition14.xml" ContentType="application/vnd.openxmlformats-officedocument.spreadsheetml.pivotCacheDefinition+xml"/>
  <Override PartName="/xl/pivotCache/pivotCacheRecords14.xml" ContentType="application/vnd.openxmlformats-officedocument.spreadsheetml.pivotCacheRecords+xml"/>
  <Override PartName="/xl/pivotCache/pivotCacheDefinition15.xml" ContentType="application/vnd.openxmlformats-officedocument.spreadsheetml.pivotCacheDefinition+xml"/>
  <Override PartName="/xl/pivotCache/pivotCacheRecords15.xml" ContentType="application/vnd.openxmlformats-officedocument.spreadsheetml.pivotCacheRecords+xml"/>
  <Override PartName="/xl/pivotCache/pivotCacheDefinition16.xml" ContentType="application/vnd.openxmlformats-officedocument.spreadsheetml.pivotCacheDefinition+xml"/>
  <Override PartName="/xl/pivotCache/pivotCacheRecords16.xml" ContentType="application/vnd.openxmlformats-officedocument.spreadsheetml.pivotCacheRecords+xml"/>
  <Override PartName="/xl/pivotCache/pivotCacheDefinition17.xml" ContentType="application/vnd.openxmlformats-officedocument.spreadsheetml.pivotCacheDefinition+xml"/>
  <Override PartName="/xl/pivotCache/pivotCacheRecords17.xml" ContentType="application/vnd.openxmlformats-officedocument.spreadsheetml.pivotCacheRecords+xml"/>
  <Override PartName="/xl/pivotCache/pivotCacheDefinition18.xml" ContentType="application/vnd.openxmlformats-officedocument.spreadsheetml.pivotCacheDefinition+xml"/>
  <Override PartName="/xl/pivotCache/pivotCacheRecords18.xml" ContentType="application/vnd.openxmlformats-officedocument.spreadsheetml.pivotCacheRecords+xml"/>
  <Override PartName="/xl/pivotCache/pivotCacheDefinition19.xml" ContentType="application/vnd.openxmlformats-officedocument.spreadsheetml.pivotCacheDefinition+xml"/>
  <Override PartName="/xl/pivotCache/pivotCacheRecords19.xml" ContentType="application/vnd.openxmlformats-officedocument.spreadsheetml.pivotCacheRecords+xml"/>
  <Override PartName="/xl/pivotCache/pivotCacheDefinition20.xml" ContentType="application/vnd.openxmlformats-officedocument.spreadsheetml.pivotCacheDefinition+xml"/>
  <Override PartName="/xl/pivotCache/pivotCacheRecords20.xml" ContentType="application/vnd.openxmlformats-officedocument.spreadsheetml.pivotCacheRecords+xml"/>
  <Override PartName="/xl/pivotCache/pivotCacheDefinition21.xml" ContentType="application/vnd.openxmlformats-officedocument.spreadsheetml.pivotCacheDefinition+xml"/>
  <Override PartName="/xl/pivotCache/pivotCacheRecords2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pivotTables/pivotTable6.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9.xml" ContentType="application/vnd.openxmlformats-officedocument.spreadsheetml.table+xml"/>
  <Override PartName="/xl/queryTables/queryTable9.xml" ContentType="application/vnd.openxmlformats-officedocument.spreadsheetml.queryTable+xml"/>
  <Override PartName="/xl/tables/table10.xml" ContentType="application/vnd.openxmlformats-officedocument.spreadsheetml.table+xml"/>
  <Override PartName="/xl/queryTables/queryTable10.xml" ContentType="application/vnd.openxmlformats-officedocument.spreadsheetml.queryTable+xml"/>
  <Override PartName="/xl/tables/table11.xml" ContentType="application/vnd.openxmlformats-officedocument.spreadsheetml.table+xml"/>
  <Override PartName="/xl/queryTables/queryTable11.xml" ContentType="application/vnd.openxmlformats-officedocument.spreadsheetml.query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ables/table12.xml" ContentType="application/vnd.openxmlformats-officedocument.spreadsheetml.table+xml"/>
  <Override PartName="/xl/queryTables/queryTable12.xml" ContentType="application/vnd.openxmlformats-officedocument.spreadsheetml.queryTable+xml"/>
  <Override PartName="/xl/tables/table13.xml" ContentType="application/vnd.openxmlformats-officedocument.spreadsheetml.table+xml"/>
  <Override PartName="/xl/queryTables/queryTable13.xml" ContentType="application/vnd.openxmlformats-officedocument.spreadsheetml.queryTable+xml"/>
  <Override PartName="/xl/drawings/drawing5.xml" ContentType="application/vnd.openxmlformats-officedocument.drawing+xml"/>
  <Override PartName="/xl/tables/table14.xml" ContentType="application/vnd.openxmlformats-officedocument.spreadsheetml.table+xml"/>
  <Override PartName="/xl/tables/table15.xml" ContentType="application/vnd.openxmlformats-officedocument.spreadsheetml.tab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Ex1.xml" ContentType="application/vnd.ms-office.chartex+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tables/table16.xml" ContentType="application/vnd.openxmlformats-officedocument.spreadsheetml.table+xml"/>
  <Override PartName="/xl/queryTables/queryTable14.xml" ContentType="application/vnd.openxmlformats-officedocument.spreadsheetml.queryTable+xml"/>
  <Override PartName="/xl/tables/table17.xml" ContentType="application/vnd.openxmlformats-officedocument.spreadsheetml.table+xml"/>
  <Override PartName="/xl/queryTables/queryTable15.xml" ContentType="application/vnd.openxmlformats-officedocument.spreadsheetml.queryTable+xml"/>
  <Override PartName="/xl/tables/table18.xml" ContentType="application/vnd.openxmlformats-officedocument.spreadsheetml.table+xml"/>
  <Override PartName="/xl/queryTables/queryTable16.xml" ContentType="application/vnd.openxmlformats-officedocument.spreadsheetml.queryTable+xml"/>
  <Override PartName="/xl/pivotTables/pivotTable9.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tables/table19.xml" ContentType="application/vnd.openxmlformats-officedocument.spreadsheetml.table+xml"/>
  <Override PartName="/xl/queryTables/queryTable17.xml" ContentType="application/vnd.openxmlformats-officedocument.spreadsheetml.queryTable+xml"/>
  <Override PartName="/xl/tables/table20.xml" ContentType="application/vnd.openxmlformats-officedocument.spreadsheetml.table+xml"/>
  <Override PartName="/xl/queryTables/queryTable18.xml" ContentType="application/vnd.openxmlformats-officedocument.spreadsheetml.queryTable+xml"/>
  <Override PartName="/xl/tables/table21.xml" ContentType="application/vnd.openxmlformats-officedocument.spreadsheetml.table+xml"/>
  <Override PartName="/xl/queryTables/queryTable19.xml" ContentType="application/vnd.openxmlformats-officedocument.spreadsheetml.queryTable+xml"/>
  <Override PartName="/xl/tables/table22.xml" ContentType="application/vnd.openxmlformats-officedocument.spreadsheetml.table+xml"/>
  <Override PartName="/xl/queryTables/queryTable20.xml" ContentType="application/vnd.openxmlformats-officedocument.spreadsheetml.query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tables/table23.xml" ContentType="application/vnd.openxmlformats-officedocument.spreadsheetml.table+xml"/>
  <Override PartName="/xl/queryTables/queryTable21.xml" ContentType="application/vnd.openxmlformats-officedocument.spreadsheetml.queryTable+xml"/>
  <Override PartName="/xl/tables/table24.xml" ContentType="application/vnd.openxmlformats-officedocument.spreadsheetml.table+xml"/>
  <Override PartName="/xl/queryTables/queryTable22.xml" ContentType="application/vnd.openxmlformats-officedocument.spreadsheetml.queryTable+xml"/>
  <Override PartName="/xl/tables/table25.xml" ContentType="application/vnd.openxmlformats-officedocument.spreadsheetml.table+xml"/>
  <Override PartName="/xl/queryTables/queryTable23.xml" ContentType="application/vnd.openxmlformats-officedocument.spreadsheetml.queryTable+xml"/>
  <Override PartName="/xl/tables/table26.xml" ContentType="application/vnd.openxmlformats-officedocument.spreadsheetml.table+xml"/>
  <Override PartName="/xl/queryTables/queryTable24.xml" ContentType="application/vnd.openxmlformats-officedocument.spreadsheetml.query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8.xml" ContentType="application/vnd.openxmlformats-officedocument.drawing+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tables/table27.xml" ContentType="application/vnd.openxmlformats-officedocument.spreadsheetml.table+xml"/>
  <Override PartName="/xl/queryTables/queryTable25.xml" ContentType="application/vnd.openxmlformats-officedocument.spreadsheetml.queryTable+xml"/>
  <Override PartName="/xl/tables/table28.xml" ContentType="application/vnd.openxmlformats-officedocument.spreadsheetml.table+xml"/>
  <Override PartName="/xl/queryTables/queryTable26.xml" ContentType="application/vnd.openxmlformats-officedocument.spreadsheetml.queryTable+xml"/>
  <Override PartName="/xl/tables/table29.xml" ContentType="application/vnd.openxmlformats-officedocument.spreadsheetml.table+xml"/>
  <Override PartName="/xl/queryTables/queryTable27.xml" ContentType="application/vnd.openxmlformats-officedocument.spreadsheetml.query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9.xml" ContentType="application/vnd.openxmlformats-officedocument.drawing+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tables/table30.xml" ContentType="application/vnd.openxmlformats-officedocument.spreadsheetml.table+xml"/>
  <Override PartName="/xl/queryTables/queryTable28.xml" ContentType="application/vnd.openxmlformats-officedocument.spreadsheetml.queryTable+xml"/>
  <Override PartName="/xl/tables/table31.xml" ContentType="application/vnd.openxmlformats-officedocument.spreadsheetml.table+xml"/>
  <Override PartName="/xl/queryTables/queryTable29.xml" ContentType="application/vnd.openxmlformats-officedocument.spreadsheetml.query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drawings/drawing10.xml" ContentType="application/vnd.openxmlformats-officedocument.drawing+xml"/>
  <Override PartName="/xl/charts/chart17.xml" ContentType="application/vnd.openxmlformats-officedocument.drawingml.chart+xml"/>
  <Override PartName="/xl/charts/style19.xml" ContentType="application/vnd.ms-office.chartstyle+xml"/>
  <Override PartName="/xl/charts/colors19.xml" ContentType="application/vnd.ms-office.chartcolorstyle+xml"/>
  <Override PartName="/xl/charts/chart18.xml" ContentType="application/vnd.openxmlformats-officedocument.drawingml.chart+xml"/>
  <Override PartName="/xl/charts/style20.xml" ContentType="application/vnd.ms-office.chartstyle+xml"/>
  <Override PartName="/xl/charts/colors20.xml" ContentType="application/vnd.ms-office.chartcolorstyle+xml"/>
  <Override PartName="/xl/charts/chart19.xml" ContentType="application/vnd.openxmlformats-officedocument.drawingml.chart+xml"/>
  <Override PartName="/xl/charts/style21.xml" ContentType="application/vnd.ms-office.chartstyle+xml"/>
  <Override PartName="/xl/charts/colors21.xml" ContentType="application/vnd.ms-office.chartcolorstyle+xml"/>
  <Override PartName="/xl/tables/table32.xml" ContentType="application/vnd.openxmlformats-officedocument.spreadsheetml.table+xml"/>
  <Override PartName="/xl/queryTables/queryTable30.xml" ContentType="application/vnd.openxmlformats-officedocument.spreadsheetml.queryTable+xml"/>
  <Override PartName="/xl/tables/table33.xml" ContentType="application/vnd.openxmlformats-officedocument.spreadsheetml.table+xml"/>
  <Override PartName="/xl/queryTables/queryTable31.xml" ContentType="application/vnd.openxmlformats-officedocument.spreadsheetml.query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11.xml" ContentType="application/vnd.openxmlformats-officedocument.drawing+xml"/>
  <Override PartName="/xl/charts/chart20.xml" ContentType="application/vnd.openxmlformats-officedocument.drawingml.chart+xml"/>
  <Override PartName="/xl/charts/style22.xml" ContentType="application/vnd.ms-office.chartstyle+xml"/>
  <Override PartName="/xl/charts/colors22.xml" ContentType="application/vnd.ms-office.chartcolorstyle+xml"/>
  <Override PartName="/xl/charts/chart21.xml" ContentType="application/vnd.openxmlformats-officedocument.drawingml.chart+xml"/>
  <Override PartName="/xl/charts/style23.xml" ContentType="application/vnd.ms-office.chartstyle+xml"/>
  <Override PartName="/xl/charts/colors23.xml" ContentType="application/vnd.ms-office.chartcolorstyle+xml"/>
  <Override PartName="/xl/tables/table34.xml" ContentType="application/vnd.openxmlformats-officedocument.spreadsheetml.table+xml"/>
  <Override PartName="/xl/queryTables/queryTable32.xml" ContentType="application/vnd.openxmlformats-officedocument.spreadsheetml.queryTable+xml"/>
  <Override PartName="/xl/tables/table35.xml" ContentType="application/vnd.openxmlformats-officedocument.spreadsheetml.table+xml"/>
  <Override PartName="/xl/queryTables/queryTable33.xml" ContentType="application/vnd.openxmlformats-officedocument.spreadsheetml.queryTable+xml"/>
  <Override PartName="/xl/tables/table36.xml" ContentType="application/vnd.openxmlformats-officedocument.spreadsheetml.table+xml"/>
  <Override PartName="/xl/queryTables/queryTable34.xml" ContentType="application/vnd.openxmlformats-officedocument.spreadsheetml.queryTable+xml"/>
  <Override PartName="/xl/tables/table37.xml" ContentType="application/vnd.openxmlformats-officedocument.spreadsheetml.table+xml"/>
  <Override PartName="/xl/queryTables/queryTable35.xml" ContentType="application/vnd.openxmlformats-officedocument.spreadsheetml.query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12.xml" ContentType="application/vnd.openxmlformats-officedocument.drawing+xml"/>
  <Override PartName="/xl/charts/chart22.xml" ContentType="application/vnd.openxmlformats-officedocument.drawingml.chart+xml"/>
  <Override PartName="/xl/charts/style24.xml" ContentType="application/vnd.ms-office.chartstyle+xml"/>
  <Override PartName="/xl/charts/colors24.xml" ContentType="application/vnd.ms-office.chartcolorstyle+xml"/>
  <Override PartName="/xl/charts/chart23.xml" ContentType="application/vnd.openxmlformats-officedocument.drawingml.chart+xml"/>
  <Override PartName="/xl/charts/style25.xml" ContentType="application/vnd.ms-office.chartstyle+xml"/>
  <Override PartName="/xl/charts/colors25.xml" ContentType="application/vnd.ms-office.chartcolorstyle+xml"/>
  <Override PartName="/xl/tables/table38.xml" ContentType="application/vnd.openxmlformats-officedocument.spreadsheetml.table+xml"/>
  <Override PartName="/xl/queryTables/queryTable36.xml" ContentType="application/vnd.openxmlformats-officedocument.spreadsheetml.queryTable+xml"/>
  <Override PartName="/xl/tables/table39.xml" ContentType="application/vnd.openxmlformats-officedocument.spreadsheetml.table+xml"/>
  <Override PartName="/xl/queryTables/queryTable37.xml" ContentType="application/vnd.openxmlformats-officedocument.spreadsheetml.queryTable+xml"/>
  <Override PartName="/xl/tables/table40.xml" ContentType="application/vnd.openxmlformats-officedocument.spreadsheetml.table+xml"/>
  <Override PartName="/xl/queryTables/queryTable38.xml" ContentType="application/vnd.openxmlformats-officedocument.spreadsheetml.queryTable+xml"/>
  <Override PartName="/xl/tables/table41.xml" ContentType="application/vnd.openxmlformats-officedocument.spreadsheetml.table+xml"/>
  <Override PartName="/xl/queryTables/queryTable39.xml" ContentType="application/vnd.openxmlformats-officedocument.spreadsheetml.queryTable+xml"/>
  <Override PartName="/xl/tables/table42.xml" ContentType="application/vnd.openxmlformats-officedocument.spreadsheetml.table+xml"/>
  <Override PartName="/xl/queryTables/queryTable40.xml" ContentType="application/vnd.openxmlformats-officedocument.spreadsheetml.query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13.xml" ContentType="application/vnd.openxmlformats-officedocument.drawing+xml"/>
  <Override PartName="/xl/charts/chart24.xml" ContentType="application/vnd.openxmlformats-officedocument.drawingml.chart+xml"/>
  <Override PartName="/xl/charts/style26.xml" ContentType="application/vnd.ms-office.chartstyle+xml"/>
  <Override PartName="/xl/charts/colors26.xml" ContentType="application/vnd.ms-office.chartcolorstyle+xml"/>
  <Override PartName="/xl/charts/chart25.xml" ContentType="application/vnd.openxmlformats-officedocument.drawingml.chart+xml"/>
  <Override PartName="/xl/charts/style27.xml" ContentType="application/vnd.ms-office.chartstyle+xml"/>
  <Override PartName="/xl/charts/colors27.xml" ContentType="application/vnd.ms-office.chartcolorstyle+xml"/>
  <Override PartName="/xl/charts/chart26.xml" ContentType="application/vnd.openxmlformats-officedocument.drawingml.chart+xml"/>
  <Override PartName="/xl/charts/style28.xml" ContentType="application/vnd.ms-office.chartstyle+xml"/>
  <Override PartName="/xl/charts/colors28.xml" ContentType="application/vnd.ms-office.chartcolorstyle+xml"/>
  <Override PartName="/xl/tables/table43.xml" ContentType="application/vnd.openxmlformats-officedocument.spreadsheetml.table+xml"/>
  <Override PartName="/xl/queryTables/queryTable41.xml" ContentType="application/vnd.openxmlformats-officedocument.spreadsheetml.queryTable+xml"/>
  <Override PartName="/xl/tables/table44.xml" ContentType="application/vnd.openxmlformats-officedocument.spreadsheetml.table+xml"/>
  <Override PartName="/xl/queryTables/queryTable42.xml" ContentType="application/vnd.openxmlformats-officedocument.spreadsheetml.queryTable+xml"/>
  <Override PartName="/xl/tables/table45.xml" ContentType="application/vnd.openxmlformats-officedocument.spreadsheetml.table+xml"/>
  <Override PartName="/xl/queryTables/queryTable43.xml" ContentType="application/vnd.openxmlformats-officedocument.spreadsheetml.query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drawings/drawing14.xml" ContentType="application/vnd.openxmlformats-officedocument.drawing+xml"/>
  <Override PartName="/xl/charts/chart27.xml" ContentType="application/vnd.openxmlformats-officedocument.drawingml.chart+xml"/>
  <Override PartName="/xl/charts/style29.xml" ContentType="application/vnd.ms-office.chartstyle+xml"/>
  <Override PartName="/xl/charts/colors29.xml" ContentType="application/vnd.ms-office.chartcolorstyle+xml"/>
  <Override PartName="/xl/charts/chart28.xml" ContentType="application/vnd.openxmlformats-officedocument.drawingml.chart+xml"/>
  <Override PartName="/xl/charts/style30.xml" ContentType="application/vnd.ms-office.chartstyle+xml"/>
  <Override PartName="/xl/charts/colors30.xml" ContentType="application/vnd.ms-office.chartcolorstyle+xml"/>
  <Override PartName="/xl/tables/table46.xml" ContentType="application/vnd.openxmlformats-officedocument.spreadsheetml.table+xml"/>
  <Override PartName="/xl/queryTables/queryTable44.xml" ContentType="application/vnd.openxmlformats-officedocument.spreadsheetml.query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drawings/drawing15.xml" ContentType="application/vnd.openxmlformats-officedocument.drawing+xml"/>
  <Override PartName="/xl/charts/chart29.xml" ContentType="application/vnd.openxmlformats-officedocument.drawingml.chart+xml"/>
  <Override PartName="/xl/charts/style31.xml" ContentType="application/vnd.ms-office.chartstyle+xml"/>
  <Override PartName="/xl/charts/colors31.xml" ContentType="application/vnd.ms-office.chartcolorstyle+xml"/>
  <Override PartName="/xl/charts/chart30.xml" ContentType="application/vnd.openxmlformats-officedocument.drawingml.chart+xml"/>
  <Override PartName="/xl/charts/style32.xml" ContentType="application/vnd.ms-office.chartstyle+xml"/>
  <Override PartName="/xl/charts/colors3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hidePivotFieldList="1"/>
  <mc:AlternateContent xmlns:mc="http://schemas.openxmlformats.org/markup-compatibility/2006">
    <mc:Choice Requires="x15">
      <x15ac:absPath xmlns:x15ac="http://schemas.microsoft.com/office/spreadsheetml/2010/11/ac" url="https://d.docs.live.net/85e0f8935a6fc415/Documents/"/>
    </mc:Choice>
  </mc:AlternateContent>
  <xr:revisionPtr revIDLastSave="0" documentId="8_{ADC65121-E189-D445-B9A3-503CDAA23F06}" xr6:coauthVersionLast="47" xr6:coauthVersionMax="47" xr10:uidLastSave="{00000000-0000-0000-0000-000000000000}"/>
  <bookViews>
    <workbookView xWindow="0" yWindow="660" windowWidth="28540" windowHeight="18460" activeTab="8" xr2:uid="{00000000-000D-0000-FFFF-FFFF00000000}"/>
  </bookViews>
  <sheets>
    <sheet name="Suppliers" sheetId="1" state="hidden" r:id="rId1"/>
    <sheet name="Shippers" sheetId="2" state="hidden" r:id="rId2"/>
    <sheet name="Products" sheetId="3" state="hidden" r:id="rId3"/>
    <sheet name="Orders" sheetId="4" state="hidden" r:id="rId4"/>
    <sheet name="Employees" sheetId="5" state="hidden" r:id="rId5"/>
    <sheet name="Order Details" sheetId="6" state="hidden" r:id="rId6"/>
    <sheet name="Customers" sheetId="7" state="hidden" r:id="rId7"/>
    <sheet name="Categories" sheetId="8" state="hidden" r:id="rId8"/>
    <sheet name="EDA Questions" sheetId="9" r:id="rId9"/>
    <sheet name="Query 1 (5)" sheetId="32" state="hidden" r:id="rId10"/>
    <sheet name="Query 1 SQL" sheetId="10" r:id="rId11"/>
    <sheet name="Query 2 (3)" sheetId="33" state="hidden" r:id="rId12"/>
    <sheet name="Q-1 Analysis" sheetId="59" r:id="rId13"/>
    <sheet name="Query 2 SQL" sheetId="11" r:id="rId14"/>
    <sheet name="Query 3 (3)" sheetId="34" state="hidden" r:id="rId15"/>
    <sheet name="Q-2 Analysis" sheetId="60" r:id="rId16"/>
    <sheet name="Query 3 SQL" sheetId="12" r:id="rId17"/>
    <sheet name="Query 4(a) (3)" sheetId="35" state="hidden" r:id="rId18"/>
    <sheet name="Query 4(b) (3)" sheetId="36" state="hidden" r:id="rId19"/>
    <sheet name="Q-3 Analysis" sheetId="62" r:id="rId20"/>
    <sheet name="Query 4 SQL" sheetId="13" r:id="rId21"/>
    <sheet name="Query 5 1" sheetId="37" state="hidden" r:id="rId22"/>
    <sheet name="Q-4 Analysis" sheetId="63" r:id="rId23"/>
    <sheet name="Query 5.1 SQL" sheetId="15" r:id="rId24"/>
    <sheet name="Query 5 2" sheetId="38" state="hidden" r:id="rId25"/>
    <sheet name="Q-5.1 Analysis" sheetId="64" r:id="rId26"/>
    <sheet name="Query 5.2 SQL" sheetId="16" r:id="rId27"/>
    <sheet name="Query 6(a)" sheetId="39" state="hidden" r:id="rId28"/>
    <sheet name="Query 6(b)" sheetId="40" state="hidden" r:id="rId29"/>
    <sheet name="Q-5.2 Analysis" sheetId="65" r:id="rId30"/>
    <sheet name="Query 6 SQL" sheetId="17" r:id="rId31"/>
    <sheet name="Query 7(a)" sheetId="41" state="hidden" r:id="rId32"/>
    <sheet name="Query 7(b)" sheetId="42" state="hidden" r:id="rId33"/>
    <sheet name="Q-6 Analysis" sheetId="66" r:id="rId34"/>
    <sheet name="Query 7 SQL" sheetId="18" r:id="rId35"/>
    <sheet name="Query 8(a)" sheetId="43" state="hidden" r:id="rId36"/>
    <sheet name="Query 8(b)" sheetId="44" state="hidden" r:id="rId37"/>
    <sheet name="Q-7 Analysis" sheetId="67" r:id="rId38"/>
    <sheet name="Query 8 SQL" sheetId="19" r:id="rId39"/>
    <sheet name="Query 9 (2)" sheetId="45" state="hidden" r:id="rId40"/>
    <sheet name="Q-8 Analysis" sheetId="68" r:id="rId41"/>
    <sheet name="Query 9 SQL" sheetId="20" r:id="rId42"/>
    <sheet name="Query 10 (2)" sheetId="46" state="hidden" r:id="rId43"/>
    <sheet name="Q-9 Analysis" sheetId="70" r:id="rId44"/>
    <sheet name="Query 10 SQL" sheetId="21" r:id="rId45"/>
    <sheet name="Query 11 (2)" sheetId="47" state="hidden" r:id="rId46"/>
    <sheet name="Q-10 Analysis" sheetId="71" r:id="rId47"/>
    <sheet name="Query 11 SQL" sheetId="22" r:id="rId48"/>
    <sheet name="Query 12(a)" sheetId="48" state="hidden" r:id="rId49"/>
    <sheet name="Query 12(b)" sheetId="49" state="hidden" r:id="rId50"/>
    <sheet name="Query 12(c)" sheetId="50" state="hidden" r:id="rId51"/>
    <sheet name="Q-11 Analysis" sheetId="72" r:id="rId52"/>
    <sheet name="Query 12 SQL" sheetId="23" r:id="rId53"/>
    <sheet name="Query 13(a)" sheetId="51" state="hidden" r:id="rId54"/>
    <sheet name="Query 13(b)" sheetId="52" state="hidden" r:id="rId55"/>
    <sheet name="Q-12 Analysis" sheetId="73" r:id="rId56"/>
    <sheet name="Query 13 SQL" sheetId="24" r:id="rId57"/>
    <sheet name="Query 14 (2)" sheetId="53" state="hidden" r:id="rId58"/>
    <sheet name="Q-13 Analysis" sheetId="75" r:id="rId59"/>
    <sheet name="Query 14 SQL" sheetId="25" r:id="rId60"/>
    <sheet name="Q-14 Analysis" sheetId="76" r:id="rId61"/>
  </sheets>
  <definedNames>
    <definedName name="_xlchart.v1.0" hidden="1">'Q-5.1 Analysis'!$B$34:$B$42</definedName>
    <definedName name="_xlchart.v1.1" hidden="1">'Q-5.1 Analysis'!$C$33</definedName>
    <definedName name="_xlchart.v1.2" hidden="1">'Q-5.1 Analysis'!$C$34:$C$42</definedName>
    <definedName name="_xlchart.v1.3" hidden="1">'Q-5.1 Analysis'!$B$4:$B$25</definedName>
    <definedName name="_xlchart.v1.4" hidden="1">'Q-5.1 Analysis'!$C$3</definedName>
    <definedName name="_xlchart.v1.5" hidden="1">'Q-5.1 Analysis'!$C$4:$C$25</definedName>
    <definedName name="ExternalData_1" localSheetId="9" hidden="1">'Query 1 (5)'!$A$1:$M$90</definedName>
    <definedName name="ExternalData_1" localSheetId="42" hidden="1">'Query 10 (2)'!$A$1:$I$177</definedName>
    <definedName name="ExternalData_1" localSheetId="44" hidden="1">'Query 10 SQL'!$J$2:$R$178</definedName>
    <definedName name="ExternalData_1" localSheetId="45" hidden="1">'Query 11 (2)'!$A$1:$L$78</definedName>
    <definedName name="ExternalData_1" localSheetId="47" hidden="1">'Query 11 SQL'!$N$2:$Y$79</definedName>
    <definedName name="ExternalData_1" localSheetId="48" hidden="1">'Query 12(a)'!$A$1:$L$30</definedName>
    <definedName name="ExternalData_1" localSheetId="53" hidden="1">'Query 13(a)'!$A$1:$H$50</definedName>
    <definedName name="ExternalData_1" localSheetId="57" hidden="1">'Query 14 (2)'!$A$1:$L$48</definedName>
    <definedName name="ExternalData_1" localSheetId="59" hidden="1">'Query 14 SQL'!$J$2:$U$49</definedName>
    <definedName name="ExternalData_1" localSheetId="11" hidden="1">'Query 2 (3)'!$A$1:$J$70</definedName>
    <definedName name="ExternalData_1" localSheetId="14" hidden="1">'Query 3 (3)'!$A$1:$I$90</definedName>
    <definedName name="ExternalData_1" localSheetId="17" hidden="1">'Query 4(a) (3)'!$A$1:$G$9</definedName>
    <definedName name="ExternalData_1" localSheetId="21" hidden="1">'Query 5 1'!$A$1:$H$483</definedName>
    <definedName name="ExternalData_1" localSheetId="24" hidden="1">'Query 5 2'!$A$1:$H$90</definedName>
    <definedName name="ExternalData_1" localSheetId="23" hidden="1">'Query 5.1 SQL'!$L$2:$S$484</definedName>
    <definedName name="ExternalData_1" localSheetId="26" hidden="1">'Query 5.2 SQL'!$N$2:$U$91</definedName>
    <definedName name="ExternalData_1" localSheetId="30" hidden="1">'Query 6 SQL'!$H$2:$K$6</definedName>
    <definedName name="ExternalData_1" localSheetId="27" hidden="1">'Query 6(a)'!$A$1:$D$5</definedName>
    <definedName name="ExternalData_1" localSheetId="34" hidden="1">'Query 7 SQL'!$H$2:$N$9</definedName>
    <definedName name="ExternalData_1" localSheetId="31" hidden="1">'Query 7(a)'!$A$1:$G$8</definedName>
    <definedName name="ExternalData_1" localSheetId="38" hidden="1">'Query 8 SQL'!$H$2:$K$5</definedName>
    <definedName name="ExternalData_1" localSheetId="35" hidden="1">'Query 8(a)'!$A$1:$D$4</definedName>
    <definedName name="ExternalData_1" localSheetId="39" hidden="1">'Query 9 (2)'!$A$1:$N$78</definedName>
    <definedName name="ExternalData_1" localSheetId="41" hidden="1">'Query 9 SQL'!$J$2:$W$79</definedName>
    <definedName name="ExternalData_2" localSheetId="10" hidden="1">'Query 1 SQL'!$L$2:$X$91</definedName>
    <definedName name="ExternalData_2" localSheetId="52" hidden="1">'Query 12 SQL'!$J$2:$U$31</definedName>
    <definedName name="ExternalData_2" localSheetId="56" hidden="1">'Query 13 SQL'!$J$2:$Q$51</definedName>
    <definedName name="ExternalData_2" localSheetId="13" hidden="1">'Query 2 SQL'!$L$2:$U$71</definedName>
    <definedName name="ExternalData_2" localSheetId="16" hidden="1">'Query 3 SQL'!$L$2:$T$91</definedName>
    <definedName name="ExternalData_2" localSheetId="20" hidden="1">'Query 4 SQL'!$J$2:$P$10</definedName>
    <definedName name="ExternalData_2" localSheetId="30" hidden="1">'Query 6 SQL'!$H$19:$K$22</definedName>
    <definedName name="ExternalData_2" localSheetId="28" hidden="1">'Query 6(b)'!$A$1:$D$4</definedName>
    <definedName name="ExternalData_2" localSheetId="34" hidden="1">'Query 7 SQL'!$J$22:$N$30</definedName>
    <definedName name="ExternalData_2" localSheetId="32" hidden="1">'Query 7(b)'!$A$1:$E$9</definedName>
    <definedName name="ExternalData_2" localSheetId="38" hidden="1">'Query 8 SQL'!$J$22:$N$27</definedName>
    <definedName name="ExternalData_2" localSheetId="36" hidden="1">'Query 8(b)'!$A$1:$E$6</definedName>
    <definedName name="ExternalData_3" localSheetId="52" hidden="1">'Query 12 SQL'!$H$35:$L$51</definedName>
    <definedName name="ExternalData_3" localSheetId="49" hidden="1">'Query 12(b)'!$A$1:$E$17</definedName>
    <definedName name="ExternalData_3" localSheetId="56" hidden="1">'Query 13 SQL'!$I$55:$M$63</definedName>
    <definedName name="ExternalData_3" localSheetId="54" hidden="1">'Query 13(b)'!$A$1:$E$9</definedName>
    <definedName name="ExternalData_3" localSheetId="20" hidden="1">'Query 4 SQL'!$J$29:$Q$106</definedName>
    <definedName name="ExternalData_3" localSheetId="18" hidden="1">'Query 4(b) (3)'!$A$1:$H$78</definedName>
    <definedName name="ExternalData_4" localSheetId="52" hidden="1">'Query 12 SQL'!$H$64:$L$93</definedName>
    <definedName name="ExternalData_4" localSheetId="50" hidden="1">'Query 12(c)'!$A$1:$E$30</definedName>
  </definedNames>
  <calcPr calcId="191028"/>
  <pivotCaches>
    <pivotCache cacheId="113" r:id="rId62"/>
    <pivotCache cacheId="114" r:id="rId63"/>
    <pivotCache cacheId="115" r:id="rId64"/>
    <pivotCache cacheId="116" r:id="rId65"/>
    <pivotCache cacheId="117" r:id="rId66"/>
    <pivotCache cacheId="118" r:id="rId67"/>
    <pivotCache cacheId="119" r:id="rId68"/>
    <pivotCache cacheId="120" r:id="rId69"/>
    <pivotCache cacheId="121" r:id="rId70"/>
    <pivotCache cacheId="122" r:id="rId71"/>
    <pivotCache cacheId="123" r:id="rId72"/>
    <pivotCache cacheId="124" r:id="rId73"/>
    <pivotCache cacheId="125" r:id="rId74"/>
    <pivotCache cacheId="126" r:id="rId75"/>
    <pivotCache cacheId="127" r:id="rId76"/>
    <pivotCache cacheId="128" r:id="rId77"/>
    <pivotCache cacheId="129" r:id="rId78"/>
    <pivotCache cacheId="130" r:id="rId79"/>
    <pivotCache cacheId="131" r:id="rId80"/>
    <pivotCache cacheId="132" r:id="rId81"/>
    <pivotCache cacheId="133" r:id="rId82"/>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6" l="1"/>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207" i="6"/>
  <c r="F208" i="6"/>
  <c r="F209" i="6"/>
  <c r="F210" i="6"/>
  <c r="F211" i="6"/>
  <c r="F212" i="6"/>
  <c r="F213" i="6"/>
  <c r="F214" i="6"/>
  <c r="F215" i="6"/>
  <c r="F216" i="6"/>
  <c r="F217" i="6"/>
  <c r="F218" i="6"/>
  <c r="F219" i="6"/>
  <c r="F220" i="6"/>
  <c r="F221" i="6"/>
  <c r="F222" i="6"/>
  <c r="F223" i="6"/>
  <c r="F224" i="6"/>
  <c r="F225" i="6"/>
  <c r="F226" i="6"/>
  <c r="F227" i="6"/>
  <c r="F228" i="6"/>
  <c r="F229" i="6"/>
  <c r="F230" i="6"/>
  <c r="F231" i="6"/>
  <c r="F232" i="6"/>
  <c r="F233" i="6"/>
  <c r="F234" i="6"/>
  <c r="F235" i="6"/>
  <c r="F236" i="6"/>
  <c r="F237" i="6"/>
  <c r="F238" i="6"/>
  <c r="F239" i="6"/>
  <c r="F240" i="6"/>
  <c r="F241" i="6"/>
  <c r="F242" i="6"/>
  <c r="F243" i="6"/>
  <c r="F244" i="6"/>
  <c r="F245" i="6"/>
  <c r="F246" i="6"/>
  <c r="F247" i="6"/>
  <c r="F248" i="6"/>
  <c r="F249" i="6"/>
  <c r="F250" i="6"/>
  <c r="F251" i="6"/>
  <c r="F252" i="6"/>
  <c r="F253" i="6"/>
  <c r="F254" i="6"/>
  <c r="F255" i="6"/>
  <c r="F256" i="6"/>
  <c r="F257" i="6"/>
  <c r="F258" i="6"/>
  <c r="F259" i="6"/>
  <c r="F260" i="6"/>
  <c r="F261" i="6"/>
  <c r="F262" i="6"/>
  <c r="F263" i="6"/>
  <c r="F264" i="6"/>
  <c r="F265" i="6"/>
  <c r="F266" i="6"/>
  <c r="F267" i="6"/>
  <c r="F268" i="6"/>
  <c r="F269" i="6"/>
  <c r="F270" i="6"/>
  <c r="F271" i="6"/>
  <c r="F272" i="6"/>
  <c r="F273" i="6"/>
  <c r="F274" i="6"/>
  <c r="F275" i="6"/>
  <c r="F276" i="6"/>
  <c r="F277" i="6"/>
  <c r="F278" i="6"/>
  <c r="F279" i="6"/>
  <c r="F280" i="6"/>
  <c r="F281" i="6"/>
  <c r="F282" i="6"/>
  <c r="F283" i="6"/>
  <c r="F284" i="6"/>
  <c r="F285" i="6"/>
  <c r="F286" i="6"/>
  <c r="F287" i="6"/>
  <c r="F288" i="6"/>
  <c r="F289" i="6"/>
  <c r="F290" i="6"/>
  <c r="F291" i="6"/>
  <c r="F292" i="6"/>
  <c r="F293" i="6"/>
  <c r="F294" i="6"/>
  <c r="F295" i="6"/>
  <c r="F296" i="6"/>
  <c r="F297" i="6"/>
  <c r="F298" i="6"/>
  <c r="F299" i="6"/>
  <c r="F300" i="6"/>
  <c r="F301" i="6"/>
  <c r="F302" i="6"/>
  <c r="F303" i="6"/>
  <c r="F304" i="6"/>
  <c r="F305" i="6"/>
  <c r="F306" i="6"/>
  <c r="F307" i="6"/>
  <c r="F308" i="6"/>
  <c r="F309" i="6"/>
  <c r="F310" i="6"/>
  <c r="F311" i="6"/>
  <c r="F312" i="6"/>
  <c r="F313" i="6"/>
  <c r="F314" i="6"/>
  <c r="F315" i="6"/>
  <c r="F316" i="6"/>
  <c r="F317" i="6"/>
  <c r="F318" i="6"/>
  <c r="F319" i="6"/>
  <c r="F320" i="6"/>
  <c r="F321" i="6"/>
  <c r="F322" i="6"/>
  <c r="F323" i="6"/>
  <c r="F324" i="6"/>
  <c r="F325" i="6"/>
  <c r="F326" i="6"/>
  <c r="F327" i="6"/>
  <c r="F328" i="6"/>
  <c r="F329" i="6"/>
  <c r="F330" i="6"/>
  <c r="F331" i="6"/>
  <c r="F332" i="6"/>
  <c r="F333" i="6"/>
  <c r="F334" i="6"/>
  <c r="F335" i="6"/>
  <c r="F336" i="6"/>
  <c r="F337" i="6"/>
  <c r="F338" i="6"/>
  <c r="F339" i="6"/>
  <c r="F340" i="6"/>
  <c r="F341" i="6"/>
  <c r="F342" i="6"/>
  <c r="F343" i="6"/>
  <c r="F344" i="6"/>
  <c r="F345" i="6"/>
  <c r="F346" i="6"/>
  <c r="F347" i="6"/>
  <c r="F348" i="6"/>
  <c r="F349" i="6"/>
  <c r="F350" i="6"/>
  <c r="F351" i="6"/>
  <c r="F352" i="6"/>
  <c r="F353" i="6"/>
  <c r="F354" i="6"/>
  <c r="F355" i="6"/>
  <c r="F356" i="6"/>
  <c r="F357" i="6"/>
  <c r="F358" i="6"/>
  <c r="F359" i="6"/>
  <c r="F360" i="6"/>
  <c r="F361" i="6"/>
  <c r="F362" i="6"/>
  <c r="F363" i="6"/>
  <c r="F364" i="6"/>
  <c r="F365" i="6"/>
  <c r="F366" i="6"/>
  <c r="F367" i="6"/>
  <c r="F368" i="6"/>
  <c r="F369" i="6"/>
  <c r="F370" i="6"/>
  <c r="F371" i="6"/>
  <c r="F372" i="6"/>
  <c r="F373" i="6"/>
  <c r="F374" i="6"/>
  <c r="F375" i="6"/>
  <c r="F376" i="6"/>
  <c r="F377" i="6"/>
  <c r="F378" i="6"/>
  <c r="F379" i="6"/>
  <c r="F380" i="6"/>
  <c r="F381" i="6"/>
  <c r="F382" i="6"/>
  <c r="F383" i="6"/>
  <c r="F384" i="6"/>
  <c r="F385" i="6"/>
  <c r="F386" i="6"/>
  <c r="F387" i="6"/>
  <c r="F388" i="6"/>
  <c r="F389" i="6"/>
  <c r="F390" i="6"/>
  <c r="F391" i="6"/>
  <c r="F392" i="6"/>
  <c r="F393" i="6"/>
  <c r="F394" i="6"/>
  <c r="F395" i="6"/>
  <c r="F396" i="6"/>
  <c r="F397" i="6"/>
  <c r="F398" i="6"/>
  <c r="F399" i="6"/>
  <c r="F400" i="6"/>
  <c r="F401" i="6"/>
  <c r="F402" i="6"/>
  <c r="F403" i="6"/>
  <c r="F404" i="6"/>
  <c r="F405" i="6"/>
  <c r="F406" i="6"/>
  <c r="F407" i="6"/>
  <c r="F408" i="6"/>
  <c r="F409" i="6"/>
  <c r="F410" i="6"/>
  <c r="F411" i="6"/>
  <c r="F412" i="6"/>
  <c r="F413" i="6"/>
  <c r="F414" i="6"/>
  <c r="F415" i="6"/>
  <c r="F416" i="6"/>
  <c r="F417" i="6"/>
  <c r="F418" i="6"/>
  <c r="F419" i="6"/>
  <c r="F420" i="6"/>
  <c r="F421" i="6"/>
  <c r="F422" i="6"/>
  <c r="F423" i="6"/>
  <c r="F424" i="6"/>
  <c r="F425" i="6"/>
  <c r="F426" i="6"/>
  <c r="F427" i="6"/>
  <c r="F428" i="6"/>
  <c r="F429" i="6"/>
  <c r="F430" i="6"/>
  <c r="F431" i="6"/>
  <c r="F432" i="6"/>
  <c r="F433" i="6"/>
  <c r="F434" i="6"/>
  <c r="F435" i="6"/>
  <c r="F436" i="6"/>
  <c r="F437" i="6"/>
  <c r="F438" i="6"/>
  <c r="F439" i="6"/>
  <c r="F440" i="6"/>
  <c r="F441" i="6"/>
  <c r="F442" i="6"/>
  <c r="F443" i="6"/>
  <c r="F444" i="6"/>
  <c r="F445" i="6"/>
  <c r="F446" i="6"/>
  <c r="F447" i="6"/>
  <c r="F448" i="6"/>
  <c r="F449" i="6"/>
  <c r="F450" i="6"/>
  <c r="F451" i="6"/>
  <c r="F452" i="6"/>
  <c r="F453" i="6"/>
  <c r="F454" i="6"/>
  <c r="F455" i="6"/>
  <c r="F456" i="6"/>
  <c r="F457" i="6"/>
  <c r="F458" i="6"/>
  <c r="F459" i="6"/>
  <c r="F460" i="6"/>
  <c r="F461" i="6"/>
  <c r="F462" i="6"/>
  <c r="F463" i="6"/>
  <c r="F464" i="6"/>
  <c r="F465" i="6"/>
  <c r="F466" i="6"/>
  <c r="F467" i="6"/>
  <c r="F468" i="6"/>
  <c r="F469" i="6"/>
  <c r="F470" i="6"/>
  <c r="F471" i="6"/>
  <c r="F472" i="6"/>
  <c r="F473" i="6"/>
  <c r="F474" i="6"/>
  <c r="F475" i="6"/>
  <c r="F476" i="6"/>
  <c r="F477" i="6"/>
  <c r="F478" i="6"/>
  <c r="F479" i="6"/>
  <c r="F480" i="6"/>
  <c r="F481" i="6"/>
  <c r="F482" i="6"/>
  <c r="F483" i="6"/>
  <c r="F484" i="6"/>
  <c r="F485" i="6"/>
  <c r="F486" i="6"/>
  <c r="F487" i="6"/>
  <c r="F488" i="6"/>
  <c r="F489" i="6"/>
  <c r="F490" i="6"/>
  <c r="F491" i="6"/>
  <c r="F492" i="6"/>
  <c r="F493" i="6"/>
  <c r="F494" i="6"/>
  <c r="F495" i="6"/>
  <c r="F496" i="6"/>
  <c r="F497" i="6"/>
  <c r="F498" i="6"/>
  <c r="F499" i="6"/>
  <c r="F500" i="6"/>
  <c r="F501" i="6"/>
  <c r="F502" i="6"/>
  <c r="F503" i="6"/>
  <c r="F504" i="6"/>
  <c r="F505" i="6"/>
  <c r="F506" i="6"/>
  <c r="F507" i="6"/>
  <c r="F508" i="6"/>
  <c r="F509" i="6"/>
  <c r="F510" i="6"/>
  <c r="F511" i="6"/>
  <c r="F512" i="6"/>
  <c r="F513" i="6"/>
  <c r="F514" i="6"/>
  <c r="F515" i="6"/>
  <c r="F516" i="6"/>
  <c r="F517" i="6"/>
  <c r="F518" i="6"/>
  <c r="F519" i="6"/>
  <c r="F520" i="6"/>
  <c r="F521" i="6"/>
  <c r="F522" i="6"/>
  <c r="F523" i="6"/>
  <c r="F524" i="6"/>
  <c r="F525" i="6"/>
  <c r="F526" i="6"/>
  <c r="F527" i="6"/>
  <c r="F528" i="6"/>
  <c r="F529" i="6"/>
  <c r="F530" i="6"/>
  <c r="F531" i="6"/>
  <c r="F532" i="6"/>
  <c r="F533" i="6"/>
  <c r="F534" i="6"/>
  <c r="F535" i="6"/>
  <c r="F536" i="6"/>
  <c r="F537" i="6"/>
  <c r="F538" i="6"/>
  <c r="F539" i="6"/>
  <c r="F540" i="6"/>
  <c r="F541" i="6"/>
  <c r="F542" i="6"/>
  <c r="F543" i="6"/>
  <c r="F544" i="6"/>
  <c r="F545" i="6"/>
  <c r="F546" i="6"/>
  <c r="F547" i="6"/>
  <c r="F548" i="6"/>
  <c r="F549" i="6"/>
  <c r="F550" i="6"/>
  <c r="F551" i="6"/>
  <c r="F552" i="6"/>
  <c r="F553" i="6"/>
  <c r="F554" i="6"/>
  <c r="F555" i="6"/>
  <c r="F556" i="6"/>
  <c r="F557" i="6"/>
  <c r="F558" i="6"/>
  <c r="F559" i="6"/>
  <c r="F560" i="6"/>
  <c r="F561" i="6"/>
  <c r="F562" i="6"/>
  <c r="F563" i="6"/>
  <c r="F564" i="6"/>
  <c r="F565" i="6"/>
  <c r="F566" i="6"/>
  <c r="F567" i="6"/>
  <c r="F568" i="6"/>
  <c r="F569" i="6"/>
  <c r="F570" i="6"/>
  <c r="F571" i="6"/>
  <c r="F572" i="6"/>
  <c r="F573" i="6"/>
  <c r="F574" i="6"/>
  <c r="F575" i="6"/>
  <c r="F576" i="6"/>
  <c r="F577" i="6"/>
  <c r="F578" i="6"/>
  <c r="F579" i="6"/>
  <c r="F580" i="6"/>
  <c r="F581" i="6"/>
  <c r="F582" i="6"/>
  <c r="F583" i="6"/>
  <c r="F584" i="6"/>
  <c r="F585" i="6"/>
  <c r="F586" i="6"/>
  <c r="F587" i="6"/>
  <c r="F588" i="6"/>
  <c r="F589" i="6"/>
  <c r="F590" i="6"/>
  <c r="F591" i="6"/>
  <c r="F592" i="6"/>
  <c r="F593" i="6"/>
  <c r="F594" i="6"/>
  <c r="F595" i="6"/>
  <c r="F596" i="6"/>
  <c r="F597" i="6"/>
  <c r="F598" i="6"/>
  <c r="F599" i="6"/>
  <c r="F600" i="6"/>
  <c r="F601" i="6"/>
  <c r="F602" i="6"/>
  <c r="F603" i="6"/>
  <c r="F604" i="6"/>
  <c r="F605" i="6"/>
  <c r="F606" i="6"/>
  <c r="F607" i="6"/>
  <c r="F608" i="6"/>
  <c r="F609" i="6"/>
  <c r="F610" i="6"/>
  <c r="F611" i="6"/>
  <c r="F612" i="6"/>
  <c r="F613" i="6"/>
  <c r="F614" i="6"/>
  <c r="F615" i="6"/>
  <c r="F616" i="6"/>
  <c r="F617" i="6"/>
  <c r="F618" i="6"/>
  <c r="F619" i="6"/>
  <c r="F620" i="6"/>
  <c r="F621" i="6"/>
  <c r="F622" i="6"/>
  <c r="F623" i="6"/>
  <c r="F624" i="6"/>
  <c r="F625" i="6"/>
  <c r="F626" i="6"/>
  <c r="F627" i="6"/>
  <c r="F628" i="6"/>
  <c r="F629" i="6"/>
  <c r="F630" i="6"/>
  <c r="F631" i="6"/>
  <c r="F632" i="6"/>
  <c r="F633" i="6"/>
  <c r="F634" i="6"/>
  <c r="F635" i="6"/>
  <c r="F636" i="6"/>
  <c r="F637" i="6"/>
  <c r="F638" i="6"/>
  <c r="F639" i="6"/>
  <c r="F640" i="6"/>
  <c r="F641" i="6"/>
  <c r="F642" i="6"/>
  <c r="F643" i="6"/>
  <c r="F644" i="6"/>
  <c r="F645" i="6"/>
  <c r="F646" i="6"/>
  <c r="F647" i="6"/>
  <c r="F648" i="6"/>
  <c r="F649" i="6"/>
  <c r="F650" i="6"/>
  <c r="F651" i="6"/>
  <c r="F652" i="6"/>
  <c r="F653" i="6"/>
  <c r="F654" i="6"/>
  <c r="F655" i="6"/>
  <c r="F656" i="6"/>
  <c r="F657" i="6"/>
  <c r="F658" i="6"/>
  <c r="F659" i="6"/>
  <c r="F660" i="6"/>
  <c r="F661" i="6"/>
  <c r="F662" i="6"/>
  <c r="F663" i="6"/>
  <c r="F664" i="6"/>
  <c r="F665" i="6"/>
  <c r="F666" i="6"/>
  <c r="F667" i="6"/>
  <c r="F668" i="6"/>
  <c r="F669" i="6"/>
  <c r="F670" i="6"/>
  <c r="F671" i="6"/>
  <c r="F672" i="6"/>
  <c r="F673" i="6"/>
  <c r="F674" i="6"/>
  <c r="F675" i="6"/>
  <c r="F676" i="6"/>
  <c r="F677" i="6"/>
  <c r="F678" i="6"/>
  <c r="F679" i="6"/>
  <c r="F680" i="6"/>
  <c r="F681" i="6"/>
  <c r="F682" i="6"/>
  <c r="F683" i="6"/>
  <c r="F684" i="6"/>
  <c r="F685" i="6"/>
  <c r="F686" i="6"/>
  <c r="F687" i="6"/>
  <c r="F688" i="6"/>
  <c r="F689" i="6"/>
  <c r="F690" i="6"/>
  <c r="F691" i="6"/>
  <c r="F692" i="6"/>
  <c r="F693" i="6"/>
  <c r="F694" i="6"/>
  <c r="F695" i="6"/>
  <c r="F696" i="6"/>
  <c r="F697" i="6"/>
  <c r="F698" i="6"/>
  <c r="F699" i="6"/>
  <c r="F700" i="6"/>
  <c r="F701" i="6"/>
  <c r="F702" i="6"/>
  <c r="F703" i="6"/>
  <c r="F704" i="6"/>
  <c r="F705" i="6"/>
  <c r="F706" i="6"/>
  <c r="F707" i="6"/>
  <c r="F708" i="6"/>
  <c r="F709" i="6"/>
  <c r="F710" i="6"/>
  <c r="F711" i="6"/>
  <c r="F712" i="6"/>
  <c r="F713" i="6"/>
  <c r="F714" i="6"/>
  <c r="F715" i="6"/>
  <c r="F716" i="6"/>
  <c r="F717" i="6"/>
  <c r="F718" i="6"/>
  <c r="F719" i="6"/>
  <c r="F720" i="6"/>
  <c r="F721" i="6"/>
  <c r="F722" i="6"/>
  <c r="F723" i="6"/>
  <c r="F724" i="6"/>
  <c r="F725" i="6"/>
  <c r="F726" i="6"/>
  <c r="F727" i="6"/>
  <c r="F728" i="6"/>
  <c r="F729" i="6"/>
  <c r="F730" i="6"/>
  <c r="F731" i="6"/>
  <c r="F732" i="6"/>
  <c r="F733" i="6"/>
  <c r="F734" i="6"/>
  <c r="F735" i="6"/>
  <c r="F736" i="6"/>
  <c r="F737" i="6"/>
  <c r="F738" i="6"/>
  <c r="F739" i="6"/>
  <c r="F740" i="6"/>
  <c r="F741" i="6"/>
  <c r="F742" i="6"/>
  <c r="F743" i="6"/>
  <c r="F744" i="6"/>
  <c r="F745" i="6"/>
  <c r="F746" i="6"/>
  <c r="F747" i="6"/>
  <c r="F748" i="6"/>
  <c r="F749" i="6"/>
  <c r="F750" i="6"/>
  <c r="F751" i="6"/>
  <c r="F752" i="6"/>
  <c r="F753" i="6"/>
  <c r="F754" i="6"/>
  <c r="F755" i="6"/>
  <c r="F756" i="6"/>
  <c r="F757" i="6"/>
  <c r="F758" i="6"/>
  <c r="F759" i="6"/>
  <c r="F760" i="6"/>
  <c r="F761" i="6"/>
  <c r="F762" i="6"/>
  <c r="F763" i="6"/>
  <c r="F764" i="6"/>
  <c r="F765" i="6"/>
  <c r="F766" i="6"/>
  <c r="F767" i="6"/>
  <c r="F768" i="6"/>
  <c r="F769" i="6"/>
  <c r="F770" i="6"/>
  <c r="F771" i="6"/>
  <c r="F772" i="6"/>
  <c r="F773" i="6"/>
  <c r="F774" i="6"/>
  <c r="F775" i="6"/>
  <c r="F776" i="6"/>
  <c r="F777" i="6"/>
  <c r="F778" i="6"/>
  <c r="F779" i="6"/>
  <c r="F780" i="6"/>
  <c r="F781" i="6"/>
  <c r="F782" i="6"/>
  <c r="F783" i="6"/>
  <c r="F784" i="6"/>
  <c r="F785" i="6"/>
  <c r="F786" i="6"/>
  <c r="F787" i="6"/>
  <c r="F788" i="6"/>
  <c r="F789" i="6"/>
  <c r="F790" i="6"/>
  <c r="F791" i="6"/>
  <c r="F792" i="6"/>
  <c r="F793" i="6"/>
  <c r="F794" i="6"/>
  <c r="F795" i="6"/>
  <c r="F796" i="6"/>
  <c r="F797" i="6"/>
  <c r="F798" i="6"/>
  <c r="F799" i="6"/>
  <c r="F800" i="6"/>
  <c r="F801" i="6"/>
  <c r="F802" i="6"/>
  <c r="F803" i="6"/>
  <c r="F804" i="6"/>
  <c r="F805" i="6"/>
  <c r="F806" i="6"/>
  <c r="F807" i="6"/>
  <c r="F808" i="6"/>
  <c r="F809" i="6"/>
  <c r="F810" i="6"/>
  <c r="F811" i="6"/>
  <c r="F812" i="6"/>
  <c r="F813" i="6"/>
  <c r="F814" i="6"/>
  <c r="F815" i="6"/>
  <c r="F816" i="6"/>
  <c r="F817" i="6"/>
  <c r="F818" i="6"/>
  <c r="F819" i="6"/>
  <c r="F820" i="6"/>
  <c r="F821" i="6"/>
  <c r="F822" i="6"/>
  <c r="F823" i="6"/>
  <c r="F824" i="6"/>
  <c r="F825" i="6"/>
  <c r="F826" i="6"/>
  <c r="F827" i="6"/>
  <c r="F828" i="6"/>
  <c r="F829" i="6"/>
  <c r="F830" i="6"/>
  <c r="F831" i="6"/>
  <c r="F832" i="6"/>
  <c r="F833" i="6"/>
  <c r="F834" i="6"/>
  <c r="F835" i="6"/>
  <c r="F836" i="6"/>
  <c r="F837" i="6"/>
  <c r="F838" i="6"/>
  <c r="F839" i="6"/>
  <c r="F840" i="6"/>
  <c r="F841" i="6"/>
  <c r="F842" i="6"/>
  <c r="F843" i="6"/>
  <c r="F844" i="6"/>
  <c r="F845" i="6"/>
  <c r="F846" i="6"/>
  <c r="F847" i="6"/>
  <c r="F848" i="6"/>
  <c r="F849" i="6"/>
  <c r="F850" i="6"/>
  <c r="F851" i="6"/>
  <c r="F852" i="6"/>
  <c r="F853" i="6"/>
  <c r="F854" i="6"/>
  <c r="F855" i="6"/>
  <c r="F856" i="6"/>
  <c r="F857" i="6"/>
  <c r="F858" i="6"/>
  <c r="F859" i="6"/>
  <c r="F860" i="6"/>
  <c r="F861" i="6"/>
  <c r="F862" i="6"/>
  <c r="F863" i="6"/>
  <c r="F864" i="6"/>
  <c r="F865" i="6"/>
  <c r="F866" i="6"/>
  <c r="F867" i="6"/>
  <c r="F868" i="6"/>
  <c r="F869" i="6"/>
  <c r="F870" i="6"/>
  <c r="F871" i="6"/>
  <c r="F872" i="6"/>
  <c r="F873" i="6"/>
  <c r="F874" i="6"/>
  <c r="F875" i="6"/>
  <c r="F876" i="6"/>
  <c r="F877" i="6"/>
  <c r="F878" i="6"/>
  <c r="F879" i="6"/>
  <c r="F880" i="6"/>
  <c r="F881" i="6"/>
  <c r="F882" i="6"/>
  <c r="F883" i="6"/>
  <c r="F884" i="6"/>
  <c r="F885" i="6"/>
  <c r="F886" i="6"/>
  <c r="F887" i="6"/>
  <c r="F888" i="6"/>
  <c r="F889" i="6"/>
  <c r="F890" i="6"/>
  <c r="F891" i="6"/>
  <c r="F892" i="6"/>
  <c r="F893" i="6"/>
  <c r="F894" i="6"/>
  <c r="F895" i="6"/>
  <c r="F896" i="6"/>
  <c r="F897" i="6"/>
  <c r="F898" i="6"/>
  <c r="F899" i="6"/>
  <c r="F900" i="6"/>
  <c r="F901" i="6"/>
  <c r="F902" i="6"/>
  <c r="F903" i="6"/>
  <c r="F904" i="6"/>
  <c r="F905" i="6"/>
  <c r="F906" i="6"/>
  <c r="F907" i="6"/>
  <c r="F908" i="6"/>
  <c r="F909" i="6"/>
  <c r="F910" i="6"/>
  <c r="F911" i="6"/>
  <c r="F912" i="6"/>
  <c r="F913" i="6"/>
  <c r="F914" i="6"/>
  <c r="F915" i="6"/>
  <c r="F916" i="6"/>
  <c r="F917" i="6"/>
  <c r="F918" i="6"/>
  <c r="F919" i="6"/>
  <c r="F920" i="6"/>
  <c r="F921" i="6"/>
  <c r="F922" i="6"/>
  <c r="F923" i="6"/>
  <c r="F924" i="6"/>
  <c r="F925" i="6"/>
  <c r="F926" i="6"/>
  <c r="F927" i="6"/>
  <c r="F928" i="6"/>
  <c r="F929" i="6"/>
  <c r="F930" i="6"/>
  <c r="F931" i="6"/>
  <c r="F932" i="6"/>
  <c r="F933" i="6"/>
  <c r="F934" i="6"/>
  <c r="F935" i="6"/>
  <c r="F936" i="6"/>
  <c r="F937" i="6"/>
  <c r="F938" i="6"/>
  <c r="F939" i="6"/>
  <c r="F940" i="6"/>
  <c r="F941" i="6"/>
  <c r="F942" i="6"/>
  <c r="F943" i="6"/>
  <c r="F944" i="6"/>
  <c r="F945" i="6"/>
  <c r="F946" i="6"/>
  <c r="F947" i="6"/>
  <c r="F948" i="6"/>
  <c r="F949" i="6"/>
  <c r="F950" i="6"/>
  <c r="F951" i="6"/>
  <c r="F952" i="6"/>
  <c r="F953" i="6"/>
  <c r="F954" i="6"/>
  <c r="F955" i="6"/>
  <c r="F956" i="6"/>
  <c r="F957" i="6"/>
  <c r="F958" i="6"/>
  <c r="F959" i="6"/>
  <c r="F960" i="6"/>
  <c r="F961" i="6"/>
  <c r="F962" i="6"/>
  <c r="F963" i="6"/>
  <c r="F964" i="6"/>
  <c r="F965" i="6"/>
  <c r="F966" i="6"/>
  <c r="F967" i="6"/>
  <c r="F968" i="6"/>
  <c r="F969" i="6"/>
  <c r="F970" i="6"/>
  <c r="F971" i="6"/>
  <c r="F972" i="6"/>
  <c r="F973" i="6"/>
  <c r="F974" i="6"/>
  <c r="F975" i="6"/>
  <c r="F976" i="6"/>
  <c r="F977" i="6"/>
  <c r="F978" i="6"/>
  <c r="F979" i="6"/>
  <c r="F980" i="6"/>
  <c r="F981" i="6"/>
  <c r="F982" i="6"/>
  <c r="F983" i="6"/>
  <c r="F984" i="6"/>
  <c r="F985" i="6"/>
  <c r="F986" i="6"/>
  <c r="F987" i="6"/>
  <c r="F988" i="6"/>
  <c r="F989" i="6"/>
  <c r="F990" i="6"/>
  <c r="F991" i="6"/>
  <c r="F992" i="6"/>
  <c r="F993" i="6"/>
  <c r="F994" i="6"/>
  <c r="F995" i="6"/>
  <c r="F996" i="6"/>
  <c r="F997" i="6"/>
  <c r="F998" i="6"/>
  <c r="F999" i="6"/>
  <c r="F1000" i="6"/>
  <c r="F1001" i="6"/>
  <c r="F1002" i="6"/>
  <c r="F1003" i="6"/>
  <c r="F1004" i="6"/>
  <c r="F1005" i="6"/>
  <c r="F1006" i="6"/>
  <c r="F1007" i="6"/>
  <c r="F1008" i="6"/>
  <c r="F1009" i="6"/>
  <c r="F1010" i="6"/>
  <c r="F1011" i="6"/>
  <c r="F1012" i="6"/>
  <c r="F1013" i="6"/>
  <c r="F1014" i="6"/>
  <c r="F1015" i="6"/>
  <c r="F1016" i="6"/>
  <c r="F1017" i="6"/>
  <c r="F1018" i="6"/>
  <c r="F1019" i="6"/>
  <c r="F1020" i="6"/>
  <c r="F1021" i="6"/>
  <c r="F1022" i="6"/>
  <c r="F1023" i="6"/>
  <c r="F1024" i="6"/>
  <c r="F1025" i="6"/>
  <c r="F1026" i="6"/>
  <c r="F1027" i="6"/>
  <c r="F1028" i="6"/>
  <c r="F1029" i="6"/>
  <c r="F1030" i="6"/>
  <c r="F1031" i="6"/>
  <c r="F1032" i="6"/>
  <c r="F1033" i="6"/>
  <c r="F1034" i="6"/>
  <c r="F1035" i="6"/>
  <c r="F1036" i="6"/>
  <c r="F1037" i="6"/>
  <c r="F1038" i="6"/>
  <c r="F1039" i="6"/>
  <c r="F1040" i="6"/>
  <c r="F1041" i="6"/>
  <c r="F1042" i="6"/>
  <c r="F1043" i="6"/>
  <c r="F1044" i="6"/>
  <c r="F1045" i="6"/>
  <c r="F1046" i="6"/>
  <c r="F1047" i="6"/>
  <c r="F1048" i="6"/>
  <c r="F1049" i="6"/>
  <c r="F1050" i="6"/>
  <c r="F1051" i="6"/>
  <c r="F1052" i="6"/>
  <c r="F1053" i="6"/>
  <c r="F1054" i="6"/>
  <c r="F1055" i="6"/>
  <c r="F1056" i="6"/>
  <c r="F1057" i="6"/>
  <c r="F1058" i="6"/>
  <c r="F1059" i="6"/>
  <c r="F1060" i="6"/>
  <c r="F1061" i="6"/>
  <c r="F1062" i="6"/>
  <c r="F1063" i="6"/>
  <c r="F1064" i="6"/>
  <c r="F1065" i="6"/>
  <c r="F1066" i="6"/>
  <c r="F1067" i="6"/>
  <c r="F1068" i="6"/>
  <c r="F1069" i="6"/>
  <c r="F1070" i="6"/>
  <c r="F1071" i="6"/>
  <c r="F1072" i="6"/>
  <c r="F1073" i="6"/>
  <c r="F1074" i="6"/>
  <c r="F1075" i="6"/>
  <c r="F1076" i="6"/>
  <c r="F1077" i="6"/>
  <c r="F1078" i="6"/>
  <c r="F1079" i="6"/>
  <c r="F1080" i="6"/>
  <c r="F1081" i="6"/>
  <c r="F1082" i="6"/>
  <c r="F1083" i="6"/>
  <c r="F1084" i="6"/>
  <c r="F1085" i="6"/>
  <c r="F1086" i="6"/>
  <c r="F1087" i="6"/>
  <c r="F1088" i="6"/>
  <c r="F1089" i="6"/>
  <c r="F1090" i="6"/>
  <c r="F1091" i="6"/>
  <c r="F1092" i="6"/>
  <c r="F1093" i="6"/>
  <c r="F1094" i="6"/>
  <c r="F1095" i="6"/>
  <c r="F1096" i="6"/>
  <c r="F1097" i="6"/>
  <c r="F1098" i="6"/>
  <c r="F1099" i="6"/>
  <c r="F1100" i="6"/>
  <c r="F1101" i="6"/>
  <c r="F1102" i="6"/>
  <c r="F1103" i="6"/>
  <c r="F1104" i="6"/>
  <c r="F1105" i="6"/>
  <c r="F1106" i="6"/>
  <c r="F1107" i="6"/>
  <c r="F1108" i="6"/>
  <c r="F1109" i="6"/>
  <c r="F1110" i="6"/>
  <c r="F1111" i="6"/>
  <c r="F1112" i="6"/>
  <c r="F1113" i="6"/>
  <c r="F1114" i="6"/>
  <c r="F1115" i="6"/>
  <c r="F1116" i="6"/>
  <c r="F1117" i="6"/>
  <c r="F1118" i="6"/>
  <c r="F1119" i="6"/>
  <c r="F1120" i="6"/>
  <c r="F1121" i="6"/>
  <c r="F1122" i="6"/>
  <c r="F1123" i="6"/>
  <c r="F1124" i="6"/>
  <c r="F1125" i="6"/>
  <c r="F1126" i="6"/>
  <c r="F1127" i="6"/>
  <c r="F1128" i="6"/>
  <c r="F1129" i="6"/>
  <c r="F1130" i="6"/>
  <c r="F1131" i="6"/>
  <c r="F1132" i="6"/>
  <c r="F1133" i="6"/>
  <c r="F1134" i="6"/>
  <c r="F1135" i="6"/>
  <c r="F1136" i="6"/>
  <c r="F1137" i="6"/>
  <c r="F1138" i="6"/>
  <c r="F1139" i="6"/>
  <c r="F1140" i="6"/>
  <c r="F1141" i="6"/>
  <c r="F1142" i="6"/>
  <c r="F1143" i="6"/>
  <c r="F1144" i="6"/>
  <c r="F1145" i="6"/>
  <c r="F1146" i="6"/>
  <c r="F1147" i="6"/>
  <c r="F1148" i="6"/>
  <c r="F1149" i="6"/>
  <c r="F1150" i="6"/>
  <c r="F1151" i="6"/>
  <c r="F1152" i="6"/>
  <c r="F1153" i="6"/>
  <c r="F1154" i="6"/>
  <c r="F1155" i="6"/>
  <c r="F1156" i="6"/>
  <c r="F1157" i="6"/>
  <c r="F1158" i="6"/>
  <c r="F1159" i="6"/>
  <c r="F1160" i="6"/>
  <c r="F1161" i="6"/>
  <c r="F1162" i="6"/>
  <c r="F1163" i="6"/>
  <c r="F1164" i="6"/>
  <c r="F1165" i="6"/>
  <c r="F1166" i="6"/>
  <c r="F1167" i="6"/>
  <c r="F1168" i="6"/>
  <c r="F1169" i="6"/>
  <c r="F1170" i="6"/>
  <c r="F1171" i="6"/>
  <c r="F1172" i="6"/>
  <c r="F1173" i="6"/>
  <c r="F1174" i="6"/>
  <c r="F1175" i="6"/>
  <c r="F1176" i="6"/>
  <c r="F1177" i="6"/>
  <c r="F1178" i="6"/>
  <c r="F1179" i="6"/>
  <c r="F1180" i="6"/>
  <c r="F1181" i="6"/>
  <c r="F1182" i="6"/>
  <c r="F1183" i="6"/>
  <c r="F1184" i="6"/>
  <c r="F1185" i="6"/>
  <c r="F1186" i="6"/>
  <c r="F1187" i="6"/>
  <c r="F1188" i="6"/>
  <c r="F1189" i="6"/>
  <c r="F1190" i="6"/>
  <c r="F1191" i="6"/>
  <c r="F1192" i="6"/>
  <c r="F1193" i="6"/>
  <c r="F1194" i="6"/>
  <c r="F1195" i="6"/>
  <c r="F1196" i="6"/>
  <c r="F1197" i="6"/>
  <c r="F1198" i="6"/>
  <c r="F1199" i="6"/>
  <c r="F1200" i="6"/>
  <c r="F1201" i="6"/>
  <c r="F1202" i="6"/>
  <c r="F1203" i="6"/>
  <c r="F1204" i="6"/>
  <c r="F1205" i="6"/>
  <c r="F1206" i="6"/>
  <c r="F1207" i="6"/>
  <c r="F1208" i="6"/>
  <c r="F1209" i="6"/>
  <c r="F1210" i="6"/>
  <c r="F1211" i="6"/>
  <c r="F1212" i="6"/>
  <c r="F1213" i="6"/>
  <c r="F1214" i="6"/>
  <c r="F1215" i="6"/>
  <c r="F1216" i="6"/>
  <c r="F1217" i="6"/>
  <c r="F1218" i="6"/>
  <c r="F1219" i="6"/>
  <c r="F1220" i="6"/>
  <c r="F1221" i="6"/>
  <c r="F1222" i="6"/>
  <c r="F1223" i="6"/>
  <c r="F1224" i="6"/>
  <c r="F1225" i="6"/>
  <c r="F1226" i="6"/>
  <c r="F1227" i="6"/>
  <c r="F1228" i="6"/>
  <c r="F1229" i="6"/>
  <c r="F1230" i="6"/>
  <c r="F1231" i="6"/>
  <c r="F1232" i="6"/>
  <c r="F1233" i="6"/>
  <c r="F1234" i="6"/>
  <c r="F1235" i="6"/>
  <c r="F1236" i="6"/>
  <c r="F1237" i="6"/>
  <c r="F1238" i="6"/>
  <c r="F1239" i="6"/>
  <c r="F1240" i="6"/>
  <c r="F1241" i="6"/>
  <c r="F1242" i="6"/>
  <c r="F1243" i="6"/>
  <c r="F1244" i="6"/>
  <c r="F1245" i="6"/>
  <c r="F1246" i="6"/>
  <c r="F1247" i="6"/>
  <c r="F1248" i="6"/>
  <c r="F1249" i="6"/>
  <c r="F1250" i="6"/>
  <c r="F1251" i="6"/>
  <c r="F1252" i="6"/>
  <c r="F1253" i="6"/>
  <c r="F1254" i="6"/>
  <c r="F1255" i="6"/>
  <c r="F1256" i="6"/>
  <c r="F1257" i="6"/>
  <c r="F1258" i="6"/>
  <c r="F1259" i="6"/>
  <c r="F1260" i="6"/>
  <c r="F1261" i="6"/>
  <c r="F1262" i="6"/>
  <c r="F1263" i="6"/>
  <c r="F1264" i="6"/>
  <c r="F1265" i="6"/>
  <c r="F1266" i="6"/>
  <c r="F1267" i="6"/>
  <c r="F1268" i="6"/>
  <c r="F1269" i="6"/>
  <c r="F1270" i="6"/>
  <c r="F1271" i="6"/>
  <c r="F1272" i="6"/>
  <c r="F1273" i="6"/>
  <c r="F1274" i="6"/>
  <c r="F1275" i="6"/>
  <c r="F1276" i="6"/>
  <c r="F1277" i="6"/>
  <c r="F1278" i="6"/>
  <c r="F1279" i="6"/>
  <c r="F1280" i="6"/>
  <c r="F1281" i="6"/>
  <c r="F1282" i="6"/>
  <c r="F1283" i="6"/>
  <c r="F1284" i="6"/>
  <c r="F1285" i="6"/>
  <c r="F1286" i="6"/>
  <c r="F1287" i="6"/>
  <c r="F1288" i="6"/>
  <c r="F1289" i="6"/>
  <c r="F1290" i="6"/>
  <c r="F1291" i="6"/>
  <c r="F1292" i="6"/>
  <c r="F1293" i="6"/>
  <c r="F1294" i="6"/>
  <c r="F1295" i="6"/>
  <c r="F1296" i="6"/>
  <c r="F1297" i="6"/>
  <c r="F1298" i="6"/>
  <c r="F1299" i="6"/>
  <c r="F1300" i="6"/>
  <c r="F1301" i="6"/>
  <c r="F1302" i="6"/>
  <c r="F1303" i="6"/>
  <c r="F1304" i="6"/>
  <c r="F1305" i="6"/>
  <c r="F1306" i="6"/>
  <c r="F1307" i="6"/>
  <c r="F1308" i="6"/>
  <c r="F1309" i="6"/>
  <c r="F1310" i="6"/>
  <c r="F1311" i="6"/>
  <c r="F1312" i="6"/>
  <c r="F1313" i="6"/>
  <c r="F1314" i="6"/>
  <c r="F1315" i="6"/>
  <c r="F1316" i="6"/>
  <c r="F1317" i="6"/>
  <c r="F1318" i="6"/>
  <c r="F1319" i="6"/>
  <c r="F1320" i="6"/>
  <c r="F1321" i="6"/>
  <c r="F1322" i="6"/>
  <c r="F1323" i="6"/>
  <c r="F1324" i="6"/>
  <c r="F1325" i="6"/>
  <c r="F1326" i="6"/>
  <c r="F1327" i="6"/>
  <c r="F1328" i="6"/>
  <c r="F1329" i="6"/>
  <c r="F1330" i="6"/>
  <c r="F1331" i="6"/>
  <c r="F1332" i="6"/>
  <c r="F1333" i="6"/>
  <c r="F1334" i="6"/>
  <c r="F1335" i="6"/>
  <c r="F1336" i="6"/>
  <c r="F1337" i="6"/>
  <c r="F1338" i="6"/>
  <c r="F1339" i="6"/>
  <c r="F1340" i="6"/>
  <c r="F1341" i="6"/>
  <c r="F1342" i="6"/>
  <c r="F1343" i="6"/>
  <c r="F1344" i="6"/>
  <c r="F1345" i="6"/>
  <c r="F1346" i="6"/>
  <c r="F1347" i="6"/>
  <c r="F1348" i="6"/>
  <c r="F1349" i="6"/>
  <c r="F1350" i="6"/>
  <c r="F1351" i="6"/>
  <c r="F1352" i="6"/>
  <c r="F1353" i="6"/>
  <c r="F1354" i="6"/>
  <c r="F1355" i="6"/>
  <c r="F1356" i="6"/>
  <c r="F1357" i="6"/>
  <c r="F1358" i="6"/>
  <c r="F1359" i="6"/>
  <c r="F1360" i="6"/>
  <c r="F1361" i="6"/>
  <c r="F1362" i="6"/>
  <c r="F1363" i="6"/>
  <c r="F1364" i="6"/>
  <c r="F1365" i="6"/>
  <c r="F1366" i="6"/>
  <c r="F1367" i="6"/>
  <c r="F1368" i="6"/>
  <c r="F1369" i="6"/>
  <c r="F1370" i="6"/>
  <c r="F1371" i="6"/>
  <c r="F1372" i="6"/>
  <c r="F1373" i="6"/>
  <c r="F1374" i="6"/>
  <c r="F1375" i="6"/>
  <c r="F1376" i="6"/>
  <c r="F1377" i="6"/>
  <c r="F1378" i="6"/>
  <c r="F1379" i="6"/>
  <c r="F1380" i="6"/>
  <c r="F1381" i="6"/>
  <c r="F1382" i="6"/>
  <c r="F1383" i="6"/>
  <c r="F1384" i="6"/>
  <c r="F1385" i="6"/>
  <c r="F1386" i="6"/>
  <c r="F1387" i="6"/>
  <c r="F1388" i="6"/>
  <c r="F1389" i="6"/>
  <c r="F1390" i="6"/>
  <c r="F1391" i="6"/>
  <c r="F1392" i="6"/>
  <c r="F1393" i="6"/>
  <c r="F1394" i="6"/>
  <c r="F1395" i="6"/>
  <c r="F1396" i="6"/>
  <c r="F1397" i="6"/>
  <c r="F1398" i="6"/>
  <c r="F1399" i="6"/>
  <c r="F1400" i="6"/>
  <c r="F1401" i="6"/>
  <c r="F1402" i="6"/>
  <c r="F1403" i="6"/>
  <c r="F1404" i="6"/>
  <c r="F1405" i="6"/>
  <c r="F1406" i="6"/>
  <c r="F1407" i="6"/>
  <c r="F1408" i="6"/>
  <c r="F1409" i="6"/>
  <c r="F1410" i="6"/>
  <c r="F1411" i="6"/>
  <c r="F1412" i="6"/>
  <c r="F1413" i="6"/>
  <c r="F1414" i="6"/>
  <c r="F1415" i="6"/>
  <c r="F1416" i="6"/>
  <c r="F1417" i="6"/>
  <c r="F1418" i="6"/>
  <c r="F1419" i="6"/>
  <c r="F1420" i="6"/>
  <c r="F1421" i="6"/>
  <c r="F1422" i="6"/>
  <c r="F1423" i="6"/>
  <c r="F1424" i="6"/>
  <c r="F1425" i="6"/>
  <c r="F1426" i="6"/>
  <c r="F1427" i="6"/>
  <c r="F1428" i="6"/>
  <c r="F1429" i="6"/>
  <c r="F1430" i="6"/>
  <c r="F1431" i="6"/>
  <c r="F1432" i="6"/>
  <c r="F1433" i="6"/>
  <c r="F1434" i="6"/>
  <c r="F1435" i="6"/>
  <c r="F1436" i="6"/>
  <c r="F1437" i="6"/>
  <c r="F1438" i="6"/>
  <c r="F1439" i="6"/>
  <c r="F1440" i="6"/>
  <c r="F1441" i="6"/>
  <c r="F1442" i="6"/>
  <c r="F1443" i="6"/>
  <c r="F1444" i="6"/>
  <c r="F1445" i="6"/>
  <c r="F1446" i="6"/>
  <c r="F1447" i="6"/>
  <c r="F1448" i="6"/>
  <c r="F1449" i="6"/>
  <c r="F1450" i="6"/>
  <c r="F1451" i="6"/>
  <c r="F1452" i="6"/>
  <c r="F1453" i="6"/>
  <c r="F1454" i="6"/>
  <c r="F1455" i="6"/>
  <c r="F1456" i="6"/>
  <c r="F1457" i="6"/>
  <c r="F1458" i="6"/>
  <c r="F1459" i="6"/>
  <c r="F1460" i="6"/>
  <c r="F1461" i="6"/>
  <c r="F1462" i="6"/>
  <c r="F1463" i="6"/>
  <c r="F1464" i="6"/>
  <c r="F1465" i="6"/>
  <c r="F1466" i="6"/>
  <c r="F1467" i="6"/>
  <c r="F1468" i="6"/>
  <c r="F1469" i="6"/>
  <c r="F1470" i="6"/>
  <c r="F1471" i="6"/>
  <c r="F1472" i="6"/>
  <c r="F1473" i="6"/>
  <c r="F1474" i="6"/>
  <c r="F1475" i="6"/>
  <c r="F1476" i="6"/>
  <c r="F1477" i="6"/>
  <c r="F1478" i="6"/>
  <c r="F1479" i="6"/>
  <c r="F1480" i="6"/>
  <c r="F1481" i="6"/>
  <c r="F1482" i="6"/>
  <c r="F1483" i="6"/>
  <c r="F1484" i="6"/>
  <c r="F1485" i="6"/>
  <c r="F1486" i="6"/>
  <c r="F1487" i="6"/>
  <c r="F1488" i="6"/>
  <c r="F1489" i="6"/>
  <c r="F1490" i="6"/>
  <c r="F1491" i="6"/>
  <c r="F1492" i="6"/>
  <c r="F1493" i="6"/>
  <c r="F1494" i="6"/>
  <c r="F1495" i="6"/>
  <c r="F1496" i="6"/>
  <c r="F1497" i="6"/>
  <c r="F1498" i="6"/>
  <c r="F1499" i="6"/>
  <c r="F1500" i="6"/>
  <c r="F1501" i="6"/>
  <c r="F1502" i="6"/>
  <c r="F1503" i="6"/>
  <c r="F1504" i="6"/>
  <c r="F1505" i="6"/>
  <c r="F1506" i="6"/>
  <c r="F1507" i="6"/>
  <c r="F1508" i="6"/>
  <c r="F1509" i="6"/>
  <c r="F1510" i="6"/>
  <c r="F1511" i="6"/>
  <c r="F1512" i="6"/>
  <c r="F1513" i="6"/>
  <c r="F1514" i="6"/>
  <c r="F1515" i="6"/>
  <c r="F1516" i="6"/>
  <c r="F1517" i="6"/>
  <c r="F1518" i="6"/>
  <c r="F1519" i="6"/>
  <c r="F1520" i="6"/>
  <c r="F1521" i="6"/>
  <c r="F1522" i="6"/>
  <c r="F1523" i="6"/>
  <c r="F1524" i="6"/>
  <c r="F1525" i="6"/>
  <c r="F1526" i="6"/>
  <c r="F1527" i="6"/>
  <c r="F1528" i="6"/>
  <c r="F1529" i="6"/>
  <c r="F1530" i="6"/>
  <c r="F1531" i="6"/>
  <c r="F1532" i="6"/>
  <c r="F1533" i="6"/>
  <c r="F1534" i="6"/>
  <c r="F1535" i="6"/>
  <c r="F1536" i="6"/>
  <c r="F1537" i="6"/>
  <c r="F1538" i="6"/>
  <c r="F1539" i="6"/>
  <c r="F1540" i="6"/>
  <c r="F1541" i="6"/>
  <c r="F1542" i="6"/>
  <c r="F1543" i="6"/>
  <c r="F1544" i="6"/>
  <c r="F1545" i="6"/>
  <c r="F1546" i="6"/>
  <c r="F1547" i="6"/>
  <c r="F1548" i="6"/>
  <c r="F1549" i="6"/>
  <c r="F1550" i="6"/>
  <c r="F1551" i="6"/>
  <c r="F1552" i="6"/>
  <c r="F1553" i="6"/>
  <c r="F1554" i="6"/>
  <c r="F1555" i="6"/>
  <c r="F1556" i="6"/>
  <c r="F1557" i="6"/>
  <c r="F1558" i="6"/>
  <c r="F1559" i="6"/>
  <c r="F1560" i="6"/>
  <c r="F1561" i="6"/>
  <c r="F1562" i="6"/>
  <c r="F1563" i="6"/>
  <c r="F1564" i="6"/>
  <c r="F1565" i="6"/>
  <c r="F1566" i="6"/>
  <c r="F1567" i="6"/>
  <c r="F1568" i="6"/>
  <c r="F1569" i="6"/>
  <c r="F1570" i="6"/>
  <c r="F1571" i="6"/>
  <c r="F1572" i="6"/>
  <c r="F1573" i="6"/>
  <c r="F1574" i="6"/>
  <c r="F1575" i="6"/>
  <c r="F1576" i="6"/>
  <c r="F1577" i="6"/>
  <c r="F1578" i="6"/>
  <c r="F1579" i="6"/>
  <c r="F1580" i="6"/>
  <c r="F1581" i="6"/>
  <c r="F1582" i="6"/>
  <c r="F1583" i="6"/>
  <c r="F1584" i="6"/>
  <c r="F1585" i="6"/>
  <c r="F1586" i="6"/>
  <c r="F1587" i="6"/>
  <c r="F1588" i="6"/>
  <c r="F1589" i="6"/>
  <c r="F1590" i="6"/>
  <c r="F1591" i="6"/>
  <c r="F1592" i="6"/>
  <c r="F1593" i="6"/>
  <c r="F1594" i="6"/>
  <c r="F1595" i="6"/>
  <c r="F1596" i="6"/>
  <c r="F1597" i="6"/>
  <c r="F1598" i="6"/>
  <c r="F1599" i="6"/>
  <c r="F1600" i="6"/>
  <c r="F1601" i="6"/>
  <c r="F1602" i="6"/>
  <c r="F1603" i="6"/>
  <c r="F1604" i="6"/>
  <c r="F1605" i="6"/>
  <c r="F1606" i="6"/>
  <c r="F1607" i="6"/>
  <c r="F1608" i="6"/>
  <c r="F1609" i="6"/>
  <c r="F1610" i="6"/>
  <c r="F1611" i="6"/>
  <c r="F1612" i="6"/>
  <c r="F1613" i="6"/>
  <c r="F1614" i="6"/>
  <c r="F1615" i="6"/>
  <c r="F1616" i="6"/>
  <c r="F1617" i="6"/>
  <c r="F1618" i="6"/>
  <c r="F1619" i="6"/>
  <c r="F1620" i="6"/>
  <c r="F1621" i="6"/>
  <c r="F1622" i="6"/>
  <c r="F1623" i="6"/>
  <c r="F1624" i="6"/>
  <c r="F1625" i="6"/>
  <c r="F1626" i="6"/>
  <c r="F1627" i="6"/>
  <c r="F1628" i="6"/>
  <c r="F1629" i="6"/>
  <c r="F1630" i="6"/>
  <c r="F1631" i="6"/>
  <c r="F1632" i="6"/>
  <c r="F1633" i="6"/>
  <c r="F1634" i="6"/>
  <c r="F1635" i="6"/>
  <c r="F1636" i="6"/>
  <c r="F1637" i="6"/>
  <c r="F1638" i="6"/>
  <c r="F1639" i="6"/>
  <c r="F1640" i="6"/>
  <c r="F1641" i="6"/>
  <c r="F1642" i="6"/>
  <c r="F1643" i="6"/>
  <c r="F1644" i="6"/>
  <c r="F1645" i="6"/>
  <c r="F1646" i="6"/>
  <c r="F1647" i="6"/>
  <c r="F1648" i="6"/>
  <c r="F1649" i="6"/>
  <c r="F1650" i="6"/>
  <c r="F1651" i="6"/>
  <c r="F1652" i="6"/>
  <c r="F1653" i="6"/>
  <c r="F1654" i="6"/>
  <c r="F1655" i="6"/>
  <c r="F1656" i="6"/>
  <c r="F1657" i="6"/>
  <c r="F1658" i="6"/>
  <c r="F1659" i="6"/>
  <c r="F1660" i="6"/>
  <c r="F1661" i="6"/>
  <c r="F1662" i="6"/>
  <c r="F1663" i="6"/>
  <c r="F1664" i="6"/>
  <c r="F1665" i="6"/>
  <c r="F1666" i="6"/>
  <c r="F1667" i="6"/>
  <c r="F1668" i="6"/>
  <c r="F1669" i="6"/>
  <c r="F1670" i="6"/>
  <c r="F1671" i="6"/>
  <c r="F1672" i="6"/>
  <c r="F1673" i="6"/>
  <c r="F1674" i="6"/>
  <c r="F1675" i="6"/>
  <c r="F1676" i="6"/>
  <c r="F1677" i="6"/>
  <c r="F1678" i="6"/>
  <c r="F1679" i="6"/>
  <c r="F1680" i="6"/>
  <c r="F1681" i="6"/>
  <c r="F1682" i="6"/>
  <c r="F1683" i="6"/>
  <c r="F1684" i="6"/>
  <c r="F1685" i="6"/>
  <c r="F1686" i="6"/>
  <c r="F1687" i="6"/>
  <c r="F1688" i="6"/>
  <c r="F1689" i="6"/>
  <c r="F1690" i="6"/>
  <c r="F1691" i="6"/>
  <c r="F1692" i="6"/>
  <c r="F1693" i="6"/>
  <c r="F1694" i="6"/>
  <c r="F1695" i="6"/>
  <c r="F1696" i="6"/>
  <c r="F1697" i="6"/>
  <c r="F1698" i="6"/>
  <c r="F1699" i="6"/>
  <c r="F1700" i="6"/>
  <c r="F1701" i="6"/>
  <c r="F1702" i="6"/>
  <c r="F1703" i="6"/>
  <c r="F1704" i="6"/>
  <c r="F1705" i="6"/>
  <c r="F1706" i="6"/>
  <c r="F1707" i="6"/>
  <c r="F1708" i="6"/>
  <c r="F1709" i="6"/>
  <c r="F1710" i="6"/>
  <c r="F1711" i="6"/>
  <c r="F1712" i="6"/>
  <c r="F1713" i="6"/>
  <c r="F1714" i="6"/>
  <c r="F1715" i="6"/>
  <c r="F1716" i="6"/>
  <c r="F1717" i="6"/>
  <c r="F1718" i="6"/>
  <c r="F1719" i="6"/>
  <c r="F1720" i="6"/>
  <c r="F1721" i="6"/>
  <c r="F1722" i="6"/>
  <c r="F1723" i="6"/>
  <c r="F1724" i="6"/>
  <c r="F1725" i="6"/>
  <c r="F1726" i="6"/>
  <c r="F1727" i="6"/>
  <c r="F1728" i="6"/>
  <c r="F1729" i="6"/>
  <c r="F1730" i="6"/>
  <c r="F1731" i="6"/>
  <c r="F1732" i="6"/>
  <c r="F1733" i="6"/>
  <c r="F1734" i="6"/>
  <c r="F1735" i="6"/>
  <c r="F1736" i="6"/>
  <c r="F1737" i="6"/>
  <c r="F1738" i="6"/>
  <c r="F1739" i="6"/>
  <c r="F1740" i="6"/>
  <c r="F1741" i="6"/>
  <c r="F1742" i="6"/>
  <c r="F1743" i="6"/>
  <c r="F1744" i="6"/>
  <c r="F1745" i="6"/>
  <c r="F1746" i="6"/>
  <c r="F1747" i="6"/>
  <c r="F1748" i="6"/>
  <c r="F1749" i="6"/>
  <c r="F1750" i="6"/>
  <c r="F1751" i="6"/>
  <c r="F1752" i="6"/>
  <c r="F1753" i="6"/>
  <c r="F1754" i="6"/>
  <c r="F1755" i="6"/>
  <c r="F1756" i="6"/>
  <c r="F1757" i="6"/>
  <c r="F1758" i="6"/>
  <c r="F1759" i="6"/>
  <c r="F1760" i="6"/>
  <c r="F1761" i="6"/>
  <c r="F1762" i="6"/>
  <c r="F1763" i="6"/>
  <c r="F1764" i="6"/>
  <c r="F1765" i="6"/>
  <c r="F1766" i="6"/>
  <c r="F1767" i="6"/>
  <c r="F1768" i="6"/>
  <c r="F1769" i="6"/>
  <c r="F1770" i="6"/>
  <c r="F1771" i="6"/>
  <c r="F1772" i="6"/>
  <c r="F1773" i="6"/>
  <c r="F1774" i="6"/>
  <c r="F1775" i="6"/>
  <c r="F1776" i="6"/>
  <c r="F1777" i="6"/>
  <c r="F1778" i="6"/>
  <c r="F1779" i="6"/>
  <c r="F1780" i="6"/>
  <c r="F1781" i="6"/>
  <c r="F1782" i="6"/>
  <c r="F1783" i="6"/>
  <c r="F1784" i="6"/>
  <c r="F1785" i="6"/>
  <c r="F1786" i="6"/>
  <c r="F1787" i="6"/>
  <c r="F1788" i="6"/>
  <c r="F1789" i="6"/>
  <c r="F1790" i="6"/>
  <c r="F1791" i="6"/>
  <c r="F1792" i="6"/>
  <c r="F1793" i="6"/>
  <c r="F1794" i="6"/>
  <c r="F1795" i="6"/>
  <c r="F1796" i="6"/>
  <c r="F1797" i="6"/>
  <c r="F1798" i="6"/>
  <c r="F1799" i="6"/>
  <c r="F1800" i="6"/>
  <c r="F1801" i="6"/>
  <c r="F1802" i="6"/>
  <c r="F1803" i="6"/>
  <c r="F1804" i="6"/>
  <c r="F1805" i="6"/>
  <c r="F1806" i="6"/>
  <c r="F1807" i="6"/>
  <c r="F1808" i="6"/>
  <c r="F1809" i="6"/>
  <c r="F1810" i="6"/>
  <c r="F1811" i="6"/>
  <c r="F1812" i="6"/>
  <c r="F1813" i="6"/>
  <c r="F1814" i="6"/>
  <c r="F1815" i="6"/>
  <c r="F1816" i="6"/>
  <c r="F1817" i="6"/>
  <c r="F1818" i="6"/>
  <c r="F1819" i="6"/>
  <c r="F1820" i="6"/>
  <c r="F1821" i="6"/>
  <c r="F1822" i="6"/>
  <c r="F1823" i="6"/>
  <c r="F1824" i="6"/>
  <c r="F1825" i="6"/>
  <c r="F1826" i="6"/>
  <c r="F1827" i="6"/>
  <c r="F1828" i="6"/>
  <c r="F1829" i="6"/>
  <c r="F1830" i="6"/>
  <c r="F1831" i="6"/>
  <c r="F1832" i="6"/>
  <c r="F1833" i="6"/>
  <c r="F1834" i="6"/>
  <c r="F1835" i="6"/>
  <c r="F1836" i="6"/>
  <c r="F1837" i="6"/>
  <c r="F1838" i="6"/>
  <c r="F1839" i="6"/>
  <c r="F1840" i="6"/>
  <c r="F1841" i="6"/>
  <c r="F1842" i="6"/>
  <c r="F1843" i="6"/>
  <c r="F1844" i="6"/>
  <c r="F1845" i="6"/>
  <c r="F1846" i="6"/>
  <c r="F1847" i="6"/>
  <c r="F1848" i="6"/>
  <c r="F1849" i="6"/>
  <c r="F1850" i="6"/>
  <c r="F1851" i="6"/>
  <c r="F1852" i="6"/>
  <c r="F1853" i="6"/>
  <c r="F1854" i="6"/>
  <c r="F1855" i="6"/>
  <c r="F1856" i="6"/>
  <c r="F1857" i="6"/>
  <c r="F1858" i="6"/>
  <c r="F1859" i="6"/>
  <c r="F1860" i="6"/>
  <c r="F1861" i="6"/>
  <c r="F1862" i="6"/>
  <c r="F1863" i="6"/>
  <c r="F1864" i="6"/>
  <c r="F1865" i="6"/>
  <c r="F1866" i="6"/>
  <c r="F1867" i="6"/>
  <c r="F1868" i="6"/>
  <c r="F1869" i="6"/>
  <c r="F1870" i="6"/>
  <c r="F1871" i="6"/>
  <c r="F1872" i="6"/>
  <c r="F1873" i="6"/>
  <c r="F1874" i="6"/>
  <c r="F1875" i="6"/>
  <c r="F1876" i="6"/>
  <c r="F1877" i="6"/>
  <c r="F1878" i="6"/>
  <c r="F1879" i="6"/>
  <c r="F1880" i="6"/>
  <c r="F1881" i="6"/>
  <c r="F1882" i="6"/>
  <c r="F1883" i="6"/>
  <c r="F1884" i="6"/>
  <c r="F1885" i="6"/>
  <c r="F1886" i="6"/>
  <c r="F1887" i="6"/>
  <c r="F1888" i="6"/>
  <c r="F1889" i="6"/>
  <c r="F1890" i="6"/>
  <c r="F1891" i="6"/>
  <c r="F1892" i="6"/>
  <c r="F1893" i="6"/>
  <c r="F1894" i="6"/>
  <c r="F1895" i="6"/>
  <c r="F1896" i="6"/>
  <c r="F1897" i="6"/>
  <c r="F1898" i="6"/>
  <c r="F1899" i="6"/>
  <c r="F1900" i="6"/>
  <c r="F1901" i="6"/>
  <c r="F1902" i="6"/>
  <c r="F1903" i="6"/>
  <c r="F1904" i="6"/>
  <c r="F1905" i="6"/>
  <c r="F1906" i="6"/>
  <c r="F1907" i="6"/>
  <c r="F1908" i="6"/>
  <c r="F1909" i="6"/>
  <c r="F1910" i="6"/>
  <c r="F1911" i="6"/>
  <c r="F1912" i="6"/>
  <c r="F1913" i="6"/>
  <c r="F1914" i="6"/>
  <c r="F1915" i="6"/>
  <c r="F1916" i="6"/>
  <c r="F1917" i="6"/>
  <c r="F1918" i="6"/>
  <c r="F1919" i="6"/>
  <c r="F1920" i="6"/>
  <c r="F1921" i="6"/>
  <c r="F1922" i="6"/>
  <c r="F1923" i="6"/>
  <c r="F1924" i="6"/>
  <c r="F1925" i="6"/>
  <c r="F1926" i="6"/>
  <c r="F1927" i="6"/>
  <c r="F1928" i="6"/>
  <c r="F1929" i="6"/>
  <c r="F1930" i="6"/>
  <c r="F1931" i="6"/>
  <c r="F1932" i="6"/>
  <c r="F1933" i="6"/>
  <c r="F1934" i="6"/>
  <c r="F1935" i="6"/>
  <c r="F1936" i="6"/>
  <c r="F1937" i="6"/>
  <c r="F1938" i="6"/>
  <c r="F1939" i="6"/>
  <c r="F1940" i="6"/>
  <c r="F1941" i="6"/>
  <c r="F1942" i="6"/>
  <c r="F1943" i="6"/>
  <c r="F1944" i="6"/>
  <c r="F1945" i="6"/>
  <c r="F1946" i="6"/>
  <c r="F1947" i="6"/>
  <c r="F1948" i="6"/>
  <c r="F1949" i="6"/>
  <c r="F1950" i="6"/>
  <c r="F1951" i="6"/>
  <c r="F1952" i="6"/>
  <c r="F1953" i="6"/>
  <c r="F1954" i="6"/>
  <c r="F1955" i="6"/>
  <c r="F1956" i="6"/>
  <c r="F1957" i="6"/>
  <c r="F1958" i="6"/>
  <c r="F1959" i="6"/>
  <c r="F1960" i="6"/>
  <c r="F1961" i="6"/>
  <c r="F1962" i="6"/>
  <c r="F1963" i="6"/>
  <c r="F1964" i="6"/>
  <c r="F1965" i="6"/>
  <c r="F1966" i="6"/>
  <c r="F1967" i="6"/>
  <c r="F1968" i="6"/>
  <c r="F1969" i="6"/>
  <c r="F1970" i="6"/>
  <c r="F1971" i="6"/>
  <c r="F1972" i="6"/>
  <c r="F1973" i="6"/>
  <c r="F1974" i="6"/>
  <c r="F1975" i="6"/>
  <c r="F1976" i="6"/>
  <c r="F1977" i="6"/>
  <c r="F1978" i="6"/>
  <c r="F1979" i="6"/>
  <c r="F1980" i="6"/>
  <c r="F1981" i="6"/>
  <c r="F1982" i="6"/>
  <c r="F1983" i="6"/>
  <c r="F1984" i="6"/>
  <c r="F1985" i="6"/>
  <c r="F1986" i="6"/>
  <c r="F1987" i="6"/>
  <c r="F1988" i="6"/>
  <c r="F1989" i="6"/>
  <c r="F1990" i="6"/>
  <c r="F1991" i="6"/>
  <c r="F1992" i="6"/>
  <c r="F1993" i="6"/>
  <c r="F1994" i="6"/>
  <c r="F1995" i="6"/>
  <c r="F1996" i="6"/>
  <c r="F1997" i="6"/>
  <c r="F1998" i="6"/>
  <c r="F1999" i="6"/>
  <c r="F2000" i="6"/>
  <c r="F2001" i="6"/>
  <c r="F2002" i="6"/>
  <c r="F2003" i="6"/>
  <c r="F2004" i="6"/>
  <c r="F2005" i="6"/>
  <c r="F2006" i="6"/>
  <c r="F2007" i="6"/>
  <c r="F2008" i="6"/>
  <c r="F2009" i="6"/>
  <c r="F2010" i="6"/>
  <c r="F2011" i="6"/>
  <c r="F2012" i="6"/>
  <c r="F2013" i="6"/>
  <c r="F2014" i="6"/>
  <c r="F2015" i="6"/>
  <c r="F2016" i="6"/>
  <c r="F2017" i="6"/>
  <c r="F2018" i="6"/>
  <c r="F2019" i="6"/>
  <c r="F2020" i="6"/>
  <c r="F2021" i="6"/>
  <c r="F2022" i="6"/>
  <c r="F2023" i="6"/>
  <c r="F2024" i="6"/>
  <c r="F2025" i="6"/>
  <c r="F2026" i="6"/>
  <c r="F2027" i="6"/>
  <c r="F2028" i="6"/>
  <c r="F2029" i="6"/>
  <c r="F2030" i="6"/>
  <c r="F2031" i="6"/>
  <c r="F2032" i="6"/>
  <c r="F2033" i="6"/>
  <c r="F2034" i="6"/>
  <c r="F2035" i="6"/>
  <c r="F2036" i="6"/>
  <c r="F2037" i="6"/>
  <c r="F2038" i="6"/>
  <c r="F2039" i="6"/>
  <c r="F2040" i="6"/>
  <c r="F2041" i="6"/>
  <c r="F2042" i="6"/>
  <c r="F2043" i="6"/>
  <c r="F2044" i="6"/>
  <c r="F2045" i="6"/>
  <c r="F2046" i="6"/>
  <c r="F2047" i="6"/>
  <c r="F2048" i="6"/>
  <c r="F2049" i="6"/>
  <c r="F2050" i="6"/>
  <c r="F2051" i="6"/>
  <c r="F2052" i="6"/>
  <c r="F2053" i="6"/>
  <c r="F2054" i="6"/>
  <c r="F2055" i="6"/>
  <c r="F2056" i="6"/>
  <c r="F2057" i="6"/>
  <c r="F2058" i="6"/>
  <c r="F2059" i="6"/>
  <c r="F2060" i="6"/>
  <c r="F2061" i="6"/>
  <c r="F2062" i="6"/>
  <c r="F2063" i="6"/>
  <c r="F2064" i="6"/>
  <c r="F2065" i="6"/>
  <c r="F2066" i="6"/>
  <c r="F2067" i="6"/>
  <c r="F2068" i="6"/>
  <c r="F2069" i="6"/>
  <c r="F2070" i="6"/>
  <c r="F2071" i="6"/>
  <c r="F2072" i="6"/>
  <c r="F2073" i="6"/>
  <c r="F2074" i="6"/>
  <c r="F2075" i="6"/>
  <c r="F2076" i="6"/>
  <c r="F2077" i="6"/>
  <c r="F2078" i="6"/>
  <c r="F2079" i="6"/>
  <c r="F2080" i="6"/>
  <c r="F2081" i="6"/>
  <c r="F2082" i="6"/>
  <c r="F2083" i="6"/>
  <c r="F2084" i="6"/>
  <c r="F2085" i="6"/>
  <c r="F2086" i="6"/>
  <c r="F2087" i="6"/>
  <c r="F2088" i="6"/>
  <c r="F2089" i="6"/>
  <c r="F2090" i="6"/>
  <c r="F2091" i="6"/>
  <c r="F2092" i="6"/>
  <c r="F2093" i="6"/>
  <c r="F2094" i="6"/>
  <c r="F2095" i="6"/>
  <c r="F2096" i="6"/>
  <c r="F2097" i="6"/>
  <c r="F2098" i="6"/>
  <c r="F2099" i="6"/>
  <c r="F2100" i="6"/>
  <c r="F2101" i="6"/>
  <c r="F2102" i="6"/>
  <c r="F2103" i="6"/>
  <c r="F2104" i="6"/>
  <c r="F2105" i="6"/>
  <c r="F2106" i="6"/>
  <c r="F2107" i="6"/>
  <c r="F2108" i="6"/>
  <c r="F2109" i="6"/>
  <c r="F2110" i="6"/>
  <c r="F2111" i="6"/>
  <c r="F2112" i="6"/>
  <c r="F2113" i="6"/>
  <c r="F2114" i="6"/>
  <c r="F2115" i="6"/>
  <c r="F2116" i="6"/>
  <c r="F2117" i="6"/>
  <c r="F2118" i="6"/>
  <c r="F2119" i="6"/>
  <c r="F2120" i="6"/>
  <c r="F2121" i="6"/>
  <c r="F2122" i="6"/>
  <c r="F2123" i="6"/>
  <c r="F2124" i="6"/>
  <c r="F2125" i="6"/>
  <c r="F2126" i="6"/>
  <c r="F2127" i="6"/>
  <c r="F2128" i="6"/>
  <c r="F2129" i="6"/>
  <c r="F2130" i="6"/>
  <c r="F2131" i="6"/>
  <c r="F2132" i="6"/>
  <c r="F2133" i="6"/>
  <c r="F2134" i="6"/>
  <c r="F2135" i="6"/>
  <c r="F2136" i="6"/>
  <c r="F2137" i="6"/>
  <c r="F2138" i="6"/>
  <c r="F2139" i="6"/>
  <c r="F2140" i="6"/>
  <c r="F2141" i="6"/>
  <c r="F2142" i="6"/>
  <c r="F2143" i="6"/>
  <c r="F2144" i="6"/>
  <c r="F2145" i="6"/>
  <c r="F2146" i="6"/>
  <c r="F2147" i="6"/>
  <c r="F2148" i="6"/>
  <c r="F2149" i="6"/>
  <c r="F2150" i="6"/>
  <c r="F2151" i="6"/>
  <c r="F2152" i="6"/>
  <c r="F2153" i="6"/>
  <c r="F2154" i="6"/>
  <c r="F2155" i="6"/>
  <c r="F2156" i="6"/>
  <c r="F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55EFC1A-5D5F-4268-9E87-18D6A5384184}" keepAlive="1" name="Query - Query 1" description="Connection to the 'Query 1' query in the workbook." type="5" refreshedVersion="0" background="1" saveData="1">
    <dbPr connection="Provider=Microsoft.Mashup.OleDb.1;Data Source=$Workbook$;Location=&quot;Query 1&quot;;Extended Properties=&quot;&quot;" command="SELECT * FROM [Query 1]"/>
  </connection>
  <connection id="2" xr16:uid="{26935589-EE47-4E41-91E2-5ED365A8235F}" keepAlive="1" name="Query - Query 1 (2)" description="Connection to the 'Query 1 (2)' query in the workbook." type="5" refreshedVersion="8" background="1" saveData="1">
    <dbPr connection="Provider=Microsoft.Mashup.OleDb.1;Data Source=$Workbook$;Location=&quot;Query 1 (2)&quot;;Extended Properties=&quot;&quot;" command="SELECT * FROM [Query 1 (2)]"/>
  </connection>
  <connection id="3" xr16:uid="{BAFAA0D6-5CEF-4401-94C0-D1B7F4C520FC}" keepAlive="1" name="Query - Query 1 (3)" description="Connection to the 'Query 1 (3)' query in the workbook." type="5" refreshedVersion="0" background="1" saveData="1">
    <dbPr connection="Provider=Microsoft.Mashup.OleDb.1;Data Source=$Workbook$;Location=&quot;Query 1 (3)&quot;;Extended Properties=&quot;&quot;" command="SELECT * FROM [Query 1 (3)]"/>
  </connection>
  <connection id="4" xr16:uid="{5FC87DBF-3DDE-454E-AFCB-E8FBFC77AB20}" keepAlive="1" name="Query - Query 1 (4)" description="Connection to the 'Query 1 (4)' query in the workbook." type="5" refreshedVersion="8" background="1" saveData="1">
    <dbPr connection="Provider=Microsoft.Mashup.OleDb.1;Data Source=$Workbook$;Location=&quot;Query 1 (4)&quot;;Extended Properties=&quot;&quot;" command="SELECT * FROM [Query 1 (4)]"/>
  </connection>
  <connection id="5" xr16:uid="{6BEDDD26-0E19-4D33-949B-0603387B7228}" keepAlive="1" name="Query - Query 1 (5)" description="Connection to the 'Query 1 (5)' query in the workbook." type="5" refreshedVersion="8" background="1" saveData="1">
    <dbPr connection="Provider=Microsoft.Mashup.OleDb.1;Data Source=$Workbook$;Location=&quot;Query 1 (5)&quot;;Extended Properties=&quot;&quot;" command="SELECT * FROM [Query 1 (5)]"/>
  </connection>
  <connection id="6" xr16:uid="{BC662FD7-8F32-49A8-B116-96522BBD6CDF}" keepAlive="1" name="Query - Query 1 (6)" description="Connection to the 'Query 1 (6)' query in the workbook." type="5" refreshedVersion="8" background="1" saveData="1">
    <dbPr connection="Provider=Microsoft.Mashup.OleDb.1;Data Source=$Workbook$;Location=&quot;Query 1 (6)&quot;;Extended Properties=&quot;&quot;" command="SELECT * FROM [Query 1 (6)]"/>
  </connection>
  <connection id="7" xr16:uid="{63E3734F-5A7B-5D42-9A28-A99462CC4002}" keepAlive="1" name="Query - Query 1 (7)" description="Connection to the 'Query 1 (7)' query in the workbook." type="5" refreshedVersion="8" background="1" saveData="1">
    <dbPr connection="Provider=Microsoft.Mashup.OleDb.1;Data Source=$Workbook$;Location=&quot;Query 1 (7)&quot;;Extended Properties=&quot;&quot;" command="SELECT * FROM [Query 1 (7)]"/>
  </connection>
  <connection id="8" xr16:uid="{F13159B1-32CA-4A83-B307-6739574BB66D}" keepAlive="1" name="Query - Query 10" description="Connection to the 'Query 10' query in the workbook." type="5" refreshedVersion="8" background="1" saveData="1">
    <dbPr connection="Provider=Microsoft.Mashup.OleDb.1;Data Source=$Workbook$;Location=&quot;Query 10&quot;;Extended Properties=&quot;&quot;" command="SELECT * FROM [Query 10]"/>
  </connection>
  <connection id="9" xr16:uid="{D0F74B04-E10D-410F-B55B-E9A3FD145ECA}" keepAlive="1" name="Query - Query 10 (2)" description="Connection to the 'Query 10 (2)' query in the workbook." type="5" refreshedVersion="8" background="1" saveData="1">
    <dbPr connection="Provider=Microsoft.Mashup.OleDb.1;Data Source=$Workbook$;Location=&quot;Query 10 (2)&quot;;Extended Properties=&quot;&quot;" command="SELECT * FROM [Query 10 (2)]"/>
  </connection>
  <connection id="10" xr16:uid="{C47771DB-D1FD-4235-B562-C3EBCA758227}" keepAlive="1" name="Query - Query 11" description="Connection to the 'Query 11' query in the workbook." type="5" refreshedVersion="8" background="1" saveData="1">
    <dbPr connection="Provider=Microsoft.Mashup.OleDb.1;Data Source=$Workbook$;Location=&quot;Query 11&quot;;Extended Properties=&quot;&quot;" command="SELECT * FROM [Query 11]"/>
  </connection>
  <connection id="11" xr16:uid="{62775AE3-6C23-4401-88E9-268717D93505}" keepAlive="1" name="Query - Query 11 (2)" description="Connection to the 'Query 11 (2)' query in the workbook." type="5" refreshedVersion="8" background="1" saveData="1">
    <dbPr connection="Provider=Microsoft.Mashup.OleDb.1;Data Source=$Workbook$;Location=&quot;Query 11 (2)&quot;;Extended Properties=&quot;&quot;" command="SELECT * FROM [Query 11 (2)]"/>
  </connection>
  <connection id="12" xr16:uid="{586D6C8B-A1FC-4221-9F86-9B3E188FF712}" keepAlive="1" name="Query - Query 12(a)" description="Connection to the 'Query 12(a)' query in the workbook." type="5" refreshedVersion="8" background="1" saveData="1">
    <dbPr connection="Provider=Microsoft.Mashup.OleDb.1;Data Source=$Workbook$;Location=&quot;Query 12(a)&quot;;Extended Properties=&quot;&quot;" command="SELECT * FROM [Query 12(a)]"/>
  </connection>
  <connection id="13" xr16:uid="{E2588070-F96D-48B9-A703-5CCB0A9D12CE}" keepAlive="1" name="Query - Query 12(a) (2)" description="Connection to the 'Query 12(a) (2)' query in the workbook." type="5" refreshedVersion="8" background="1" saveData="1">
    <dbPr connection="Provider=Microsoft.Mashup.OleDb.1;Data Source=$Workbook$;Location=&quot;Query 12(a) (2)&quot;;Extended Properties=&quot;&quot;" command="SELECT * FROM [Query 12(a) (2)]"/>
  </connection>
  <connection id="14" xr16:uid="{1A8A00DB-6E59-4612-9663-0CFC28A8D13E}" keepAlive="1" name="Query - Query 12(a) (3)" description="Connection to the 'Query 12(a) (3)' query in the workbook." type="5" refreshedVersion="8" background="1" saveData="1">
    <dbPr connection="Provider=Microsoft.Mashup.OleDb.1;Data Source=$Workbook$;Location=&quot;Query 12(a) (3)&quot;;Extended Properties=&quot;&quot;" command="SELECT * FROM [Query 12(a) (3)]"/>
  </connection>
  <connection id="15" xr16:uid="{DCAECE8D-79AA-4D23-9C37-8ACADC61440F}" keepAlive="1" name="Query - Query 12(b)" description="Connection to the 'Query 12(b)' query in the workbook." type="5" refreshedVersion="8" background="1" saveData="1">
    <dbPr connection="Provider=Microsoft.Mashup.OleDb.1;Data Source=$Workbook$;Location=&quot;Query 12(b)&quot;;Extended Properties=&quot;&quot;" command="SELECT * FROM [Query 12(b)]"/>
  </connection>
  <connection id="16" xr16:uid="{34B86C35-D93E-4861-8A03-8983A9859267}" keepAlive="1" name="Query - Query 12(b) (2)" description="Connection to the 'Query 12(b) (2)' query in the workbook." type="5" refreshedVersion="8" background="1" saveData="1">
    <dbPr connection="Provider=Microsoft.Mashup.OleDb.1;Data Source=$Workbook$;Location=&quot;Query 12(b) (2)&quot;;Extended Properties=&quot;&quot;" command="SELECT * FROM [Query 12(b) (2)]"/>
  </connection>
  <connection id="17" xr16:uid="{BFCE9BB4-3E2A-404D-A3A7-A082358588B2}" keepAlive="1" name="Query - Query 12(c)" description="Connection to the 'Query 12(c)' query in the workbook." type="5" refreshedVersion="8" background="1" saveData="1">
    <dbPr connection="Provider=Microsoft.Mashup.OleDb.1;Data Source=$Workbook$;Location=&quot;Query 12(c)&quot;;Extended Properties=&quot;&quot;" command="SELECT * FROM [Query 12(c)]"/>
  </connection>
  <connection id="18" xr16:uid="{BB04AADB-2F22-4952-9A91-5C9A4308134A}" keepAlive="1" name="Query - Query 12(c) (2)" description="Connection to the 'Query 12(c) (2)' query in the workbook." type="5" refreshedVersion="8" background="1" saveData="1">
    <dbPr connection="Provider=Microsoft.Mashup.OleDb.1;Data Source=$Workbook$;Location=&quot;Query 12(c) (2)&quot;;Extended Properties=&quot;&quot;" command="SELECT * FROM [Query 12(c) (2)]"/>
  </connection>
  <connection id="19" xr16:uid="{0C9C960A-EDBD-4111-B7F7-352E1B5C0D35}" keepAlive="1" name="Query - Query 13(a)" description="Connection to the 'Query 13(a)' query in the workbook." type="5" refreshedVersion="8" background="1" saveData="1">
    <dbPr connection="Provider=Microsoft.Mashup.OleDb.1;Data Source=$Workbook$;Location=&quot;Query 13(a)&quot;;Extended Properties=&quot;&quot;" command="SELECT * FROM [Query 13(a)]"/>
  </connection>
  <connection id="20" xr16:uid="{CCC64411-19C6-433E-84A7-41C3A5F41111}" keepAlive="1" name="Query - Query 13(a) (2)" description="Connection to the 'Query 13(a) (2)' query in the workbook." type="5" refreshedVersion="8" background="1" saveData="1">
    <dbPr connection="Provider=Microsoft.Mashup.OleDb.1;Data Source=$Workbook$;Location=&quot;Query 13(a) (2)&quot;;Extended Properties=&quot;&quot;" command="SELECT * FROM [Query 13(a) (2)]"/>
  </connection>
  <connection id="21" xr16:uid="{EAC33A25-CDD3-436A-A9A9-6CA8EC6DF7A9}" keepAlive="1" name="Query - Query 13(a) (3)" description="Connection to the 'Query 13(a) (3)' query in the workbook." type="5" refreshedVersion="8" background="1" saveData="1">
    <dbPr connection="Provider=Microsoft.Mashup.OleDb.1;Data Source=$Workbook$;Location=&quot;Query 13(a) (3)&quot;;Extended Properties=&quot;&quot;" command="SELECT * FROM [Query 13(a) (3)]"/>
  </connection>
  <connection id="22" xr16:uid="{05ADDA19-AB3A-44F7-B86B-E1CA3F4470EB}" keepAlive="1" name="Query - Query 13(b)" description="Connection to the 'Query 13(b)' query in the workbook." type="5" refreshedVersion="8" background="1" saveData="1">
    <dbPr connection="Provider=Microsoft.Mashup.OleDb.1;Data Source=$Workbook$;Location=&quot;Query 13(b)&quot;;Extended Properties=&quot;&quot;" command="SELECT * FROM [Query 13(b)]"/>
  </connection>
  <connection id="23" xr16:uid="{0737E91B-2A2C-4E97-85DB-43518FD8A16C}" keepAlive="1" name="Query - Query 13(b) (2)" description="Connection to the 'Query 13(b) (2)' query in the workbook." type="5" refreshedVersion="8" background="1" saveData="1">
    <dbPr connection="Provider=Microsoft.Mashup.OleDb.1;Data Source=$Workbook$;Location=&quot;Query 13(b) (2)&quot;;Extended Properties=&quot;&quot;" command="SELECT * FROM [Query 13(b) (2)]"/>
  </connection>
  <connection id="24" xr16:uid="{1E45BC74-1D6A-4B18-8D00-B436C1A523E7}" keepAlive="1" name="Query - Query 14" description="Connection to the 'Query 14' query in the workbook." type="5" refreshedVersion="8" background="1" saveData="1">
    <dbPr connection="Provider=Microsoft.Mashup.OleDb.1;Data Source=$Workbook$;Location=&quot;Query 14&quot;;Extended Properties=&quot;&quot;" command="SELECT * FROM [Query 14]"/>
  </connection>
  <connection id="25" xr16:uid="{98EAE081-ABC1-4769-A4CC-3AD259810C03}" keepAlive="1" name="Query - Query 14 (2)" description="Connection to the 'Query 14 (2)' query in the workbook." type="5" refreshedVersion="8" background="1" saveData="1">
    <dbPr connection="Provider=Microsoft.Mashup.OleDb.1;Data Source=$Workbook$;Location=&quot;Query 14 (2)&quot;;Extended Properties=&quot;&quot;" command="SELECT * FROM [Query 14 (2)]"/>
  </connection>
  <connection id="26" xr16:uid="{6556DDA9-CC7F-462D-8B60-F39D6B4B0430}" keepAlive="1" name="Query - Query 2" description="Connection to the 'Query 2' query in the workbook." type="5" refreshedVersion="0" background="1" saveData="1">
    <dbPr connection="Provider=Microsoft.Mashup.OleDb.1;Data Source=$Workbook$;Location=&quot;Query 2&quot;;Extended Properties=&quot;&quot;" command="SELECT * FROM [Query 2]"/>
  </connection>
  <connection id="27" xr16:uid="{9EEB9E3E-E82A-4A73-85A0-B42CAEDDC701}" keepAlive="1" name="Query - Query 2 (2)" description="Connection to the 'Query 2 (2)' query in the workbook." type="5" refreshedVersion="8" background="1" saveData="1">
    <dbPr connection="Provider=Microsoft.Mashup.OleDb.1;Data Source=$Workbook$;Location=&quot;Query 2 (2)&quot;;Extended Properties=&quot;&quot;" command="SELECT * FROM [Query 2 (2)]"/>
  </connection>
  <connection id="28" xr16:uid="{FD1F030B-2F68-4964-AA4A-CFF6C02FCFAB}" keepAlive="1" name="Query - Query 2 (3)" description="Connection to the 'Query 2 (3)' query in the workbook." type="5" refreshedVersion="8" background="1" saveData="1">
    <dbPr connection="Provider=Microsoft.Mashup.OleDb.1;Data Source=$Workbook$;Location=&quot;Query 2 (3)&quot;;Extended Properties=&quot;&quot;" command="SELECT * FROM [Query 2 (3)]"/>
  </connection>
  <connection id="29" xr16:uid="{BDDF369C-AD97-4088-B71A-3741844B73DA}" keepAlive="1" name="Query - Query 2 (4)" description="Connection to the 'Query 2 (4)' query in the workbook." type="5" refreshedVersion="8" background="1" saveData="1">
    <dbPr connection="Provider=Microsoft.Mashup.OleDb.1;Data Source=$Workbook$;Location=&quot;Query 2 (4)&quot;;Extended Properties=&quot;&quot;" command="SELECT * FROM [Query 2 (4)]"/>
  </connection>
  <connection id="30" xr16:uid="{35794325-C237-4942-8638-FDEA2E56193D}" keepAlive="1" name="Query - Query 3" description="Connection to the 'Query 3' query in the workbook." type="5" refreshedVersion="0" background="1" saveData="1">
    <dbPr connection="Provider=Microsoft.Mashup.OleDb.1;Data Source=$Workbook$;Location=&quot;Query 3&quot;;Extended Properties=&quot;&quot;" command="SELECT * FROM [Query 3]"/>
  </connection>
  <connection id="31" xr16:uid="{4B4517E7-E61F-4E70-A283-42E12896DCE6}" keepAlive="1" name="Query - Query 3 (2)" description="Connection to the 'Query 3 (2)' query in the workbook." type="5" refreshedVersion="8" background="1" saveData="1">
    <dbPr connection="Provider=Microsoft.Mashup.OleDb.1;Data Source=$Workbook$;Location=&quot;Query 3 (2)&quot;;Extended Properties=&quot;&quot;" command="SELECT * FROM [Query 3 (2)]"/>
  </connection>
  <connection id="32" xr16:uid="{D3CEBBB8-49C4-418A-BB7A-FEFB9B56FF10}" keepAlive="1" name="Query - Query 3 (3)" description="Connection to the 'Query 3 (3)' query in the workbook." type="5" refreshedVersion="8" background="1" saveData="1">
    <dbPr connection="Provider=Microsoft.Mashup.OleDb.1;Data Source=$Workbook$;Location=&quot;Query 3 (3)&quot;;Extended Properties=&quot;&quot;" command="SELECT * FROM [Query 3 (3)]"/>
  </connection>
  <connection id="33" xr16:uid="{21FE102D-0B37-4511-9285-09046BDB96A3}" keepAlive="1" name="Query - Query 3 (4)" description="Connection to the 'Query 3 (4)' query in the workbook." type="5" refreshedVersion="8" background="1" saveData="1">
    <dbPr connection="Provider=Microsoft.Mashup.OleDb.1;Data Source=$Workbook$;Location=&quot;Query 3 (4)&quot;;Extended Properties=&quot;&quot;" command="SELECT * FROM [Query 3 (4)]"/>
  </connection>
  <connection id="34" xr16:uid="{93F347D6-7EA3-4592-A8B6-1377B240159E}" keepAlive="1" name="Query - Query 4(a)" description="Connection to the 'Query 4(a)' query in the workbook." type="5" refreshedVersion="0" background="1" saveData="1">
    <dbPr connection="Provider=Microsoft.Mashup.OleDb.1;Data Source=$Workbook$;Location=&quot;Query 4(a)&quot;;Extended Properties=&quot;&quot;" command="SELECT * FROM [Query 4(a)]"/>
  </connection>
  <connection id="35" xr16:uid="{483C99AE-C661-4F23-89E1-CB9F9591A1CD}" keepAlive="1" name="Query - Query 4(a) (2)" description="Connection to the 'Query 4(a) (2)' query in the workbook." type="5" refreshedVersion="8" background="1" saveData="1">
    <dbPr connection="Provider=Microsoft.Mashup.OleDb.1;Data Source=$Workbook$;Location=&quot;Query 4(a) (2)&quot;;Extended Properties=&quot;&quot;" command="SELECT * FROM [Query 4(a) (2)]"/>
  </connection>
  <connection id="36" xr16:uid="{F06FA6C7-AC4F-4812-973B-05EED7325204}" keepAlive="1" name="Query - Query 4(a) (3)" description="Connection to the 'Query 4(a) (3)' query in the workbook." type="5" refreshedVersion="8" background="1" saveData="1">
    <dbPr connection="Provider=Microsoft.Mashup.OleDb.1;Data Source=$Workbook$;Location=&quot;Query 4(a) (3)&quot;;Extended Properties=&quot;&quot;" command="SELECT * FROM [Query 4(a) (3)]"/>
  </connection>
  <connection id="37" xr16:uid="{C4892B64-6562-4FFA-ADFE-976641DAF333}" keepAlive="1" name="Query - Query 4(a) (4)" description="Connection to the 'Query 4(a) (4)' query in the workbook." type="5" refreshedVersion="8" background="1" saveData="1">
    <dbPr connection="Provider=Microsoft.Mashup.OleDb.1;Data Source=$Workbook$;Location=&quot;Query 4(a) (4)&quot;;Extended Properties=&quot;&quot;" command="SELECT * FROM [Query 4(a) (4)]"/>
  </connection>
  <connection id="38" xr16:uid="{7094F06B-2FD2-4160-9548-14057E394069}" keepAlive="1" name="Query - Query 4(b)" description="Connection to the 'Query 4(b)' query in the workbook." type="5" refreshedVersion="0" background="1" saveData="1">
    <dbPr connection="Provider=Microsoft.Mashup.OleDb.1;Data Source=$Workbook$;Location=&quot;Query 4(b)&quot;;Extended Properties=&quot;&quot;" command="SELECT * FROM [Query 4(b)]"/>
  </connection>
  <connection id="39" xr16:uid="{7964A4FD-DB8D-4DB7-8E4C-74C4D400200B}" keepAlive="1" name="Query - Query 4(b) (2)" description="Connection to the 'Query 4(b) (2)' query in the workbook." type="5" refreshedVersion="8" background="1" saveData="1">
    <dbPr connection="Provider=Microsoft.Mashup.OleDb.1;Data Source=$Workbook$;Location=&quot;Query 4(b) (2)&quot;;Extended Properties=&quot;&quot;" command="SELECT * FROM [Query 4(b) (2)]"/>
  </connection>
  <connection id="40" xr16:uid="{BDE99627-D3E2-430B-9BB2-DFEC535E01F7}" keepAlive="1" name="Query - Query 4(b) (3)" description="Connection to the 'Query 4(b) (3)' query in the workbook." type="5" refreshedVersion="8" background="1" saveData="1">
    <dbPr connection="Provider=Microsoft.Mashup.OleDb.1;Data Source=$Workbook$;Location=&quot;Query 4(b) (3)&quot;;Extended Properties=&quot;&quot;" command="SELECT * FROM [Query 4(b) (3)]"/>
  </connection>
  <connection id="41" xr16:uid="{B1AF4ACD-87C6-4622-823B-254A93E9668B}" keepAlive="1" name="Query - Query 4(b) (4)" description="Connection to the 'Query 4(b) (4)' query in the workbook." type="5" refreshedVersion="8" background="1" saveData="1">
    <dbPr connection="Provider=Microsoft.Mashup.OleDb.1;Data Source=$Workbook$;Location=&quot;Query 4(b) (4)&quot;;Extended Properties=&quot;&quot;" command="SELECT * FROM [Query 4(b) (4)]"/>
  </connection>
  <connection id="42" xr16:uid="{B7D58191-0451-467D-9E8B-5E3AF6720522}" keepAlive="1" name="Query - Query 5 1" description="Connection to the 'Query 5 1' query in the workbook." type="5" refreshedVersion="8" background="1" saveData="1">
    <dbPr connection="Provider=Microsoft.Mashup.OleDb.1;Data Source=$Workbook$;Location=&quot;Query 5 1&quot;;Extended Properties=&quot;&quot;" command="SELECT * FROM [Query 5 1]"/>
  </connection>
  <connection id="43" xr16:uid="{33702089-28EA-4B55-87E0-660F3A947A2A}" keepAlive="1" name="Query - Query 5 1 (2)" description="Connection to the 'Query 5 1 (2)' query in the workbook." type="5" refreshedVersion="8" background="1" saveData="1">
    <dbPr connection="Provider=Microsoft.Mashup.OleDb.1;Data Source=$Workbook$;Location=&quot;Query 5 1 (2)&quot;;Extended Properties=&quot;&quot;" command="SELECT * FROM [Query 5 1 (2)]"/>
  </connection>
  <connection id="44" xr16:uid="{B9761D26-F010-4FC0-940B-8D74EE8CADC4}" keepAlive="1" name="Query - Query 5 2" description="Connection to the 'Query 5 2' query in the workbook." type="5" refreshedVersion="8" background="1" saveData="1">
    <dbPr connection="Provider=Microsoft.Mashup.OleDb.1;Data Source=$Workbook$;Location=&quot;Query 5 2&quot;;Extended Properties=&quot;&quot;" command="SELECT * FROM [Query 5 2]"/>
  </connection>
  <connection id="45" xr16:uid="{5115CDFA-15FB-46E6-8350-E2E867F69843}" keepAlive="1" name="Query - Query 5 2 (2)" description="Connection to the 'Query 5 2 (2)' query in the workbook." type="5" refreshedVersion="8" background="1" saveData="1">
    <dbPr connection="Provider=Microsoft.Mashup.OleDb.1;Data Source=$Workbook$;Location=&quot;Query 5 2 (2)&quot;;Extended Properties=&quot;&quot;" command="SELECT * FROM [Query 5 2 (2)]"/>
  </connection>
  <connection id="46" xr16:uid="{2F5E8FC0-1E16-4D37-AB01-4805F78273B3}" keepAlive="1" name="Query - Query 6(a)" description="Connection to the 'Query 6(a)' query in the workbook." type="5" refreshedVersion="8" background="1" saveData="1">
    <dbPr connection="Provider=Microsoft.Mashup.OleDb.1;Data Source=$Workbook$;Location=&quot;Query 6(a)&quot;;Extended Properties=&quot;&quot;" command="SELECT * FROM [Query 6(a)]"/>
  </connection>
  <connection id="47" xr16:uid="{E06CD73C-8400-410B-95C5-37538D8011A7}" keepAlive="1" name="Query - Query 6(a) (2)" description="Connection to the 'Query 6(a) (2)' query in the workbook." type="5" refreshedVersion="8" background="1" saveData="1">
    <dbPr connection="Provider=Microsoft.Mashup.OleDb.1;Data Source=$Workbook$;Location=&quot;Query 6(a) (2)&quot;;Extended Properties=&quot;&quot;" command="SELECT * FROM [Query 6(a) (2)]"/>
  </connection>
  <connection id="48" xr16:uid="{03AB3F4D-5822-4E26-9A2A-3572B0497EA0}" keepAlive="1" name="Query - Query 6(b)" description="Connection to the 'Query 6(b)' query in the workbook." type="5" refreshedVersion="8" background="1" saveData="1">
    <dbPr connection="Provider=Microsoft.Mashup.OleDb.1;Data Source=$Workbook$;Location=&quot;Query 6(b)&quot;;Extended Properties=&quot;&quot;" command="SELECT * FROM [Query 6(b)]"/>
  </connection>
  <connection id="49" xr16:uid="{F26AA95D-2503-4853-A7EB-0357D5153EC6}" keepAlive="1" name="Query - Query 6(b) (2)" description="Connection to the 'Query 6(b) (2)' query in the workbook." type="5" refreshedVersion="8" background="1" saveData="1">
    <dbPr connection="Provider=Microsoft.Mashup.OleDb.1;Data Source=$Workbook$;Location=&quot;Query 6(b) (2)&quot;;Extended Properties=&quot;&quot;" command="SELECT * FROM [Query 6(b) (2)]"/>
  </connection>
  <connection id="50" xr16:uid="{CF972FDA-5B4D-4DEE-AB3F-658BA094A8FA}" keepAlive="1" name="Query - Query 7(a)" description="Connection to the 'Query 7(a)' query in the workbook." type="5" refreshedVersion="8" background="1" saveData="1">
    <dbPr connection="Provider=Microsoft.Mashup.OleDb.1;Data Source=$Workbook$;Location=&quot;Query 7(a)&quot;;Extended Properties=&quot;&quot;" command="SELECT * FROM [Query 7(a)]"/>
  </connection>
  <connection id="51" xr16:uid="{A5273D90-CDD6-4D0A-BF70-3073200D416F}" keepAlive="1" name="Query - Query 7(a) (2)" description="Connection to the 'Query 7(a) (2)' query in the workbook." type="5" refreshedVersion="8" background="1" saveData="1">
    <dbPr connection="Provider=Microsoft.Mashup.OleDb.1;Data Source=$Workbook$;Location=&quot;Query 7(a) (2)&quot;;Extended Properties=&quot;&quot;" command="SELECT * FROM [Query 7(a) (2)]"/>
  </connection>
  <connection id="52" xr16:uid="{88427615-36B6-4974-B209-E7E1551ECEB4}" keepAlive="1" name="Query - Query 7(b)" description="Connection to the 'Query 7(b)' query in the workbook." type="5" refreshedVersion="8" background="1" saveData="1">
    <dbPr connection="Provider=Microsoft.Mashup.OleDb.1;Data Source=$Workbook$;Location=&quot;Query 7(b)&quot;;Extended Properties=&quot;&quot;" command="SELECT * FROM [Query 7(b)]"/>
  </connection>
  <connection id="53" xr16:uid="{04DE69D5-87DA-4FCD-A3B5-16149E309123}" keepAlive="1" name="Query - Query 7(b) (2)" description="Connection to the 'Query 7(b) (2)' query in the workbook." type="5" refreshedVersion="8" background="1" saveData="1">
    <dbPr connection="Provider=Microsoft.Mashup.OleDb.1;Data Source=$Workbook$;Location=&quot;Query 7(b) (2)&quot;;Extended Properties=&quot;&quot;" command="SELECT * FROM [Query 7(b) (2)]"/>
  </connection>
  <connection id="54" xr16:uid="{2454ADA8-DC5D-4860-B721-5F1AC353CB44}" keepAlive="1" name="Query - Query 8(a)" description="Connection to the 'Query 8(a)' query in the workbook." type="5" refreshedVersion="8" background="1" saveData="1">
    <dbPr connection="Provider=Microsoft.Mashup.OleDb.1;Data Source=$Workbook$;Location=&quot;Query 8(a)&quot;;Extended Properties=&quot;&quot;" command="SELECT * FROM [Query 8(a)]"/>
  </connection>
  <connection id="55" xr16:uid="{1BB697C7-C80A-4520-A6D5-F697E97FCEB7}" keepAlive="1" name="Query - Query 8(a) (2)" description="Connection to the 'Query 8(a) (2)' query in the workbook." type="5" refreshedVersion="8" background="1" saveData="1">
    <dbPr connection="Provider=Microsoft.Mashup.OleDb.1;Data Source=$Workbook$;Location=&quot;Query 8(a) (2)&quot;;Extended Properties=&quot;&quot;" command="SELECT * FROM [Query 8(a) (2)]"/>
  </connection>
  <connection id="56" xr16:uid="{E4159987-E89E-4F3D-9DD1-B82852E9C747}" keepAlive="1" name="Query - Query 8(b)" description="Connection to the 'Query 8(b)' query in the workbook." type="5" refreshedVersion="8" background="1" saveData="1">
    <dbPr connection="Provider=Microsoft.Mashup.OleDb.1;Data Source=$Workbook$;Location=&quot;Query 8(b)&quot;;Extended Properties=&quot;&quot;" command="SELECT * FROM [Query 8(b)]"/>
  </connection>
  <connection id="57" xr16:uid="{B7B994BA-ECF7-4763-A1BF-04CAC0135734}" keepAlive="1" name="Query - Query 8(b) (2)" description="Connection to the 'Query 8(b) (2)' query in the workbook." type="5" refreshedVersion="8" background="1" saveData="1">
    <dbPr connection="Provider=Microsoft.Mashup.OleDb.1;Data Source=$Workbook$;Location=&quot;Query 8(b) (2)&quot;;Extended Properties=&quot;&quot;" command="SELECT * FROM [Query 8(b) (2)]"/>
  </connection>
  <connection id="58" xr16:uid="{FFA55F9B-B2B3-4923-B18F-4D5C5EE753CE}" keepAlive="1" name="Query - Query 9" description="Connection to the 'Query 9' query in the workbook." type="5" refreshedVersion="8" background="1" saveData="1">
    <dbPr connection="Provider=Microsoft.Mashup.OleDb.1;Data Source=$Workbook$;Location=&quot;Query 9&quot;;Extended Properties=&quot;&quot;" command="SELECT * FROM [Query 9]"/>
  </connection>
  <connection id="59" xr16:uid="{AD94F0A3-F612-4F5D-8B1B-AFCE987E17AC}" keepAlive="1" name="Query - Query 9 (2)" description="Connection to the 'Query 9 (2)' query in the workbook." type="5" refreshedVersion="8" background="1" saveData="1">
    <dbPr connection="Provider=Microsoft.Mashup.OleDb.1;Data Source=$Workbook$;Location=&quot;Query 9 (2)&quot;;Extended Properties=&quot;&quot;" command="SELECT * FROM [Query 9 (2)]"/>
  </connection>
</connections>
</file>

<file path=xl/sharedStrings.xml><?xml version="1.0" encoding="utf-8"?>
<sst xmlns="http://schemas.openxmlformats.org/spreadsheetml/2006/main" count="16640" uniqueCount="1663">
  <si>
    <t>SupplierID</t>
  </si>
  <si>
    <t>CompanyName</t>
  </si>
  <si>
    <t>ContactName</t>
  </si>
  <si>
    <t>ContactTitle</t>
  </si>
  <si>
    <t>Address</t>
  </si>
  <si>
    <t>City</t>
  </si>
  <si>
    <t>Region</t>
  </si>
  <si>
    <t>PostalCode</t>
  </si>
  <si>
    <t>Country</t>
  </si>
  <si>
    <t>Phone</t>
  </si>
  <si>
    <t>Fax</t>
  </si>
  <si>
    <t>HomePage</t>
  </si>
  <si>
    <t>Exotic Liquids</t>
  </si>
  <si>
    <t>Charlotte Cooper</t>
  </si>
  <si>
    <t>Purchasing Manager</t>
  </si>
  <si>
    <t>49 Gilbert St.</t>
  </si>
  <si>
    <t>London</t>
  </si>
  <si>
    <t>EC1 4SD</t>
  </si>
  <si>
    <t>UK</t>
  </si>
  <si>
    <t>(171) 555-2222</t>
  </si>
  <si>
    <t>New Orleans Cajun Delights</t>
  </si>
  <si>
    <t>Shelley Burke</t>
  </si>
  <si>
    <t>Order Administrator</t>
  </si>
  <si>
    <t>P.O. Box 78934</t>
  </si>
  <si>
    <t>New Orleans</t>
  </si>
  <si>
    <t>LA</t>
  </si>
  <si>
    <t>USA</t>
  </si>
  <si>
    <t>(100) 555-4822</t>
  </si>
  <si>
    <t>#CAJUN.HTM#</t>
  </si>
  <si>
    <t>Grandma Kelly's Homestead</t>
  </si>
  <si>
    <t>Regina Murphy</t>
  </si>
  <si>
    <t>Sales Representative</t>
  </si>
  <si>
    <t>707 Oxford Rd.</t>
  </si>
  <si>
    <t>Ann Arbor</t>
  </si>
  <si>
    <t>MI</t>
  </si>
  <si>
    <t>(313) 555-5735</t>
  </si>
  <si>
    <t>(313) 555-3349</t>
  </si>
  <si>
    <t>Tokyo Traders</t>
  </si>
  <si>
    <t>Yoshi Nagase</t>
  </si>
  <si>
    <t>Marketing Manager</t>
  </si>
  <si>
    <t>9-8 Sekimai
Musashino-shi</t>
  </si>
  <si>
    <t>Tokyo</t>
  </si>
  <si>
    <t>Japan</t>
  </si>
  <si>
    <t>(03) 3555-5011</t>
  </si>
  <si>
    <t>Cooperativa de Quesos 'Las Cabras'</t>
  </si>
  <si>
    <t>Antonio del Valle Saavedra</t>
  </si>
  <si>
    <t>Export Administrator</t>
  </si>
  <si>
    <t>Calle del Rosal 4</t>
  </si>
  <si>
    <t>Oviedo</t>
  </si>
  <si>
    <t>Asturias</t>
  </si>
  <si>
    <t>Spain</t>
  </si>
  <si>
    <t>(98) 598 76 54</t>
  </si>
  <si>
    <t>Mayumi's</t>
  </si>
  <si>
    <t>Mayumi Ohno</t>
  </si>
  <si>
    <t>Marketing Representative</t>
  </si>
  <si>
    <t>92 Setsuko
Chuo-ku</t>
  </si>
  <si>
    <t>Osaka</t>
  </si>
  <si>
    <t>(06) 431-7877</t>
  </si>
  <si>
    <t>Mayumi's (on the World Wide Web)#http://www.microsoft.com/accessdev/sampleapps/mayumi.htm#</t>
  </si>
  <si>
    <t>Pavlova, Ltd.</t>
  </si>
  <si>
    <t>Ian Devling</t>
  </si>
  <si>
    <t>74 Rose St.
Moonie Ponds</t>
  </si>
  <si>
    <t>Melbourne</t>
  </si>
  <si>
    <t>Victoria</t>
  </si>
  <si>
    <t>Australia</t>
  </si>
  <si>
    <t>(03) 444-2343</t>
  </si>
  <si>
    <t>(03) 444-6588</t>
  </si>
  <si>
    <t>Specialty Biscuits, Ltd.</t>
  </si>
  <si>
    <t>Peter Wilson</t>
  </si>
  <si>
    <t>29 King's Way</t>
  </si>
  <si>
    <t>Manchester</t>
  </si>
  <si>
    <t>M14 GSD</t>
  </si>
  <si>
    <t>(161) 555-4448</t>
  </si>
  <si>
    <t>PB Knäckebröd AB</t>
  </si>
  <si>
    <t>Lars Peterson</t>
  </si>
  <si>
    <t>Sales Agent</t>
  </si>
  <si>
    <t>Kaloadagatan 13</t>
  </si>
  <si>
    <t>Göteborg</t>
  </si>
  <si>
    <t>S-345 67</t>
  </si>
  <si>
    <t>Sweden</t>
  </si>
  <si>
    <t>031-987 65 43</t>
  </si>
  <si>
    <t>031-987 65 91</t>
  </si>
  <si>
    <t>Refrescos Americanas LTDA</t>
  </si>
  <si>
    <t>Carlos Diaz</t>
  </si>
  <si>
    <t>Av. das Americanas 12.890</t>
  </si>
  <si>
    <t>São Paulo</t>
  </si>
  <si>
    <t>Brazil</t>
  </si>
  <si>
    <t>(11) 555 4640</t>
  </si>
  <si>
    <t>Heli Süßwaren GmbH &amp; Co. KG</t>
  </si>
  <si>
    <t>Petra Winkler</t>
  </si>
  <si>
    <t>Sales Manager</t>
  </si>
  <si>
    <t>Tiergartenstraße 5</t>
  </si>
  <si>
    <t>Berlin</t>
  </si>
  <si>
    <t>Germany</t>
  </si>
  <si>
    <t>(010) 9984510</t>
  </si>
  <si>
    <t>Plutzer Lebensmittelgroßmärkte AG</t>
  </si>
  <si>
    <t>Martin Bein</t>
  </si>
  <si>
    <t>International Marketing Mgr.</t>
  </si>
  <si>
    <t>Bogenallee 51</t>
  </si>
  <si>
    <t>Frankfurt</t>
  </si>
  <si>
    <t>(069) 992755</t>
  </si>
  <si>
    <t>Plutzer (on the World Wide Web)#http://www.microsoft.com/accessdev/sampleapps/plutzer.htm#</t>
  </si>
  <si>
    <t>Nord-Ost-Fisch Handelsgesellschaft mbH</t>
  </si>
  <si>
    <t>Sven Petersen</t>
  </si>
  <si>
    <t>Coordinator Foreign Markets</t>
  </si>
  <si>
    <t>Frahmredder 112a</t>
  </si>
  <si>
    <t>Cuxhaven</t>
  </si>
  <si>
    <t>(04721) 8713</t>
  </si>
  <si>
    <t>(04721) 8714</t>
  </si>
  <si>
    <t>Formaggi Fortini s.r.l.</t>
  </si>
  <si>
    <t>Elio Rossi</t>
  </si>
  <si>
    <t>Viale Dante, 75</t>
  </si>
  <si>
    <t>Ravenna</t>
  </si>
  <si>
    <t>Italy</t>
  </si>
  <si>
    <t>(0544) 60323</t>
  </si>
  <si>
    <t>(0544) 60603</t>
  </si>
  <si>
    <t>#FORMAGGI.HTM#</t>
  </si>
  <si>
    <t>Norske Meierier</t>
  </si>
  <si>
    <t>Beate Vileid</t>
  </si>
  <si>
    <t>Hatlevegen 5</t>
  </si>
  <si>
    <t>Sandvika</t>
  </si>
  <si>
    <t>Norway</t>
  </si>
  <si>
    <t>(0)2-953010</t>
  </si>
  <si>
    <t>Bigfoot Breweries</t>
  </si>
  <si>
    <t>Cheryl Saylor</t>
  </si>
  <si>
    <t>Regional Account Rep.</t>
  </si>
  <si>
    <t>3400 - 8th Avenue
Suite 210</t>
  </si>
  <si>
    <t>Bend</t>
  </si>
  <si>
    <t>OR</t>
  </si>
  <si>
    <t>(503) 555-9931</t>
  </si>
  <si>
    <t>Svensk Sjöföda AB</t>
  </si>
  <si>
    <t>Michael Björn</t>
  </si>
  <si>
    <t>Brovallavägen 231</t>
  </si>
  <si>
    <t>Stockholm</t>
  </si>
  <si>
    <t>S-123 45</t>
  </si>
  <si>
    <t>08-123 45 67</t>
  </si>
  <si>
    <t>Aux joyeux ecclésiastiques</t>
  </si>
  <si>
    <t>Guylène Nodier</t>
  </si>
  <si>
    <t>203, Rue des Francs-Bourgeois</t>
  </si>
  <si>
    <t>Paris</t>
  </si>
  <si>
    <t>France</t>
  </si>
  <si>
    <t>(1) 03.83.00.68</t>
  </si>
  <si>
    <t>(1) 03.83.00.62</t>
  </si>
  <si>
    <t>New England Seafood Cannery</t>
  </si>
  <si>
    <t>Robb Merchant</t>
  </si>
  <si>
    <t>Wholesale Account Agent</t>
  </si>
  <si>
    <t>Order Processing Dept.
2100 Paul Revere Blvd.</t>
  </si>
  <si>
    <t>Boston</t>
  </si>
  <si>
    <t>MA</t>
  </si>
  <si>
    <t>(617) 555-3267</t>
  </si>
  <si>
    <t>(617) 555-3389</t>
  </si>
  <si>
    <t>Leka Trading</t>
  </si>
  <si>
    <t>Chandra Leka</t>
  </si>
  <si>
    <t>Owner</t>
  </si>
  <si>
    <t>471 Serangoon Loop, Suite #402</t>
  </si>
  <si>
    <t>Singapore</t>
  </si>
  <si>
    <t>555-8787</t>
  </si>
  <si>
    <t>Lyngbysild</t>
  </si>
  <si>
    <t>Niels Petersen</t>
  </si>
  <si>
    <t>Lyngbysild
Fiskebakken 10</t>
  </si>
  <si>
    <t>Lyngby</t>
  </si>
  <si>
    <t>Denmark</t>
  </si>
  <si>
    <t>Zaanse Snoepfabriek</t>
  </si>
  <si>
    <t>Dirk Luchte</t>
  </si>
  <si>
    <t>Accounting Manager</t>
  </si>
  <si>
    <t>Verkoop
Rijnweg 22</t>
  </si>
  <si>
    <t>Zaandam</t>
  </si>
  <si>
    <t>9999 ZZ</t>
  </si>
  <si>
    <t>Netherlands</t>
  </si>
  <si>
    <t>(12345) 1212</t>
  </si>
  <si>
    <t>(12345) 1210</t>
  </si>
  <si>
    <t>Karkki Oy</t>
  </si>
  <si>
    <t>Anne Heikkonen</t>
  </si>
  <si>
    <t>Product Manager</t>
  </si>
  <si>
    <t>Valtakatu 12</t>
  </si>
  <si>
    <t>Lappeenranta</t>
  </si>
  <si>
    <t>Finland</t>
  </si>
  <si>
    <t>(953) 10956</t>
  </si>
  <si>
    <t>G'day, Mate</t>
  </si>
  <si>
    <t>Wendy Mackenzie</t>
  </si>
  <si>
    <t>170 Prince Edward Parade
Hunter's Hill</t>
  </si>
  <si>
    <t>Sydney</t>
  </si>
  <si>
    <t>NSW</t>
  </si>
  <si>
    <t>(02) 555-5914</t>
  </si>
  <si>
    <t>(02) 555-4873</t>
  </si>
  <si>
    <t>G'day Mate (on the World Wide Web)#http://www.microsoft.com/accessdev/sampleapps/gdaymate.htm#</t>
  </si>
  <si>
    <t>Ma Maison</t>
  </si>
  <si>
    <t>Jean-Guy Lauzon</t>
  </si>
  <si>
    <t>2960 Rue St. Laurent</t>
  </si>
  <si>
    <t>Montréal</t>
  </si>
  <si>
    <t>Québec</t>
  </si>
  <si>
    <t>H1J 1C3</t>
  </si>
  <si>
    <t>Canada</t>
  </si>
  <si>
    <t>(514) 555-9022</t>
  </si>
  <si>
    <t>Pasta Buttini s.r.l.</t>
  </si>
  <si>
    <t>Giovanni Giudici</t>
  </si>
  <si>
    <t>Via dei Gelsomini, 153</t>
  </si>
  <si>
    <t>Salerno</t>
  </si>
  <si>
    <t>(089) 6547665</t>
  </si>
  <si>
    <t>(089) 6547667</t>
  </si>
  <si>
    <t>Escargots Nouveaux</t>
  </si>
  <si>
    <t>Marie Delamare</t>
  </si>
  <si>
    <t>22, rue H. Voiron</t>
  </si>
  <si>
    <t>Montceau</t>
  </si>
  <si>
    <t>85.57.00.07</t>
  </si>
  <si>
    <t>Gai pâturage</t>
  </si>
  <si>
    <t>Eliane Noz</t>
  </si>
  <si>
    <t>Bat. B
3, rue des Alpes</t>
  </si>
  <si>
    <t>Annecy</t>
  </si>
  <si>
    <t>38.76.98.06</t>
  </si>
  <si>
    <t>38.76.98.58</t>
  </si>
  <si>
    <t>Forêts d'érables</t>
  </si>
  <si>
    <t>Chantal Goulet</t>
  </si>
  <si>
    <t>148 rue Chasseur</t>
  </si>
  <si>
    <t>Ste-Hyacinthe</t>
  </si>
  <si>
    <t>J2S 7S8</t>
  </si>
  <si>
    <t>(514) 555-2955</t>
  </si>
  <si>
    <t>(514) 555-2921</t>
  </si>
  <si>
    <t>ShipperID</t>
  </si>
  <si>
    <t>Speedy Express</t>
  </si>
  <si>
    <t>(503) 555-9831</t>
  </si>
  <si>
    <t>United Package</t>
  </si>
  <si>
    <t>(503) 555-3199</t>
  </si>
  <si>
    <t>Federal Shipping</t>
  </si>
  <si>
    <t>ProductID</t>
  </si>
  <si>
    <t>ProductName</t>
  </si>
  <si>
    <t>CategoryID</t>
  </si>
  <si>
    <t>QuantityPerUnit</t>
  </si>
  <si>
    <t>UnitPrice</t>
  </si>
  <si>
    <t>UnitsInStock</t>
  </si>
  <si>
    <t>UnitsOnOrder</t>
  </si>
  <si>
    <t>ReorderLevel</t>
  </si>
  <si>
    <t>Discontinued</t>
  </si>
  <si>
    <t>Chai</t>
  </si>
  <si>
    <t>10 boxes x 20 bags</t>
  </si>
  <si>
    <t>Chang</t>
  </si>
  <si>
    <t>24 - 12 oz bottles</t>
  </si>
  <si>
    <t>Aniseed Syrup</t>
  </si>
  <si>
    <t>12 - 550 ml bottles</t>
  </si>
  <si>
    <t>Chef Anton's Cajun Seasoning</t>
  </si>
  <si>
    <t>48 - 6 oz jars</t>
  </si>
  <si>
    <t>Chef Anton's Gumbo Mix</t>
  </si>
  <si>
    <t>36 boxes</t>
  </si>
  <si>
    <t>Grandma's Boysenberry Spread</t>
  </si>
  <si>
    <t>12 - 8 oz jars</t>
  </si>
  <si>
    <t>Uncle Bob's Organic Dried Pears</t>
  </si>
  <si>
    <t>12 - 1 lb pkgs.</t>
  </si>
  <si>
    <t>Northwoods Cranberry Sauce</t>
  </si>
  <si>
    <t>12 - 12 oz jars</t>
  </si>
  <si>
    <t>Mishi Kobe Niku</t>
  </si>
  <si>
    <t>18 - 500 g pkgs.</t>
  </si>
  <si>
    <t>Ikura</t>
  </si>
  <si>
    <t>12 - 200 ml jars</t>
  </si>
  <si>
    <t>Queso Cabrales</t>
  </si>
  <si>
    <t>1 kg pkg.</t>
  </si>
  <si>
    <t>Queso Manchego La Pastora</t>
  </si>
  <si>
    <t>10 - 500 g pkgs.</t>
  </si>
  <si>
    <t>Konbu</t>
  </si>
  <si>
    <t>2 kg box</t>
  </si>
  <si>
    <t>Tofu</t>
  </si>
  <si>
    <t>40 - 100 g pkgs.</t>
  </si>
  <si>
    <t>Genen Shouyu</t>
  </si>
  <si>
    <t>24 - 250 ml bottles</t>
  </si>
  <si>
    <t>Pavlova</t>
  </si>
  <si>
    <t>32 - 500 g boxes</t>
  </si>
  <si>
    <t>Alice Mutton</t>
  </si>
  <si>
    <t>20 - 1 kg tins</t>
  </si>
  <si>
    <t>Carnarvon Tigers</t>
  </si>
  <si>
    <t>16 kg pkg.</t>
  </si>
  <si>
    <t>Teatime Chocolate Biscuits</t>
  </si>
  <si>
    <t>10 boxes x 12 pieces</t>
  </si>
  <si>
    <t>Sir Rodney's Marmalade</t>
  </si>
  <si>
    <t>30 gift boxes</t>
  </si>
  <si>
    <t>Sir Rodney's Scones</t>
  </si>
  <si>
    <t>24 pkgs. x 4 pieces</t>
  </si>
  <si>
    <t>Gustaf's Knäckebröd</t>
  </si>
  <si>
    <t>24 - 500 g pkgs.</t>
  </si>
  <si>
    <t>Tunnbröd</t>
  </si>
  <si>
    <t>12 - 250 g pkgs.</t>
  </si>
  <si>
    <t>Guaraná Fantástica</t>
  </si>
  <si>
    <t>12 - 355 ml cans</t>
  </si>
  <si>
    <t>NuNuCa Nuß-Nougat-Creme</t>
  </si>
  <si>
    <t>20 - 450 g glasses</t>
  </si>
  <si>
    <t>Gumbär Gummibärchen</t>
  </si>
  <si>
    <t>100 - 250 g bags</t>
  </si>
  <si>
    <t>Schoggi Schokolade</t>
  </si>
  <si>
    <t>100 - 100 g pieces</t>
  </si>
  <si>
    <t>Rössle Sauerkraut</t>
  </si>
  <si>
    <t>25 - 825 g cans</t>
  </si>
  <si>
    <t>Thüringer Rostbratwurst</t>
  </si>
  <si>
    <t>50 bags x 30 sausgs.</t>
  </si>
  <si>
    <t>Nord-Ost Matjeshering</t>
  </si>
  <si>
    <t>10 - 200 g glasses</t>
  </si>
  <si>
    <t>Gorgonzola Telino</t>
  </si>
  <si>
    <t>12 - 100 g pkgs</t>
  </si>
  <si>
    <t>Mascarpone Fabioli</t>
  </si>
  <si>
    <t>24 - 200 g pkgs.</t>
  </si>
  <si>
    <t>Geitost</t>
  </si>
  <si>
    <t>500 g</t>
  </si>
  <si>
    <t>Sasquatch Ale</t>
  </si>
  <si>
    <t>Steeleye Stout</t>
  </si>
  <si>
    <t>Inlagd Sill</t>
  </si>
  <si>
    <t>24 - 250 g  jars</t>
  </si>
  <si>
    <t>Gravad lax</t>
  </si>
  <si>
    <t>12 - 500 g pkgs.</t>
  </si>
  <si>
    <t>Côte de Blaye</t>
  </si>
  <si>
    <t>12 - 75 cl bottles</t>
  </si>
  <si>
    <t>Chartreuse verte</t>
  </si>
  <si>
    <t>750 cc per bottle</t>
  </si>
  <si>
    <t>Boston Crab Meat</t>
  </si>
  <si>
    <t>24 - 4 oz tins</t>
  </si>
  <si>
    <t>Jack's New England Clam Chowder</t>
  </si>
  <si>
    <t>12 - 12 oz cans</t>
  </si>
  <si>
    <t>Singaporean Hokkien Fried Mee</t>
  </si>
  <si>
    <t>32 - 1 kg pkgs.</t>
  </si>
  <si>
    <t>Ipoh Coffee</t>
  </si>
  <si>
    <t>16 - 500 g tins</t>
  </si>
  <si>
    <t>Gula Malacca</t>
  </si>
  <si>
    <t>20 - 2 kg bags</t>
  </si>
  <si>
    <t>Røgede sild</t>
  </si>
  <si>
    <t>1k pkg.</t>
  </si>
  <si>
    <t>Spegesild</t>
  </si>
  <si>
    <t>4 - 450 g glasses</t>
  </si>
  <si>
    <t>Zaanse koeken</t>
  </si>
  <si>
    <t>10 - 4 oz boxes</t>
  </si>
  <si>
    <t>Chocolade</t>
  </si>
  <si>
    <t>10 pkgs.</t>
  </si>
  <si>
    <t>Maxilaku</t>
  </si>
  <si>
    <t>24 - 50 g pkgs.</t>
  </si>
  <si>
    <t>Valkoinen suklaa</t>
  </si>
  <si>
    <t>12 - 100 g bars</t>
  </si>
  <si>
    <t>Manjimup Dried Apples</t>
  </si>
  <si>
    <t>50 - 300 g pkgs.</t>
  </si>
  <si>
    <t>Filo Mix</t>
  </si>
  <si>
    <t>16 - 2 kg boxes</t>
  </si>
  <si>
    <t>Perth Pasties</t>
  </si>
  <si>
    <t>48 pieces</t>
  </si>
  <si>
    <t>Tourtière</t>
  </si>
  <si>
    <t>16 pies</t>
  </si>
  <si>
    <t>Pâté chinois</t>
  </si>
  <si>
    <t>24 boxes x 2 pies</t>
  </si>
  <si>
    <t>Gnocchi di nonna Alice</t>
  </si>
  <si>
    <t>24 - 250 g pkgs.</t>
  </si>
  <si>
    <t>Ravioli Angelo</t>
  </si>
  <si>
    <t>Escargots de Bourgogne</t>
  </si>
  <si>
    <t>24 pieces</t>
  </si>
  <si>
    <t>Raclette Courdavault</t>
  </si>
  <si>
    <t>5 kg pkg.</t>
  </si>
  <si>
    <t>Camembert Pierrot</t>
  </si>
  <si>
    <t>15 - 300 g rounds</t>
  </si>
  <si>
    <t>Sirop d'érable</t>
  </si>
  <si>
    <t>24 - 500 ml bottles</t>
  </si>
  <si>
    <t>Tarte au sucre</t>
  </si>
  <si>
    <t>48 pies</t>
  </si>
  <si>
    <t>Vegie-spread</t>
  </si>
  <si>
    <t>15 - 625 g jars</t>
  </si>
  <si>
    <t>Wimmers gute Semmelknödel</t>
  </si>
  <si>
    <t>20 bags x 4 pieces</t>
  </si>
  <si>
    <t>Louisiana Fiery Hot Pepper Sauce</t>
  </si>
  <si>
    <t>32 - 8 oz bottles</t>
  </si>
  <si>
    <t>Louisiana Hot Spiced Okra</t>
  </si>
  <si>
    <t>24 - 8 oz jars</t>
  </si>
  <si>
    <t>Laughing Lumberjack Lager</t>
  </si>
  <si>
    <t>Scottish Longbreads</t>
  </si>
  <si>
    <t>10 boxes x 8 pieces</t>
  </si>
  <si>
    <t>Gudbrandsdalsost</t>
  </si>
  <si>
    <t>10 kg pkg.</t>
  </si>
  <si>
    <t>Outback Lager</t>
  </si>
  <si>
    <t>24 - 355 ml bottles</t>
  </si>
  <si>
    <t>Fløtemysost</t>
  </si>
  <si>
    <t>Mozzarella di Giovanni</t>
  </si>
  <si>
    <t>Röd Kaviar</t>
  </si>
  <si>
    <t>24 - 150 g jars</t>
  </si>
  <si>
    <t>Longlife Tofu</t>
  </si>
  <si>
    <t>Rhönbräu Klosterbier</t>
  </si>
  <si>
    <t>24 - 0.5 l bottles</t>
  </si>
  <si>
    <t>Lakkalikööri</t>
  </si>
  <si>
    <t>500 ml</t>
  </si>
  <si>
    <t>Original Frankfurter grüne Soße</t>
  </si>
  <si>
    <t>12 boxes</t>
  </si>
  <si>
    <t>OrderID</t>
  </si>
  <si>
    <t>CustomerID</t>
  </si>
  <si>
    <t>EmployeeID</t>
  </si>
  <si>
    <t>OrderDate</t>
  </si>
  <si>
    <t>RequiredDate</t>
  </si>
  <si>
    <t>ShippedDate</t>
  </si>
  <si>
    <t>ShipVia</t>
  </si>
  <si>
    <t>Freight</t>
  </si>
  <si>
    <t>ShipName</t>
  </si>
  <si>
    <t>ShipAddress</t>
  </si>
  <si>
    <t>ShipCity</t>
  </si>
  <si>
    <t>ShipRegion</t>
  </si>
  <si>
    <t>ShipPostalCode</t>
  </si>
  <si>
    <t>ShipCountry</t>
  </si>
  <si>
    <t>VINET</t>
  </si>
  <si>
    <t>Vins et alcools Chevalier</t>
  </si>
  <si>
    <t>59 rue de l'Abbaye</t>
  </si>
  <si>
    <t>Reims</t>
  </si>
  <si>
    <t>TOMSP</t>
  </si>
  <si>
    <t>Toms Spezialitäten</t>
  </si>
  <si>
    <t>Luisenstr. 48</t>
  </si>
  <si>
    <t>Münster</t>
  </si>
  <si>
    <t>HANAR</t>
  </si>
  <si>
    <t>Hanari Carnes</t>
  </si>
  <si>
    <t>Rua do Paço, 67</t>
  </si>
  <si>
    <t>Rio de Janeiro</t>
  </si>
  <si>
    <t>RJ</t>
  </si>
  <si>
    <t>05454-876</t>
  </si>
  <si>
    <t>VICTE</t>
  </si>
  <si>
    <t>Victuailles en stock</t>
  </si>
  <si>
    <t>2, rue du Commerce</t>
  </si>
  <si>
    <t>Lyon</t>
  </si>
  <si>
    <t>SUPRD</t>
  </si>
  <si>
    <t>Suprêmes délices</t>
  </si>
  <si>
    <t>Boulevard Tirou, 255</t>
  </si>
  <si>
    <t>Charleroi</t>
  </si>
  <si>
    <t>B-6000</t>
  </si>
  <si>
    <t>Belgium</t>
  </si>
  <si>
    <t>CHOPS</t>
  </si>
  <si>
    <t>Chop-suey Chinese</t>
  </si>
  <si>
    <t>Hauptstr. 31</t>
  </si>
  <si>
    <t>Bern</t>
  </si>
  <si>
    <t>Switzerland</t>
  </si>
  <si>
    <t>RICSU</t>
  </si>
  <si>
    <t>Richter Supermarkt</t>
  </si>
  <si>
    <t>Starenweg 5</t>
  </si>
  <si>
    <t>Genève</t>
  </si>
  <si>
    <t>WELLI</t>
  </si>
  <si>
    <t>Wellington Importadora</t>
  </si>
  <si>
    <t>Rua do Mercado, 12</t>
  </si>
  <si>
    <t>Resende</t>
  </si>
  <si>
    <t>SP</t>
  </si>
  <si>
    <t>08737-363</t>
  </si>
  <si>
    <t>HILAA</t>
  </si>
  <si>
    <t>HILARIÓN-Abastos</t>
  </si>
  <si>
    <t>Carrera 22 con Ave. Carlos Soublette #8-35</t>
  </si>
  <si>
    <t>San Cristóbal</t>
  </si>
  <si>
    <t>Táchira</t>
  </si>
  <si>
    <t>Venezuela</t>
  </si>
  <si>
    <t>ERNSH</t>
  </si>
  <si>
    <t>Ernst Handel</t>
  </si>
  <si>
    <t>Kirchgasse 6</t>
  </si>
  <si>
    <t>Graz</t>
  </si>
  <si>
    <t>Austria</t>
  </si>
  <si>
    <t>CENTC</t>
  </si>
  <si>
    <t>Centro comercial Moctezuma</t>
  </si>
  <si>
    <t>Sierras de Granada 9993</t>
  </si>
  <si>
    <t>México D.F.</t>
  </si>
  <si>
    <t>Mexico</t>
  </si>
  <si>
    <t>OTTIK</t>
  </si>
  <si>
    <t>Ottilies Käseladen</t>
  </si>
  <si>
    <t>Mehrheimerstr. 369</t>
  </si>
  <si>
    <t>Köln</t>
  </si>
  <si>
    <t>QUEDE</t>
  </si>
  <si>
    <t>Que Delícia</t>
  </si>
  <si>
    <t>Rua da Panificadora, 12</t>
  </si>
  <si>
    <t>02389-673</t>
  </si>
  <si>
    <t>RATTC</t>
  </si>
  <si>
    <t>Rattlesnake Canyon Grocery</t>
  </si>
  <si>
    <t>2817 Milton Dr.</t>
  </si>
  <si>
    <t>Albuquerque</t>
  </si>
  <si>
    <t>NM</t>
  </si>
  <si>
    <t>FOLKO</t>
  </si>
  <si>
    <t>Folk och fä HB</t>
  </si>
  <si>
    <t>Åkergatan 24</t>
  </si>
  <si>
    <t>Bräcke</t>
  </si>
  <si>
    <t>S-844 67</t>
  </si>
  <si>
    <t>BLONP</t>
  </si>
  <si>
    <t>Blondel père et fils</t>
  </si>
  <si>
    <t>24, place Kléber</t>
  </si>
  <si>
    <t>Strasbourg</t>
  </si>
  <si>
    <t>WARTH</t>
  </si>
  <si>
    <t>Wartian Herkku</t>
  </si>
  <si>
    <t>Torikatu 38</t>
  </si>
  <si>
    <t>Oulu</t>
  </si>
  <si>
    <t>FRANK</t>
  </si>
  <si>
    <t>Frankenversand</t>
  </si>
  <si>
    <t>Berliner Platz 43</t>
  </si>
  <si>
    <t>München</t>
  </si>
  <si>
    <t>GROSR</t>
  </si>
  <si>
    <t>GROSELLA-Restaurante</t>
  </si>
  <si>
    <t>5ª Ave. Los Palos Grandes</t>
  </si>
  <si>
    <t>Caracas</t>
  </si>
  <si>
    <t>DF</t>
  </si>
  <si>
    <t>WHITC</t>
  </si>
  <si>
    <t>White Clover Markets</t>
  </si>
  <si>
    <t>1029 - 12th Ave. S.</t>
  </si>
  <si>
    <t>Seattle</t>
  </si>
  <si>
    <t>WA</t>
  </si>
  <si>
    <t>SPLIR</t>
  </si>
  <si>
    <t>Split Rail Beer &amp; Ale</t>
  </si>
  <si>
    <t>P.O. Box 555</t>
  </si>
  <si>
    <t>Lander</t>
  </si>
  <si>
    <t>WY</t>
  </si>
  <si>
    <t>QUICK</t>
  </si>
  <si>
    <t>QUICK-Stop</t>
  </si>
  <si>
    <t>Taucherstraße 10</t>
  </si>
  <si>
    <t>Cunewalde</t>
  </si>
  <si>
    <t>MAGAA</t>
  </si>
  <si>
    <t>Magazzini Alimentari Riuniti</t>
  </si>
  <si>
    <t>Via Ludovico il Moro 22</t>
  </si>
  <si>
    <t>Bergamo</t>
  </si>
  <si>
    <t>TORTU</t>
  </si>
  <si>
    <t>Tortuga Restaurante</t>
  </si>
  <si>
    <t>Avda. Azteca 123</t>
  </si>
  <si>
    <t>MORGK</t>
  </si>
  <si>
    <t>Morgenstern Gesundkost</t>
  </si>
  <si>
    <t>Heerstr. 22</t>
  </si>
  <si>
    <t>Leipzig</t>
  </si>
  <si>
    <t>BERGS</t>
  </si>
  <si>
    <t>Berglunds snabbköp</t>
  </si>
  <si>
    <t>Berguvsvägen  8</t>
  </si>
  <si>
    <t>Luleå</t>
  </si>
  <si>
    <t>S-958 22</t>
  </si>
  <si>
    <t>LEHMS</t>
  </si>
  <si>
    <t>Lehmanns Marktstand</t>
  </si>
  <si>
    <t>Magazinweg 7</t>
  </si>
  <si>
    <t>Frankfurt a.M.</t>
  </si>
  <si>
    <t>ROMEY</t>
  </si>
  <si>
    <t>Romero y tomillo</t>
  </si>
  <si>
    <t>Gran Vía, 1</t>
  </si>
  <si>
    <t>Madrid</t>
  </si>
  <si>
    <t>LILAS</t>
  </si>
  <si>
    <t>LILA-Supermercado</t>
  </si>
  <si>
    <t>Carrera 52 con Ave. Bolívar #65-98 Llano Largo</t>
  </si>
  <si>
    <t>Barquisimeto</t>
  </si>
  <si>
    <t>Lara</t>
  </si>
  <si>
    <t>RICAR</t>
  </si>
  <si>
    <t>Ricardo Adocicados</t>
  </si>
  <si>
    <t>Av. Copacabana, 267</t>
  </si>
  <si>
    <t>02389-890</t>
  </si>
  <si>
    <t>REGGC</t>
  </si>
  <si>
    <t>Reggiani Caseifici</t>
  </si>
  <si>
    <t>Strada Provinciale 124</t>
  </si>
  <si>
    <t>Reggio Emilia</t>
  </si>
  <si>
    <t>BSBEV</t>
  </si>
  <si>
    <t>B's Beverages</t>
  </si>
  <si>
    <t>Fauntleroy Circus</t>
  </si>
  <si>
    <t>EC2 5NT</t>
  </si>
  <si>
    <t>COMMI</t>
  </si>
  <si>
    <t>Comércio Mineiro</t>
  </si>
  <si>
    <t>Av. dos Lusíadas, 23</t>
  </si>
  <si>
    <t>05432-043</t>
  </si>
  <si>
    <t>TRADH</t>
  </si>
  <si>
    <t>Tradição Hipermercados</t>
  </si>
  <si>
    <t>Av. Inês de Castro, 414</t>
  </si>
  <si>
    <t>05634-030</t>
  </si>
  <si>
    <t>HUNGO</t>
  </si>
  <si>
    <t>Hungry Owl All-Night Grocers</t>
  </si>
  <si>
    <t>8 Johnstown Road</t>
  </si>
  <si>
    <t>Cork</t>
  </si>
  <si>
    <t>Co. Cork</t>
  </si>
  <si>
    <t>Ireland</t>
  </si>
  <si>
    <t>WANDK</t>
  </si>
  <si>
    <t>Die Wandernde Kuh</t>
  </si>
  <si>
    <t>Adenauerallee 900</t>
  </si>
  <si>
    <t>Stuttgart</t>
  </si>
  <si>
    <t>GODOS</t>
  </si>
  <si>
    <t>Godos Cocina Típica</t>
  </si>
  <si>
    <t>C/ Romero, 33</t>
  </si>
  <si>
    <t>Sevilla</t>
  </si>
  <si>
    <t>OLDWO</t>
  </si>
  <si>
    <t>Old World Delicatessen</t>
  </si>
  <si>
    <t>2743 Bering St.</t>
  </si>
  <si>
    <t>Anchorage</t>
  </si>
  <si>
    <t>AK</t>
  </si>
  <si>
    <t>LONEP</t>
  </si>
  <si>
    <t>Lonesome Pine Restaurant</t>
  </si>
  <si>
    <t>89 Chiaroscuro Rd.</t>
  </si>
  <si>
    <t>Portland</t>
  </si>
  <si>
    <t>ANATR</t>
  </si>
  <si>
    <t>Ana Trujillo Emparedados y helados</t>
  </si>
  <si>
    <t>Avda. de la Constitución 2222</t>
  </si>
  <si>
    <t>THEBI</t>
  </si>
  <si>
    <t>The Big Cheese</t>
  </si>
  <si>
    <t>89 Jefferson Way
Suite 2</t>
  </si>
  <si>
    <t>DUMON</t>
  </si>
  <si>
    <t>Du monde entier</t>
  </si>
  <si>
    <t>67, rue des Cinquante Otages</t>
  </si>
  <si>
    <t>Nantes</t>
  </si>
  <si>
    <t>ISLAT</t>
  </si>
  <si>
    <t>Island Trading</t>
  </si>
  <si>
    <t>Garden House
Crowther Way</t>
  </si>
  <si>
    <t>Cowes</t>
  </si>
  <si>
    <t>Isle of Wight</t>
  </si>
  <si>
    <t>PO31 7PJ</t>
  </si>
  <si>
    <t>PERIC</t>
  </si>
  <si>
    <t>Pericles Comidas clásicas</t>
  </si>
  <si>
    <t>Calle Dr. Jorge Cash 321</t>
  </si>
  <si>
    <t>KOENE</t>
  </si>
  <si>
    <t>Königlich Essen</t>
  </si>
  <si>
    <t>Maubelstr. 90</t>
  </si>
  <si>
    <t>Brandenburg</t>
  </si>
  <si>
    <t>SAVEA</t>
  </si>
  <si>
    <t>Save-a-lot Markets</t>
  </si>
  <si>
    <t>187 Suffolk Ln.</t>
  </si>
  <si>
    <t>Boise</t>
  </si>
  <si>
    <t>ID</t>
  </si>
  <si>
    <t>BOLID</t>
  </si>
  <si>
    <t>Bólido Comidas preparadas</t>
  </si>
  <si>
    <t>C/ Araquil, 67</t>
  </si>
  <si>
    <t>FURIB</t>
  </si>
  <si>
    <t>Furia Bacalhau e Frutos do Mar</t>
  </si>
  <si>
    <t>Jardim das rosas n. 32</t>
  </si>
  <si>
    <t>Lisboa</t>
  </si>
  <si>
    <t>Portugal</t>
  </si>
  <si>
    <t>BONAP</t>
  </si>
  <si>
    <t>Bon app'</t>
  </si>
  <si>
    <t>12, rue des Bouchers</t>
  </si>
  <si>
    <t>Marseille</t>
  </si>
  <si>
    <t>MEREP</t>
  </si>
  <si>
    <t>Mère Paillarde</t>
  </si>
  <si>
    <t>43 rue St. Laurent</t>
  </si>
  <si>
    <t>PRINI</t>
  </si>
  <si>
    <t>Princesa Isabel Vinhos</t>
  </si>
  <si>
    <t>Estrada da saúde n. 58</t>
  </si>
  <si>
    <t>SIMOB</t>
  </si>
  <si>
    <t>Simons bistro</t>
  </si>
  <si>
    <t>Vinbæltet 34</t>
  </si>
  <si>
    <t>København</t>
  </si>
  <si>
    <t>FAMIA</t>
  </si>
  <si>
    <t>Familia Arquibaldo</t>
  </si>
  <si>
    <t>Rua Orós, 92</t>
  </si>
  <si>
    <t>05442-030</t>
  </si>
  <si>
    <t>LAMAI</t>
  </si>
  <si>
    <t>La maison d'Asie</t>
  </si>
  <si>
    <t>1 rue Alsace-Lorraine</t>
  </si>
  <si>
    <t>Toulouse</t>
  </si>
  <si>
    <t>PICCO</t>
  </si>
  <si>
    <t>Piccolo und mehr</t>
  </si>
  <si>
    <t>Geislweg 14</t>
  </si>
  <si>
    <t>Salzburg</t>
  </si>
  <si>
    <t>AROUT</t>
  </si>
  <si>
    <t>Around the Horn</t>
  </si>
  <si>
    <t>Brook Farm
Stratford St. Mary</t>
  </si>
  <si>
    <t>Colchester</t>
  </si>
  <si>
    <t>Essex</t>
  </si>
  <si>
    <t>CO7 6JX</t>
  </si>
  <si>
    <t>SEVES</t>
  </si>
  <si>
    <t>Seven Seas Imports</t>
  </si>
  <si>
    <t>90 Wadhurst Rd.</t>
  </si>
  <si>
    <t>OX15 4NB</t>
  </si>
  <si>
    <t>DRACD</t>
  </si>
  <si>
    <t>Drachenblut Delikatessen</t>
  </si>
  <si>
    <t>Walserweg 21</t>
  </si>
  <si>
    <t>Aachen</t>
  </si>
  <si>
    <t>EASTC</t>
  </si>
  <si>
    <t>Eastern Connection</t>
  </si>
  <si>
    <t>35 King George</t>
  </si>
  <si>
    <t>WX3 6FW</t>
  </si>
  <si>
    <t>ANTON</t>
  </si>
  <si>
    <t>Antonio Moreno Taquería</t>
  </si>
  <si>
    <t>Mataderos  2312</t>
  </si>
  <si>
    <t>GALED</t>
  </si>
  <si>
    <t>Galería del gastronómo</t>
  </si>
  <si>
    <t>Rambla de Cataluña, 23</t>
  </si>
  <si>
    <t>Barcelona</t>
  </si>
  <si>
    <t>VAFFE</t>
  </si>
  <si>
    <t>Vaffeljernet</t>
  </si>
  <si>
    <t>Smagsløget 45</t>
  </si>
  <si>
    <t>Århus</t>
  </si>
  <si>
    <t>QUEEN</t>
  </si>
  <si>
    <t>Queen Cozinha</t>
  </si>
  <si>
    <t>Alameda dos Canàrios, 891</t>
  </si>
  <si>
    <t>05487-020</t>
  </si>
  <si>
    <t>WOLZA</t>
  </si>
  <si>
    <t>Wolski Zajazd</t>
  </si>
  <si>
    <t>ul. Filtrowa 68</t>
  </si>
  <si>
    <t>Warszawa</t>
  </si>
  <si>
    <t>01-012</t>
  </si>
  <si>
    <t>Poland</t>
  </si>
  <si>
    <t>HUNGC</t>
  </si>
  <si>
    <t>Hungry Coyote Import Store</t>
  </si>
  <si>
    <t>City Center Plaza
516 Main St.</t>
  </si>
  <si>
    <t>Elgin</t>
  </si>
  <si>
    <t>SANTG</t>
  </si>
  <si>
    <t>Santé Gourmet</t>
  </si>
  <si>
    <t>Erling Skakkes gate 78</t>
  </si>
  <si>
    <t>Stavern</t>
  </si>
  <si>
    <t>BOTTM</t>
  </si>
  <si>
    <t>Bottom-Dollar Markets</t>
  </si>
  <si>
    <t>23 Tsawassen Blvd.</t>
  </si>
  <si>
    <t>Tsawassen</t>
  </si>
  <si>
    <t>BC</t>
  </si>
  <si>
    <t>T2F 8M4</t>
  </si>
  <si>
    <t>LINOD</t>
  </si>
  <si>
    <t>LINO-Delicateses</t>
  </si>
  <si>
    <t>Ave. 5 de Mayo Porlamar</t>
  </si>
  <si>
    <t>I. de Margarita</t>
  </si>
  <si>
    <t>Nueva Esparta</t>
  </si>
  <si>
    <t>FOLIG</t>
  </si>
  <si>
    <t>Folies gourmandes</t>
  </si>
  <si>
    <t>184, chaussée de Tournai</t>
  </si>
  <si>
    <t>Lille</t>
  </si>
  <si>
    <t>OCEAN</t>
  </si>
  <si>
    <t>Océano Atlántico Ltda.</t>
  </si>
  <si>
    <t>Ing. Gustavo Moncada 8585
Piso 20-A</t>
  </si>
  <si>
    <t>Buenos Aires</t>
  </si>
  <si>
    <t>Argentina</t>
  </si>
  <si>
    <t>FRANS</t>
  </si>
  <si>
    <t>Franchi S.p.A.</t>
  </si>
  <si>
    <t>Via Monte Bianco 34</t>
  </si>
  <si>
    <t>Torino</t>
  </si>
  <si>
    <t>GOURL</t>
  </si>
  <si>
    <t>Gourmet Lanchonetes</t>
  </si>
  <si>
    <t>Av. Brasil, 442</t>
  </si>
  <si>
    <t>Campinas</t>
  </si>
  <si>
    <t>04876-786</t>
  </si>
  <si>
    <t>CONSH</t>
  </si>
  <si>
    <t>Consolidated Holdings</t>
  </si>
  <si>
    <t xml:space="preserve">Berkeley Gardens
12  Brewery </t>
  </si>
  <si>
    <t>WX1 6LT</t>
  </si>
  <si>
    <t>RANCH</t>
  </si>
  <si>
    <t>Rancho grande</t>
  </si>
  <si>
    <t>Av. del Libertador 900</t>
  </si>
  <si>
    <t>LAZYK</t>
  </si>
  <si>
    <t>Lazy K Kountry Store</t>
  </si>
  <si>
    <t>12 Orchestra Terrace</t>
  </si>
  <si>
    <t>Walla Walla</t>
  </si>
  <si>
    <t>LAUGB</t>
  </si>
  <si>
    <t>Laughing Bacchus Wine Cellars</t>
  </si>
  <si>
    <t>2319 Elm St.</t>
  </si>
  <si>
    <t>Vancouver</t>
  </si>
  <si>
    <t>V3F 2K1</t>
  </si>
  <si>
    <t>BLAUS</t>
  </si>
  <si>
    <t>Blauer See Delikatessen</t>
  </si>
  <si>
    <t>Forsterstr. 57</t>
  </si>
  <si>
    <t>Mannheim</t>
  </si>
  <si>
    <t>NORTS</t>
  </si>
  <si>
    <t>North/South</t>
  </si>
  <si>
    <t>South House
300 Queensbridge</t>
  </si>
  <si>
    <t>SW7 1RZ</t>
  </si>
  <si>
    <t>CACTU</t>
  </si>
  <si>
    <t>Cactus Comidas para llevar</t>
  </si>
  <si>
    <t>Cerrito 333</t>
  </si>
  <si>
    <t>GREAL</t>
  </si>
  <si>
    <t>Great Lakes Food Market</t>
  </si>
  <si>
    <t>2732 Baker Blvd.</t>
  </si>
  <si>
    <t>Eugene</t>
  </si>
  <si>
    <t>MAISD</t>
  </si>
  <si>
    <t>Maison Dewey</t>
  </si>
  <si>
    <t>Rue Joseph-Bens 532</t>
  </si>
  <si>
    <t>Bruxelles</t>
  </si>
  <si>
    <t>B-1180</t>
  </si>
  <si>
    <t>TRAIH</t>
  </si>
  <si>
    <t>Trail's Head Gourmet Provisioners</t>
  </si>
  <si>
    <t>722 DaVinci Blvd.</t>
  </si>
  <si>
    <t>Kirkland</t>
  </si>
  <si>
    <t>LETSS</t>
  </si>
  <si>
    <t>Let's Stop N Shop</t>
  </si>
  <si>
    <t>87 Polk St.
Suite 5</t>
  </si>
  <si>
    <t>San Francisco</t>
  </si>
  <si>
    <t>CA</t>
  </si>
  <si>
    <t>WILMK</t>
  </si>
  <si>
    <t>Wilman Kala</t>
  </si>
  <si>
    <t>Keskuskatu 45</t>
  </si>
  <si>
    <t>Helsinki</t>
  </si>
  <si>
    <t>THECR</t>
  </si>
  <si>
    <t>The Cracker Box</t>
  </si>
  <si>
    <t>55 Grizzly Peak Rd.</t>
  </si>
  <si>
    <t>Butte</t>
  </si>
  <si>
    <t>MT</t>
  </si>
  <si>
    <t>ALFKI</t>
  </si>
  <si>
    <t>Alfreds Futterkiste</t>
  </si>
  <si>
    <t>Obere Str. 57</t>
  </si>
  <si>
    <t>FRANR</t>
  </si>
  <si>
    <t>France restauration</t>
  </si>
  <si>
    <t>54, rue Royale</t>
  </si>
  <si>
    <t>Alfred's Futterkiste</t>
  </si>
  <si>
    <t>SPECD</t>
  </si>
  <si>
    <t>Spécialités du monde</t>
  </si>
  <si>
    <t>25, rue Lauriston</t>
  </si>
  <si>
    <t>LACOR</t>
  </si>
  <si>
    <t>La corne d'abondance</t>
  </si>
  <si>
    <t>67, avenue de l'Europe</t>
  </si>
  <si>
    <t>Versailles</t>
  </si>
  <si>
    <t>LastName</t>
  </si>
  <si>
    <t>FirstName</t>
  </si>
  <si>
    <t>Title</t>
  </si>
  <si>
    <t>TitleOfCourtesy</t>
  </si>
  <si>
    <t>BirthDate</t>
  </si>
  <si>
    <t>HireDate</t>
  </si>
  <si>
    <t>HomePhone</t>
  </si>
  <si>
    <t>Extension</t>
  </si>
  <si>
    <t>Notes</t>
  </si>
  <si>
    <t>ReportsTo</t>
  </si>
  <si>
    <t>Davolio</t>
  </si>
  <si>
    <t>Nancy</t>
  </si>
  <si>
    <t>Ms.</t>
  </si>
  <si>
    <t>507 - 20th Ave. E.
Apt. 2A</t>
  </si>
  <si>
    <t>(206) 555-9857</t>
  </si>
  <si>
    <t>Education includes a BA in psychology from Colorado State University in 1970.  She also completed "The Art of the Cold Call."  Nancy is a member of Toastmasters International.</t>
  </si>
  <si>
    <t>Fuller</t>
  </si>
  <si>
    <t>Andrew</t>
  </si>
  <si>
    <t>Vice President, Sales</t>
  </si>
  <si>
    <t>Dr.</t>
  </si>
  <si>
    <t>908 W. Capital Way</t>
  </si>
  <si>
    <t>Tacoma</t>
  </si>
  <si>
    <t>(206) 555-9482</t>
  </si>
  <si>
    <t>Andrew received his BTS commercial in 1974 and a Ph.D. in international marketing from the University of Dallas in 1981.  He is fluent in French and Italian and reads German.  He joined the company as a sales representative, was promoted to sales manager in January 1992 and to vice president of sales in March 1993.  Andrew is a member of the Sales Management Roundtable, the Seattle Chamber of Commerce, and the Pacific Rim Importers Association.</t>
  </si>
  <si>
    <t>Leverling</t>
  </si>
  <si>
    <t>Janet</t>
  </si>
  <si>
    <t>722 Moss Bay Blvd.</t>
  </si>
  <si>
    <t>(206) 555-3412</t>
  </si>
  <si>
    <t>Janet has a BS degree in chemistry from Boston College (1984).  She has also completed a certificate program in food retailing management.  Janet was hired as a sales associate in 1991 and promoted to sales representative in February 1992.</t>
  </si>
  <si>
    <t>Peacock</t>
  </si>
  <si>
    <t>Margaret</t>
  </si>
  <si>
    <t>Mrs.</t>
  </si>
  <si>
    <t>4110 Old Redmond Rd.</t>
  </si>
  <si>
    <t>Redmond</t>
  </si>
  <si>
    <t>(206) 555-8122</t>
  </si>
  <si>
    <t>Margaret holds a BA in English literature from Concordia College (1958) and an MA from the American Institute of Culinary Arts (1966).  She was assigned to the London office temporarily from July through November 1992.</t>
  </si>
  <si>
    <t>Buchanan</t>
  </si>
  <si>
    <t>Steven</t>
  </si>
  <si>
    <t>Mr.</t>
  </si>
  <si>
    <t>14 Garrett Hill</t>
  </si>
  <si>
    <t>SW1 8JR</t>
  </si>
  <si>
    <t>(71) 555-4848</t>
  </si>
  <si>
    <t>Steven Buchanan graduated from St. Andrews University, Scotland, with a BSC degree in 1976.  Upon joining the company as a sales representative in 1992, he spent 6 months in an orientation program at the Seattle office and then returned to his permanent post in London.  He was promoted to sales manager in March 1993.  Mr. Buchanan has completed the courses "Successful Telemarketing" and "International Sales Management."  He is fluent in French.</t>
  </si>
  <si>
    <t>Suyama</t>
  </si>
  <si>
    <t>Michael</t>
  </si>
  <si>
    <t>Coventry House
Miner Rd.</t>
  </si>
  <si>
    <t>EC2 7JR</t>
  </si>
  <si>
    <t>(71) 555-7773</t>
  </si>
  <si>
    <t>Michael is a graduate of Sussex University (MA, economics, 1983) and the University of California at Los Angeles (MBA, marketing, 1986).  He has also taken the courses "Multi-Cultural Selling" and "Time Management for the Sales Professional."  He is fluent in Japanese and can read and write French, Portuguese, and Spanish.</t>
  </si>
  <si>
    <t>King</t>
  </si>
  <si>
    <t>Robert</t>
  </si>
  <si>
    <t>Edgeham Hollow
Winchester Way</t>
  </si>
  <si>
    <t>RG1 9SP</t>
  </si>
  <si>
    <t>(71) 555-5598</t>
  </si>
  <si>
    <t>Robert King served in the Peace Corps and traveled extensively before completing his degree in English at the University of Michigan in 1992, the year he joined the company.  After completing a course entitled "Selling in Europe," he was transferred to the London office in March 1993.</t>
  </si>
  <si>
    <t>Callahan</t>
  </si>
  <si>
    <t>Laura</t>
  </si>
  <si>
    <t>Inside Sales Coordinator</t>
  </si>
  <si>
    <t>4726 - 11th Ave. N.E.</t>
  </si>
  <si>
    <t>(206) 555-1189</t>
  </si>
  <si>
    <t>Laura received a BA in psychology from the University of Washington.  She has also completed a course in business French.  She reads and writes French.</t>
  </si>
  <si>
    <t>Dodsworth</t>
  </si>
  <si>
    <t>Anne</t>
  </si>
  <si>
    <t>7 Houndstooth Rd.</t>
  </si>
  <si>
    <t>WG2 7LT</t>
  </si>
  <si>
    <t>(71) 555-4444</t>
  </si>
  <si>
    <t>Anne has a BA degree in English from St. Lawrence College.  She is fluent in French and German.</t>
  </si>
  <si>
    <t>Quantity</t>
  </si>
  <si>
    <t>Discount</t>
  </si>
  <si>
    <t>Total Sales</t>
  </si>
  <si>
    <t>Maria Anders</t>
  </si>
  <si>
    <t>030-0074321</t>
  </si>
  <si>
    <t>030-0076545</t>
  </si>
  <si>
    <t>Ana Trujillo</t>
  </si>
  <si>
    <t>(5) 555-4729</t>
  </si>
  <si>
    <t>(5) 555-3745</t>
  </si>
  <si>
    <t>Antonio Moreno</t>
  </si>
  <si>
    <t>(5) 555-3932</t>
  </si>
  <si>
    <t>Thomas Hardy</t>
  </si>
  <si>
    <t>120 Hanover Sq.</t>
  </si>
  <si>
    <t>WA1 1DP</t>
  </si>
  <si>
    <t>(171) 555-7788</t>
  </si>
  <si>
    <t>(171) 555-6750</t>
  </si>
  <si>
    <t>Christina Berglund</t>
  </si>
  <si>
    <t>0921-12 34 65</t>
  </si>
  <si>
    <t>0921-12 34 67</t>
  </si>
  <si>
    <t>Hanna Moos</t>
  </si>
  <si>
    <t>0621-08460</t>
  </si>
  <si>
    <t>0621-08924</t>
  </si>
  <si>
    <t>Frédérique Citeaux</t>
  </si>
  <si>
    <t>88.60.15.31</t>
  </si>
  <si>
    <t>88.60.15.32</t>
  </si>
  <si>
    <t>Martín Sommer</t>
  </si>
  <si>
    <t>(91) 555 22 82</t>
  </si>
  <si>
    <t>(91) 555 91 99</t>
  </si>
  <si>
    <t>Laurence Lebihan</t>
  </si>
  <si>
    <t>91.24.45.40</t>
  </si>
  <si>
    <t>91.24.45.41</t>
  </si>
  <si>
    <t>Elizabeth Lincoln</t>
  </si>
  <si>
    <t>(604) 555-4729</t>
  </si>
  <si>
    <t>(604) 555-3745</t>
  </si>
  <si>
    <t>Victoria Ashworth</t>
  </si>
  <si>
    <t>(171) 555-1212</t>
  </si>
  <si>
    <t>Patricio Simpson</t>
  </si>
  <si>
    <t>(1) 135-5555</t>
  </si>
  <si>
    <t>(1) 135-4892</t>
  </si>
  <si>
    <t>Francisco Chang</t>
  </si>
  <si>
    <t>(5) 555-3392</t>
  </si>
  <si>
    <t>(5) 555-7293</t>
  </si>
  <si>
    <t>Yang Wang</t>
  </si>
  <si>
    <t>Hauptstr. 29</t>
  </si>
  <si>
    <t>0452-076545</t>
  </si>
  <si>
    <t>Pedro Afonso</t>
  </si>
  <si>
    <t>Sales Associate</t>
  </si>
  <si>
    <t>(11) 555-7647</t>
  </si>
  <si>
    <t>Elizabeth Brown</t>
  </si>
  <si>
    <t>(171) 555-2282</t>
  </si>
  <si>
    <t>(171) 555-9199</t>
  </si>
  <si>
    <t>Sven Ottlieb</t>
  </si>
  <si>
    <t>0241-039123</t>
  </si>
  <si>
    <t>0241-059428</t>
  </si>
  <si>
    <t>Janine Labrune</t>
  </si>
  <si>
    <t>40.67.88.88</t>
  </si>
  <si>
    <t>40.67.89.89</t>
  </si>
  <si>
    <t>Ann Devon</t>
  </si>
  <si>
    <t>(171) 555-0297</t>
  </si>
  <si>
    <t>(171) 555-3373</t>
  </si>
  <si>
    <t>Roland Mendel</t>
  </si>
  <si>
    <t>7675-3425</t>
  </si>
  <si>
    <t>7675-3426</t>
  </si>
  <si>
    <t>Aria Cruz</t>
  </si>
  <si>
    <t>Marketing Assistant</t>
  </si>
  <si>
    <t>(11) 555-9857</t>
  </si>
  <si>
    <t>FISSA</t>
  </si>
  <si>
    <t>FISSA Fabrica Inter. Salchichas S.A.</t>
  </si>
  <si>
    <t>Diego Roel</t>
  </si>
  <si>
    <t>C/ Moralzarzal, 86</t>
  </si>
  <si>
    <t>(91) 555 94 44</t>
  </si>
  <si>
    <t>(91) 555 55 93</t>
  </si>
  <si>
    <t>Martine Rancé</t>
  </si>
  <si>
    <t>Assistant Sales Agent</t>
  </si>
  <si>
    <t>20.16.10.16</t>
  </si>
  <si>
    <t>20.16.10.17</t>
  </si>
  <si>
    <t>Maria Larsson</t>
  </si>
  <si>
    <t>0695-34 67 21</t>
  </si>
  <si>
    <t>Peter Franken</t>
  </si>
  <si>
    <t>089-0877310</t>
  </si>
  <si>
    <t>089-0877451</t>
  </si>
  <si>
    <t>Carine Schmitt</t>
  </si>
  <si>
    <t>40.32.21.21</t>
  </si>
  <si>
    <t>40.32.21.20</t>
  </si>
  <si>
    <t>Paolo Accorti</t>
  </si>
  <si>
    <t>011-4988260</t>
  </si>
  <si>
    <t>011-4988261</t>
  </si>
  <si>
    <t>Lino Rodriguez</t>
  </si>
  <si>
    <t>(1) 354-2534</t>
  </si>
  <si>
    <t>(1) 354-2535</t>
  </si>
  <si>
    <t>Galería del gastrónomo</t>
  </si>
  <si>
    <t>Eduardo Saavedra</t>
  </si>
  <si>
    <t>(93) 203 4560</t>
  </si>
  <si>
    <t>(93) 203 4561</t>
  </si>
  <si>
    <t>José Pedro Freyre</t>
  </si>
  <si>
    <t>(95) 555 82 82</t>
  </si>
  <si>
    <t>André Fonseca</t>
  </si>
  <si>
    <t>(11) 555-9482</t>
  </si>
  <si>
    <t>Howard Snyder</t>
  </si>
  <si>
    <t>(503) 555-7555</t>
  </si>
  <si>
    <t>Manuel Pereira</t>
  </si>
  <si>
    <t>(2) 283-2951</t>
  </si>
  <si>
    <t>(2) 283-3397</t>
  </si>
  <si>
    <t>Mario Pontes</t>
  </si>
  <si>
    <t>(21) 555-0091</t>
  </si>
  <si>
    <t>(21) 555-8765</t>
  </si>
  <si>
    <t>Carlos Hernández</t>
  </si>
  <si>
    <t>(5) 555-1340</t>
  </si>
  <si>
    <t>(5) 555-1948</t>
  </si>
  <si>
    <t>Yoshi Latimer</t>
  </si>
  <si>
    <t>(503) 555-6874</t>
  </si>
  <si>
    <t>(503) 555-2376</t>
  </si>
  <si>
    <t>Patricia McKenna</t>
  </si>
  <si>
    <t>2967 542</t>
  </si>
  <si>
    <t>2967 3333</t>
  </si>
  <si>
    <t>Helen Bennett</t>
  </si>
  <si>
    <t>(198) 555-8888</t>
  </si>
  <si>
    <t>Philip Cramer</t>
  </si>
  <si>
    <t>0555-09876</t>
  </si>
  <si>
    <t>Daniel Tonini</t>
  </si>
  <si>
    <t>30.59.84.10</t>
  </si>
  <si>
    <t>30.59.85.11</t>
  </si>
  <si>
    <t>Annette Roulet</t>
  </si>
  <si>
    <t>61.77.61.10</t>
  </si>
  <si>
    <t>61.77.61.11</t>
  </si>
  <si>
    <t>Yoshi Tannamuri</t>
  </si>
  <si>
    <t>1900 Oak St.</t>
  </si>
  <si>
    <t>(604) 555-3392</t>
  </si>
  <si>
    <t>(604) 555-7293</t>
  </si>
  <si>
    <t>John Steel</t>
  </si>
  <si>
    <t>(509) 555-7969</t>
  </si>
  <si>
    <t>(509) 555-6221</t>
  </si>
  <si>
    <t>Renate Messner</t>
  </si>
  <si>
    <t>069-0245984</t>
  </si>
  <si>
    <t>069-0245874</t>
  </si>
  <si>
    <t>Jaime Yorres</t>
  </si>
  <si>
    <t>(415) 555-5938</t>
  </si>
  <si>
    <t>Carlos González</t>
  </si>
  <si>
    <t>(9) 331-6954</t>
  </si>
  <si>
    <t>(9) 331-7256</t>
  </si>
  <si>
    <t>Felipe Izquierdo</t>
  </si>
  <si>
    <t>(8) 34-56-12</t>
  </si>
  <si>
    <t>(8) 34-93-93</t>
  </si>
  <si>
    <t>Fran Wilson</t>
  </si>
  <si>
    <t>(503) 555-9573</t>
  </si>
  <si>
    <t>(503) 555-9646</t>
  </si>
  <si>
    <t>Giovanni Rovelli</t>
  </si>
  <si>
    <t>035-640230</t>
  </si>
  <si>
    <t>035-640231</t>
  </si>
  <si>
    <t>Catherine Dewey</t>
  </si>
  <si>
    <t>(02) 201 24 67</t>
  </si>
  <si>
    <t>(02) 201 24 68</t>
  </si>
  <si>
    <t>Jean Fresnière</t>
  </si>
  <si>
    <t>(514) 555-8054</t>
  </si>
  <si>
    <t>(514) 555-8055</t>
  </si>
  <si>
    <t>Alexander Feuer</t>
  </si>
  <si>
    <t>0342-023176</t>
  </si>
  <si>
    <t>Simon Crowther</t>
  </si>
  <si>
    <t>(171) 555-7733</t>
  </si>
  <si>
    <t>(171) 555-2530</t>
  </si>
  <si>
    <t>Yvonne Moncada</t>
  </si>
  <si>
    <t>(1) 135-5333</t>
  </si>
  <si>
    <t>(1) 135-5535</t>
  </si>
  <si>
    <t>Rene Phillips</t>
  </si>
  <si>
    <t>(907) 555-7584</t>
  </si>
  <si>
    <t>(907) 555-2880</t>
  </si>
  <si>
    <t>Henriette Pfalzheim</t>
  </si>
  <si>
    <t>0221-0644327</t>
  </si>
  <si>
    <t>0221-0765721</t>
  </si>
  <si>
    <t>PARIS</t>
  </si>
  <si>
    <t>Paris spécialités</t>
  </si>
  <si>
    <t>Marie Bertrand</t>
  </si>
  <si>
    <t>265, boulevard Charonne</t>
  </si>
  <si>
    <t>(1) 42.34.22.66</t>
  </si>
  <si>
    <t>(1) 42.34.22.77</t>
  </si>
  <si>
    <t>Guillermo Fernández</t>
  </si>
  <si>
    <t>(5) 552-3745</t>
  </si>
  <si>
    <t>(5) 545-3745</t>
  </si>
  <si>
    <t>Georg Pipps</t>
  </si>
  <si>
    <t>6562-9722</t>
  </si>
  <si>
    <t>6562-9723</t>
  </si>
  <si>
    <t>Isabel de Castro</t>
  </si>
  <si>
    <t>(1) 356-5634</t>
  </si>
  <si>
    <t>Bernardo Batista</t>
  </si>
  <si>
    <t>(21) 555-4252</t>
  </si>
  <si>
    <t>(21) 555-4545</t>
  </si>
  <si>
    <t>Lúcia Carvalho</t>
  </si>
  <si>
    <t>(11) 555-1189</t>
  </si>
  <si>
    <t>Horst Kloss</t>
  </si>
  <si>
    <t>0372-035188</t>
  </si>
  <si>
    <t>Sergio Gutiérrez</t>
  </si>
  <si>
    <t>(1) 123-5555</t>
  </si>
  <si>
    <t>(1) 123-5556</t>
  </si>
  <si>
    <t>Paula Wilson</t>
  </si>
  <si>
    <t>Assistant Sales Representative</t>
  </si>
  <si>
    <t>(505) 555-5939</t>
  </si>
  <si>
    <t>(505) 555-3620</t>
  </si>
  <si>
    <t>Maurizio Moroni</t>
  </si>
  <si>
    <t>0522-556721</t>
  </si>
  <si>
    <t>0522-556722</t>
  </si>
  <si>
    <t>Janete Limeira</t>
  </si>
  <si>
    <t>(21) 555-3412</t>
  </si>
  <si>
    <t>Michael Holz</t>
  </si>
  <si>
    <t>Grenzacherweg 237</t>
  </si>
  <si>
    <t>0897-034214</t>
  </si>
  <si>
    <t>Alejandra Camino</t>
  </si>
  <si>
    <t>(91) 745 6200</t>
  </si>
  <si>
    <t>(91) 745 6210</t>
  </si>
  <si>
    <t>Jonas Bergulfsen</t>
  </si>
  <si>
    <t>07-98 92 35</t>
  </si>
  <si>
    <t>07-98 92 47</t>
  </si>
  <si>
    <t>Jose Pavarotti</t>
  </si>
  <si>
    <t>(208) 555-8097</t>
  </si>
  <si>
    <t>Hari Kumar</t>
  </si>
  <si>
    <t>(171) 555-1717</t>
  </si>
  <si>
    <t>(171) 555-5646</t>
  </si>
  <si>
    <t>Jytte Petersen</t>
  </si>
  <si>
    <t>31 12 34 56</t>
  </si>
  <si>
    <t>31 13 35 57</t>
  </si>
  <si>
    <t>Dominique Perrier</t>
  </si>
  <si>
    <t>(1) 47.55.60.10</t>
  </si>
  <si>
    <t>(1) 47.55.60.20</t>
  </si>
  <si>
    <t>Art Braunschweiger</t>
  </si>
  <si>
    <t>(307) 555-4680</t>
  </si>
  <si>
    <t>(307) 555-6525</t>
  </si>
  <si>
    <t>Pascale Cartrain</t>
  </si>
  <si>
    <t>(071) 23 67 22 20</t>
  </si>
  <si>
    <t>(071) 23 67 22 21</t>
  </si>
  <si>
    <t>Liz Nixon</t>
  </si>
  <si>
    <t>(503) 555-3612</t>
  </si>
  <si>
    <t>Liu Wong</t>
  </si>
  <si>
    <t>(406) 555-5834</t>
  </si>
  <si>
    <t>(406) 555-8083</t>
  </si>
  <si>
    <t>Karin Josephs</t>
  </si>
  <si>
    <t>0251-031259</t>
  </si>
  <si>
    <t>0251-035695</t>
  </si>
  <si>
    <t>Miguel Angel Paolino</t>
  </si>
  <si>
    <t>(5) 555-2933</t>
  </si>
  <si>
    <t>Anabela Domingues</t>
  </si>
  <si>
    <t>(11) 555-2167</t>
  </si>
  <si>
    <t>(11) 555-2168</t>
  </si>
  <si>
    <t>Helvetius Nagy</t>
  </si>
  <si>
    <t>(206) 555-8257</t>
  </si>
  <si>
    <t>(206) 555-2174</t>
  </si>
  <si>
    <t>Palle Ibsen</t>
  </si>
  <si>
    <t>86 21 32 43</t>
  </si>
  <si>
    <t>86 22 33 44</t>
  </si>
  <si>
    <t>Mary Saveley</t>
  </si>
  <si>
    <t>78.32.54.86</t>
  </si>
  <si>
    <t>78.32.54.87</t>
  </si>
  <si>
    <t>Paul Henriot</t>
  </si>
  <si>
    <t>26.47.15.10</t>
  </si>
  <si>
    <t>26.47.15.11</t>
  </si>
  <si>
    <t>Rita Müller</t>
  </si>
  <si>
    <t>0711-020361</t>
  </si>
  <si>
    <t>0711-035428</t>
  </si>
  <si>
    <t>Pirkko Koskitalo</t>
  </si>
  <si>
    <t>981-443655</t>
  </si>
  <si>
    <t>Paula Parente</t>
  </si>
  <si>
    <t>(14) 555-8122</t>
  </si>
  <si>
    <t>Karl Jablonski</t>
  </si>
  <si>
    <t>305 - 14th Ave. S.
Suite 3B</t>
  </si>
  <si>
    <t>(206) 555-4112</t>
  </si>
  <si>
    <t>(206) 555-4115</t>
  </si>
  <si>
    <t>Matti Karttunen</t>
  </si>
  <si>
    <t>Owner/Marketing Assistant</t>
  </si>
  <si>
    <t>90-224 8858</t>
  </si>
  <si>
    <t>Wolski  Zajazd</t>
  </si>
  <si>
    <t>Zbyszek Piestrzeniewicz</t>
  </si>
  <si>
    <t>(26) 642-7012</t>
  </si>
  <si>
    <t>CategoryName</t>
  </si>
  <si>
    <t>Description</t>
  </si>
  <si>
    <t>Beverages</t>
  </si>
  <si>
    <t>Soft drinks, coffees, teas, beers, and ales</t>
  </si>
  <si>
    <t>Condiments</t>
  </si>
  <si>
    <t>Sweet and savory sauces, relishes, spreads, and seasonings</t>
  </si>
  <si>
    <t>Confections</t>
  </si>
  <si>
    <t>Desserts, candies, and sweet breads</t>
  </si>
  <si>
    <t>Dairy Products</t>
  </si>
  <si>
    <t>Cheeses</t>
  </si>
  <si>
    <t>Grains/Cereals</t>
  </si>
  <si>
    <t>Breads, crackers, pasta, and cereal</t>
  </si>
  <si>
    <t>Meat/Poultry</t>
  </si>
  <si>
    <t>Prepared meats</t>
  </si>
  <si>
    <t>Produce</t>
  </si>
  <si>
    <t>Dried fruit and bean curd</t>
  </si>
  <si>
    <t>Seafood</t>
  </si>
  <si>
    <t>Seaweed and fish</t>
  </si>
  <si>
    <t>total_orders</t>
  </si>
  <si>
    <t>total_revenue</t>
  </si>
  <si>
    <t>avg_order_value</t>
  </si>
  <si>
    <t>first_order</t>
  </si>
  <si>
    <t>last_order</t>
  </si>
  <si>
    <t>customer_lifespan_days</t>
  </si>
  <si>
    <t>revenue_quartile</t>
  </si>
  <si>
    <t>avg_orders_per_customer</t>
  </si>
  <si>
    <t>customer_segment</t>
  </si>
  <si>
    <t>High-Value Repeat</t>
  </si>
  <si>
    <t>Repeat</t>
  </si>
  <si>
    <t>MÃ¨re Paillarde</t>
  </si>
  <si>
    <t>MontrÃ©al</t>
  </si>
  <si>
    <t>Folk och fÃ¤ HB</t>
  </si>
  <si>
    <t>BrÃ¤cke</t>
  </si>
  <si>
    <t>KÃ¶niglich Essen</t>
  </si>
  <si>
    <t>Berglunds snabbkÃ¶p</t>
  </si>
  <si>
    <t>LuleÃ¥</t>
  </si>
  <si>
    <t>MÃ¼nchen</t>
  </si>
  <si>
    <t>SÃ£o Paulo</t>
  </si>
  <si>
    <t>SuprÃªmes dÃ©lices</t>
  </si>
  <si>
    <t>HILARIÃ“N-Abastos</t>
  </si>
  <si>
    <t>San CristÃ³bal</t>
  </si>
  <si>
    <t>Blondel pÃ¨re et fils</t>
  </si>
  <si>
    <t>KÃ¸benhavn</t>
  </si>
  <si>
    <t>One-Time / Low-Frequency</t>
  </si>
  <si>
    <t>Ã…rhus</t>
  </si>
  <si>
    <t>GenÃ¨ve</t>
  </si>
  <si>
    <t>Ottilies KÃ¤seladen</t>
  </si>
  <si>
    <t>KÃ¶ln</t>
  </si>
  <si>
    <t>Godos Cocina TÃ­pica</t>
  </si>
  <si>
    <t>MÃ©xico D.F.</t>
  </si>
  <si>
    <t>Antonio Moreno TaquerÃ­a</t>
  </si>
  <si>
    <t>TradiÃ§Ã£o Hipermercados</t>
  </si>
  <si>
    <t>Que DelÃ­cia</t>
  </si>
  <si>
    <t>SantÃ© Gourmet</t>
  </si>
  <si>
    <t>Toms SpezialitÃ¤ten</t>
  </si>
  <si>
    <t>MÃ¼nster</t>
  </si>
  <si>
    <t>BÃ³lido Comidas preparadas</t>
  </si>
  <si>
    <t>Pericles Comidas clÃ¡sicas</t>
  </si>
  <si>
    <t>OcÃ©ano AtlÃ¡ntico Ltda.</t>
  </si>
  <si>
    <t>ComÃ©rcio Mineiro</t>
  </si>
  <si>
    <t>SpÃ©cialitÃ©s du monde</t>
  </si>
  <si>
    <t>GalerÃ­a del gastrÃ³nomo</t>
  </si>
  <si>
    <t>QUERY 1 :</t>
  </si>
  <si>
    <t>WITH customer_metrics AS (
SELECT
    o.CustomerID,
    c.CompanyName,
    c.Country,
    c.City,
    COUNT(DISTINCT o.OrderID) AS total_orders,
    ROUND(SUM(od.UnitPrice * od.Quantity * (1 - od.Discount)), 2) AS total_revenue,
    ROUND(SUM(od.UnitPrice * od.Quantity * (1 - od.Discount)) / COUNT(DISTINCT o.OrderID), 2) AS avg_order_value,
    MIN(o.OrderDate) AS first_order,
    MAX(o.OrderDate) AS last_order,
    DATEDIFF(MAX(o.OrderDate), MIN(o.OrderDate)) AS customer_lifespan_days
FROM orders o
JOIN order_details od ON o.OrderID = od.OrderID
JOIN customers c ON o.CustomerID = c.CustomerID
GROUP BY 
    o.CustomerID, c.CompanyName, c.Country, c.City
),
ranked_revenue AS (
SELECT *,
       NTILE(4) OVER (ORDER BY total_revenue) AS revenue_quartile
FROM customer_metrics
),
global_avg AS (
SELECT AVG(total_orders) AS avg_orders_per_customer
FROM customer_metrics
)
SELECT
    rr.*,
    ga.avg_orders_per_customer,
    CASE
        WHEN rr.total_orders &gt; ga.avg_orders_per_customer * 1.5
             AND rr.revenue_quartile = 4
        THEN 'High-Value Repeat'
        WHEN rr.total_orders &gt; ga.avg_orders_per_customer
        THEN 'Repeat'
        ELSE 'One-Time / Low-Frequency'
    END AS customer_segment
FROM ranked_revenue rr
CROSS JOIN global_avg ga
ORDER BY rr.total_revenue DESC;</t>
  </si>
  <si>
    <t>total_customers</t>
  </si>
  <si>
    <t>avg_revenue_per_order</t>
  </si>
  <si>
    <t>total_units_ordered</t>
  </si>
  <si>
    <t>earliest_order</t>
  </si>
  <si>
    <t>latest_order</t>
  </si>
  <si>
    <t>Total Customers</t>
  </si>
  <si>
    <t>1</t>
  </si>
  <si>
    <t>Grand Total</t>
  </si>
  <si>
    <t>QUERY 2 :</t>
  </si>
  <si>
    <t>SELECT
c.Country,
c.City,
COUNT(DISTINCT c.CustomerID) AS total_customers,
COUNT(DISTINCT o.OrderID) AS total_orders,
ROUND(COUNT(DISTINCT o.OrderID) / COUNT(DISTINCT c.CustomerID), 2) AS avg_orders_per_customer,
ROUND(SUM(od.UnitPrice * od.Quantity * (1 - od.Discount)), 2) AS total_revenue,
ROUND(SUM(od.UnitPrice * od.Quantity * (1 - od.Discount)) / COUNT(DISTINCT o.OrderID), 2) AS avg_revenue_per_order,
ROUND(SUM(od.Quantity), 0) AS total_units_ordered,
MIN(o.OrderDate) AS earliest_order,
MAX(o.OrderDate) AS latest_order
FROM customers c
JOIN orders o ON c.CustomerID = o.CustomerID
JOIN order_details od ON o.OrderID = od.OrderID
GROUP BY c.Country, c.City
ORDER BY total_revenue DESC;</t>
  </si>
  <si>
    <t>order_count</t>
  </si>
  <si>
    <t>total_spend</t>
  </si>
  <si>
    <t>days_since_last_order</t>
  </si>
  <si>
    <t>preferred_category</t>
  </si>
  <si>
    <t>customer_tier</t>
  </si>
  <si>
    <t>Platinum</t>
  </si>
  <si>
    <t>Gold</t>
  </si>
  <si>
    <t>Silver</t>
  </si>
  <si>
    <t>Bronze</t>
  </si>
  <si>
    <t>QUERY 3 :</t>
  </si>
  <si>
    <t>WITH cat_orders AS (
SELECT
    o.CustomerID,
    cat.CategoryName,
    COUNT(DISTINCT o.OrderID) AS order_count
FROM orders o
JOIN order_details od ON o.OrderID = od.OrderID
JOIN products p ON od.ProductID = p.ProductID
JOIN categories cat ON p.CategoryID = cat.CategoryID
GROUP BY o.CustomerID, cat.CategoryName
),
preferred_cat AS (
SELECT CustomerID, CategoryName AS preferred_category
FROM (
    SELECT 
        CustomerID, 
        CategoryName,
        ROW_NUMBER() OVER (
            PARTITION BY CustomerID
            ORDER BY order_count DESC
        ) AS rn
    FROM cat_orders
) ranked
WHERE rn = 1
),
customer_summary AS (
SELECT
    o.CustomerID,
    c.CompanyName,
    c.Country,
    COUNT(DISTINCT o.OrderID) AS order_count,
    ROUND(SUM(od.UnitPrice * od.Quantity * (1-od.Discount)), 2) AS total_spend,
    ROUND(SUM(od.UnitPrice * od.Quantity * (1-od.Discount)) / COUNT(DISTINCT o.OrderID), 2) AS avg_order_value,
    DATEDIFF(CURDATE(), MAX(o.OrderDate)) AS days_since_last_order
FROM orders o
JOIN order_details od ON o.OrderID = od.OrderID
JOIN customers c ON o.CustomerID = c.CustomerID
GROUP BY o.CustomerID, c.CompanyName, c.Country
)
SELECT
    cs.*,
    pc.preferred_category,
    CASE
        WHEN cs.total_spend &gt;= 10000 AND cs.order_count &gt;= 10 THEN 'Platinum'
        WHEN cs.total_spend &gt;= 5000 AND cs.order_count &gt;= 5 THEN 'Gold'
        WHEN cs.total_spend &gt;= 2000 THEN 'Silver'
        ELSE 'Bronze'
    END AS customer_tier
FROM customer_summary cs
JOIN preferred_cat pc ON cs.CustomerID = pc.CustomerID
ORDER BY cs.total_spend DESC;</t>
  </si>
  <si>
    <t>units_sold</t>
  </si>
  <si>
    <t>revenue_pct</t>
  </si>
  <si>
    <t>avg_unit_price</t>
  </si>
  <si>
    <t>times_ordered</t>
  </si>
  <si>
    <t>pct_of_category</t>
  </si>
  <si>
    <t>avg_selling_price</t>
  </si>
  <si>
    <t>CÃ´te de Blaye</t>
  </si>
  <si>
    <t>ThÃ¼ringer Rostbratwurst</t>
  </si>
  <si>
    <t>RÃ¶ssle Sauerkraut</t>
  </si>
  <si>
    <t>Wimmers gute SemmelknÃ¶del</t>
  </si>
  <si>
    <t>GumbÃ¤r GummibÃ¤rchen</t>
  </si>
  <si>
    <t>FlÃ¸temysost</t>
  </si>
  <si>
    <t>PÃ¢tÃ© chinois</t>
  </si>
  <si>
    <t>LakkalikÃ¶Ã¶ri</t>
  </si>
  <si>
    <t>Sirop d'Ã©rable</t>
  </si>
  <si>
    <t>Original Frankfurter grÃ¼ne SoÃŸe</t>
  </si>
  <si>
    <t>RhÃ¶nbrÃ¤u Klosterbier</t>
  </si>
  <si>
    <t>Gustaf's KnÃ¤ckebrÃ¶d</t>
  </si>
  <si>
    <t>TourtiÃ¨re</t>
  </si>
  <si>
    <t>TunnbrÃ¶d</t>
  </si>
  <si>
    <t>GuaranÃ¡ FantÃ¡stica</t>
  </si>
  <si>
    <t>RÃ¸gede sild</t>
  </si>
  <si>
    <t>RÃ¶d Kaviar</t>
  </si>
  <si>
    <t>NuNuCa NuÃŸ-Nougat-Creme</t>
  </si>
  <si>
    <t>QUERY 4(a) :</t>
  </si>
  <si>
    <t>SELECT
cat.CategoryID,
cat.CategoryName,
COUNT(DISTINCT od.OrderID) AS total_orders,
SUM(od.Quantity) AS units_sold,
ROUND(SUM(od.UnitPrice * od.Quantity * (1-od.Discount)),2) AS total_revenue,
ROUND(SUM(od.UnitPrice * od.Quantity * (1-od.Discount)) / SUM(SUM(od.UnitPrice * od.Quantity * (1-od.Discount))) OVER () * 100, 2) AS revenue_pct,
ROUND(AVG(od.UnitPrice), 2) AS avg_unit_price
FROM order_details od
JOIN products p ON od.ProductID = p.ProductID
JOIN categories cat ON p.CategoryID = cat.CategoryID
GROUP BY cat.CategoryID, cat.CategoryName
ORDER BY total_revenue DESC;</t>
  </si>
  <si>
    <t>QUERY 4(b) :</t>
  </si>
  <si>
    <t>SELECT
p.ProductID,
p.ProductName,
cat.CategoryName,
COUNT(DISTINCT od.OrderID) AS times_ordered,
SUM(od.Quantity) AS units_sold,
ROUND(SUM(od.UnitPrice * od.Quantity * (1-od.Discount)),2) AS total_revenue,
ROUND(SUM(od.UnitPrice * od.Quantity * (1-od.Discount)) / SUM(SUM(od.UnitPrice * od.Quantity * (1-od.Discount))) OVER (PARTITION BY cat.CategoryName) * 100, 2) AS pct_of_category,
ROUND(AVG(od.UnitPrice), 2) AS avg_selling_price
FROM order_details od
JOIN products p ON od.ProductID = p.ProductID
JOIN categories cat ON p.CategoryID = cat.CategoryID
GROUP BY p.ProductID, p.ProductName, cat.CategoryName
ORDER BY total_revenue DESC;</t>
  </si>
  <si>
    <t>units_ordered</t>
  </si>
  <si>
    <t>revenue</t>
  </si>
  <si>
    <t>distinct_customers</t>
  </si>
  <si>
    <t>revenue_per_customer</t>
  </si>
  <si>
    <t>QUERY 5.1 :</t>
  </si>
  <si>
    <t>SELECT
c.Country,
c.City,
cat.CategoryName,
COUNT(DISTINCT o.OrderID) AS order_count,
SUM(od.Quantity) AS units_ordered,
ROUND(SUM(od.UnitPrice * od.Quantity * (1-od.Discount)),2) AS revenue,
COUNT(DISTINCT c.CustomerID) AS distinct_customers,
ROUND(SUM(od.UnitPrice * od.Quantity * (1-od.Discount)) / COUNT(DISTINCT c.CustomerID), 2) AS revenue_per_customer
FROM orders o
JOIN customers c ON o.CustomerID = c.CustomerID
JOIN order_details od ON o.OrderID = od.OrderID
JOIN products p ON od.ProductID = p.ProductID
JOIN categories cat ON p.CategoryID = cat.CategoryID
GROUP BY c.Country, c.City, cat.CategoryName
ORDER BY c.Country, revenue DESC;</t>
  </si>
  <si>
    <t>avg_days_between_orders</t>
  </si>
  <si>
    <t>min_gap_days</t>
  </si>
  <si>
    <t>max_gap_days</t>
  </si>
  <si>
    <t>frequency_segment</t>
  </si>
  <si>
    <t>NULL</t>
  </si>
  <si>
    <t>Infrequent (&gt;180d)</t>
  </si>
  <si>
    <t>18.0</t>
  </si>
  <si>
    <t>0</t>
  </si>
  <si>
    <t>35</t>
  </si>
  <si>
    <t>High Frequency (&lt;=30d)</t>
  </si>
  <si>
    <t>20.2</t>
  </si>
  <si>
    <t>78</t>
  </si>
  <si>
    <t>23.3</t>
  </si>
  <si>
    <t>64</t>
  </si>
  <si>
    <t>24.0</t>
  </si>
  <si>
    <t>111</t>
  </si>
  <si>
    <t>31.5</t>
  </si>
  <si>
    <t>3</t>
  </si>
  <si>
    <t>87</t>
  </si>
  <si>
    <t>Medium Frequency (31-90d)</t>
  </si>
  <si>
    <t>33.5</t>
  </si>
  <si>
    <t>124</t>
  </si>
  <si>
    <t>33.6</t>
  </si>
  <si>
    <t>7</t>
  </si>
  <si>
    <t>100</t>
  </si>
  <si>
    <t>34.1</t>
  </si>
  <si>
    <t>131</t>
  </si>
  <si>
    <t>36.5</t>
  </si>
  <si>
    <t>130</t>
  </si>
  <si>
    <t>38.6</t>
  </si>
  <si>
    <t>163</t>
  </si>
  <si>
    <t>2</t>
  </si>
  <si>
    <t>141</t>
  </si>
  <si>
    <t>39.2</t>
  </si>
  <si>
    <t>94</t>
  </si>
  <si>
    <t>39.8</t>
  </si>
  <si>
    <t>127</t>
  </si>
  <si>
    <t>41.6</t>
  </si>
  <si>
    <t>139</t>
  </si>
  <si>
    <t>41.8</t>
  </si>
  <si>
    <t>4</t>
  </si>
  <si>
    <t>122</t>
  </si>
  <si>
    <t>42.0</t>
  </si>
  <si>
    <t>103</t>
  </si>
  <si>
    <t>42.7</t>
  </si>
  <si>
    <t>146</t>
  </si>
  <si>
    <t>44.1</t>
  </si>
  <si>
    <t>155</t>
  </si>
  <si>
    <t>44.2</t>
  </si>
  <si>
    <t>134</t>
  </si>
  <si>
    <t>44.9</t>
  </si>
  <si>
    <t>90</t>
  </si>
  <si>
    <t>46.2</t>
  </si>
  <si>
    <t>227</t>
  </si>
  <si>
    <t>46.4</t>
  </si>
  <si>
    <t>48.3</t>
  </si>
  <si>
    <t>148</t>
  </si>
  <si>
    <t>49.0</t>
  </si>
  <si>
    <t>9</t>
  </si>
  <si>
    <t>50.8</t>
  </si>
  <si>
    <t>10</t>
  </si>
  <si>
    <t>52.1</t>
  </si>
  <si>
    <t>129</t>
  </si>
  <si>
    <t>53.6</t>
  </si>
  <si>
    <t>54.1</t>
  </si>
  <si>
    <t>18</t>
  </si>
  <si>
    <t>209</t>
  </si>
  <si>
    <t>54.3</t>
  </si>
  <si>
    <t>34</t>
  </si>
  <si>
    <t>81</t>
  </si>
  <si>
    <t>55.0</t>
  </si>
  <si>
    <t>217</t>
  </si>
  <si>
    <t>55.8</t>
  </si>
  <si>
    <t>113</t>
  </si>
  <si>
    <t>57.0</t>
  </si>
  <si>
    <t>313</t>
  </si>
  <si>
    <t>58.4</t>
  </si>
  <si>
    <t>161</t>
  </si>
  <si>
    <t>59.6</t>
  </si>
  <si>
    <t>14</t>
  </si>
  <si>
    <t>59.8</t>
  </si>
  <si>
    <t>27</t>
  </si>
  <si>
    <t>97</t>
  </si>
  <si>
    <t>59.9</t>
  </si>
  <si>
    <t>221</t>
  </si>
  <si>
    <t>62.0</t>
  </si>
  <si>
    <t>62</t>
  </si>
  <si>
    <t>62.7</t>
  </si>
  <si>
    <t>222</t>
  </si>
  <si>
    <t>62.8</t>
  </si>
  <si>
    <t>13</t>
  </si>
  <si>
    <t>158</t>
  </si>
  <si>
    <t>64.0</t>
  </si>
  <si>
    <t>23</t>
  </si>
  <si>
    <t>105</t>
  </si>
  <si>
    <t>65.1</t>
  </si>
  <si>
    <t>6</t>
  </si>
  <si>
    <t>165</t>
  </si>
  <si>
    <t>67.2</t>
  </si>
  <si>
    <t>266</t>
  </si>
  <si>
    <t>68.4</t>
  </si>
  <si>
    <t>8</t>
  </si>
  <si>
    <t>182</t>
  </si>
  <si>
    <t>69.0</t>
  </si>
  <si>
    <t>19</t>
  </si>
  <si>
    <t>69.1</t>
  </si>
  <si>
    <t>22</t>
  </si>
  <si>
    <t>149</t>
  </si>
  <si>
    <t>70.5</t>
  </si>
  <si>
    <t>239</t>
  </si>
  <si>
    <t>71.0</t>
  </si>
  <si>
    <t>205</t>
  </si>
  <si>
    <t>71.2</t>
  </si>
  <si>
    <t>74.4</t>
  </si>
  <si>
    <t>190</t>
  </si>
  <si>
    <t>75.1</t>
  </si>
  <si>
    <t>15</t>
  </si>
  <si>
    <t>300</t>
  </si>
  <si>
    <t>75.3</t>
  </si>
  <si>
    <t>77.3</t>
  </si>
  <si>
    <t>77.5</t>
  </si>
  <si>
    <t>39</t>
  </si>
  <si>
    <t>162</t>
  </si>
  <si>
    <t>77.9</t>
  </si>
  <si>
    <t>172</t>
  </si>
  <si>
    <t>78.3</t>
  </si>
  <si>
    <t>259</t>
  </si>
  <si>
    <t>78.8</t>
  </si>
  <si>
    <t>21</t>
  </si>
  <si>
    <t>232</t>
  </si>
  <si>
    <t>85.2</t>
  </si>
  <si>
    <t>24</t>
  </si>
  <si>
    <t>138</t>
  </si>
  <si>
    <t>85.5</t>
  </si>
  <si>
    <t>233</t>
  </si>
  <si>
    <t>87.0</t>
  </si>
  <si>
    <t>87.4</t>
  </si>
  <si>
    <t>192</t>
  </si>
  <si>
    <t>94.0</t>
  </si>
  <si>
    <t>54</t>
  </si>
  <si>
    <t>Low Frequency (91-180d)</t>
  </si>
  <si>
    <t>96.8</t>
  </si>
  <si>
    <t>101.5</t>
  </si>
  <si>
    <t>199</t>
  </si>
  <si>
    <t>101.8</t>
  </si>
  <si>
    <t>219</t>
  </si>
  <si>
    <t>108.8</t>
  </si>
  <si>
    <t>43</t>
  </si>
  <si>
    <t>147</t>
  </si>
  <si>
    <t>111.3</t>
  </si>
  <si>
    <t>12</t>
  </si>
  <si>
    <t>288</t>
  </si>
  <si>
    <t>114.3</t>
  </si>
  <si>
    <t>36</t>
  </si>
  <si>
    <t>271</t>
  </si>
  <si>
    <t>115.5</t>
  </si>
  <si>
    <t>20</t>
  </si>
  <si>
    <t>245</t>
  </si>
  <si>
    <t>121.0</t>
  </si>
  <si>
    <t>115</t>
  </si>
  <si>
    <t>122.5</t>
  </si>
  <si>
    <t>178</t>
  </si>
  <si>
    <t>123.4</t>
  </si>
  <si>
    <t>124.0</t>
  </si>
  <si>
    <t>435</t>
  </si>
  <si>
    <t>125.0</t>
  </si>
  <si>
    <t>45</t>
  </si>
  <si>
    <t>249</t>
  </si>
  <si>
    <t>125.2</t>
  </si>
  <si>
    <t>243</t>
  </si>
  <si>
    <t>133.0</t>
  </si>
  <si>
    <t>38</t>
  </si>
  <si>
    <t>387</t>
  </si>
  <si>
    <t>136.3</t>
  </si>
  <si>
    <t>367</t>
  </si>
  <si>
    <t>28</t>
  </si>
  <si>
    <t>357</t>
  </si>
  <si>
    <t>136.5</t>
  </si>
  <si>
    <t>145.0</t>
  </si>
  <si>
    <t>68</t>
  </si>
  <si>
    <t>315</t>
  </si>
  <si>
    <t>171.3</t>
  </si>
  <si>
    <t>307</t>
  </si>
  <si>
    <t>176.5</t>
  </si>
  <si>
    <t>326</t>
  </si>
  <si>
    <t>177.3</t>
  </si>
  <si>
    <t>96</t>
  </si>
  <si>
    <t>324</t>
  </si>
  <si>
    <t>186.0</t>
  </si>
  <si>
    <t>74</t>
  </si>
  <si>
    <t>392</t>
  </si>
  <si>
    <t>188.3</t>
  </si>
  <si>
    <t>532</t>
  </si>
  <si>
    <t>191.0</t>
  </si>
  <si>
    <t>355</t>
  </si>
  <si>
    <t>214.0</t>
  </si>
  <si>
    <t>214</t>
  </si>
  <si>
    <t>265.0</t>
  </si>
  <si>
    <t>85</t>
  </si>
  <si>
    <t>445</t>
  </si>
  <si>
    <t>506.0</t>
  </si>
  <si>
    <t>506</t>
  </si>
  <si>
    <t>QUERY 5.2 :</t>
  </si>
  <si>
    <t>WITH order_gaps AS (
SELECT
o.CustomerID,
c.CompanyName,
c.Country,
o.OrderDate,
LAG(o.OrderDate) OVER (PARTITION BY o.CustomerID
ORDER BY o.OrderDate) AS prev_order_date,
DATEDIFF(o.OrderDate,
LAG(o.OrderDate) OVER (PARTITION BY o.CustomerID
ORDER BY o.OrderDate)) AS days_between_orders
FROM orders o
JOIN customers c ON o.CustomerID = c.CustomerID
),
frequency_summary AS (
SELECT
CustomerID,
CompanyName,
Country,
COUNT(*) AS total_orders,
ROUND(AVG(days_between_orders), 1) AS avg_days_between_orders,
MIN(days_between_orders) AS min_gap_days,
MAX(days_between_orders) AS max_gap_days
FROM order_gaps
GROUP BY CustomerID, CompanyName, Country
)
SELECT
fs.*,
CASE
WHEN avg_days_between_orders &lt;= 30 THEN 'High Frequency (&lt;=30d)'
WHEN avg_days_between_orders &lt;= 90 THEN 'Medium Frequency (31-90d)'
WHEN avg_days_between_orders &lt;= 180 THEN 'Low Frequency (91-180d)'
ELSE 'Infrequent (&gt;180d)'
END AS frequency_segment
FROM frequency_summary fs
ORDER BY avg_days_between_orders ASC;</t>
  </si>
  <si>
    <t>38.9</t>
  </si>
  <si>
    <t>employee_count</t>
  </si>
  <si>
    <t>titles_present</t>
  </si>
  <si>
    <t>Sales Manager, Sales Representative</t>
  </si>
  <si>
    <t>Inside Sales Coordinator, Sales Representative</t>
  </si>
  <si>
    <t>headcount</t>
  </si>
  <si>
    <t>employee_names</t>
  </si>
  <si>
    <t>countries_covered</t>
  </si>
  <si>
    <t>Nancy Davolio, Anne Dodsworth, Robert King, Janet Leverling, Margaret Peacock, Michael Suyama</t>
  </si>
  <si>
    <t>UK, USA</t>
  </si>
  <si>
    <t>Laura Callahan</t>
  </si>
  <si>
    <t>Steven Buchanan</t>
  </si>
  <si>
    <t>QUERY 6(a) :</t>
  </si>
  <si>
    <t>SELECT
Country,
City,
COUNT(*) AS employee_count,
GROUP_CONCAT(DISTINCT Title ORDER BY Title
SEPARATOR ', ') AS titles_present
FROM employees
GROUP BY Country, City
ORDER BY employee_count DESC;</t>
  </si>
  <si>
    <t>QUERY 6(b) :</t>
  </si>
  <si>
    <t>SELECT
e.Title,
COUNT(*) AS headcount,
GROUP_CONCAT(DISTINCT
CONCAT(e.FirstName,' ',e.LastName)
ORDER BY e.LastName SEPARATOR ', ') AS employee_names,
GROUP_CONCAT(DISTINCT e.Country
ORDER BY e.Country SEPARATOR ', ') AS countries_covered
FROM employees e
GROUP BY e.Title
ORDER BY headcount DESC;</t>
  </si>
  <si>
    <t>hire_year</t>
  </si>
  <si>
    <t>hire_quarter</t>
  </si>
  <si>
    <t>hires_in_period</t>
  </si>
  <si>
    <t>earliest_hire</t>
  </si>
  <si>
    <t>latest_hire</t>
  </si>
  <si>
    <t>avg_age_at_hire</t>
  </si>
  <si>
    <t>employee_name</t>
  </si>
  <si>
    <t>tenure_years</t>
  </si>
  <si>
    <t>current_age</t>
  </si>
  <si>
    <t>Nancy Davolio</t>
  </si>
  <si>
    <t>Janet Leverling</t>
  </si>
  <si>
    <t>Margaret Peacock</t>
  </si>
  <si>
    <t>Michael Suyama</t>
  </si>
  <si>
    <t>Robert King</t>
  </si>
  <si>
    <t>Anne Dodsworth</t>
  </si>
  <si>
    <t>QUERY 7(a) :</t>
  </si>
  <si>
    <t>SELECT
e.Title,
YEAR(e.HireDate) AS hire_year,
QUARTER(e.HireDate) AS hire_quarter,
COUNT(*) AS hires_in_period,
MIN(e.HireDate) AS earliest_hire,
MAX(e.HireDate) AS latest_hire,
ROUND(AVG(TIMESTAMPDIFF(YEAR, e.BirthDate,
e.HireDate)), 1) AS avg_age_at_hire
FROM employees e
GROUP BY e.Title, YEAR(e.HireDate), QUARTER(e.HireDate)
ORDER BY hire_year, hire_quarter, e.Title;</t>
  </si>
  <si>
    <t>QUERY 7(b) :</t>
  </si>
  <si>
    <t>SELECT
CONCAT(FirstName,' ',LastName) AS employee_name,
Title,
HireDate,
TIMESTAMPDIFF(YEAR, HireDate, CURDATE()) AS tenure_years,
TIMESTAMPDIFF(YEAR, BirthDate, CURDATE()) AS current_age
FROM employees
ORDER BY tenure_years DESC;</t>
  </si>
  <si>
    <t>courtesy_title</t>
  </si>
  <si>
    <t>count</t>
  </si>
  <si>
    <t>percentage</t>
  </si>
  <si>
    <t>job_titles_held</t>
  </si>
  <si>
    <t>Inside Sales Coordinator | Sales Representative</t>
  </si>
  <si>
    <t>Sales Manager | Sales Representative</t>
  </si>
  <si>
    <t>avg_age</t>
  </si>
  <si>
    <t>avg_tenure_years</t>
  </si>
  <si>
    <t>QUERY 8(a) :</t>
  </si>
  <si>
    <t>SELECT
TitleOfCourtesy AS courtesy_title,
COUNT(*) AS count,
ROUND(COUNT(*) * 100.0 / (SELECT COUNT(*)
FROM employees), 1) AS percentage,
GROUP_CONCAT(DISTINCT Title
ORDER BY Title SEPARATOR ' | ') AS job_titles_held
FROM employees
GROUP BY TitleOfCourtesy
ORDER BY count DESC;</t>
  </si>
  <si>
    <t>QUERY 8(b) :</t>
  </si>
  <si>
    <t>SELECT
TitleOfCourtesy,
Title,
COUNT(*) AS count,
AVG(TIMESTAMPDIFF(YEAR, BirthDate, CURDATE())) AS avg_age,
AVG(TIMESTAMPDIFF(YEAR, HireDate, CURDATE())) AS avg_tenure_years
FROM employees
GROUP BY TitleOfCourtesy, Title
ORDER BY TitleOfCourtesy, count DESC;</t>
  </si>
  <si>
    <t>list_price</t>
  </si>
  <si>
    <t>total_units_sold</t>
  </si>
  <si>
    <t>stock_to_sales_ratio</t>
  </si>
  <si>
    <t>stock_status</t>
  </si>
  <si>
    <t>Adequate</t>
  </si>
  <si>
    <t>Out of Stock</t>
  </si>
  <si>
    <t>Below Reorder</t>
  </si>
  <si>
    <t>QUERY 9 :</t>
  </si>
  <si>
    <t>SELECT
p.ProductID,
p.ProductName,
cat.CategoryName,
p.UnitPrice AS list_price,
p.UnitsInStock,
p.UnitsOnOrder,
p.ReorderLevel,
p.Discontinued,
COUNT(DISTINCT od.OrderID) AS times_ordered,
COALESCE(SUM(od.Quantity), 0) AS total_units_sold,
ROUND(COALESCE(SUM(od.UnitPrice * od.Quantity * (1 - od.Discount)), 0), 2) AS total_revenue,
ROUND(COALESCE(AVG(od.UnitPrice), p.UnitPrice), 2) AS avg_selling_price,
ROUND(p.UnitsInStock / NULLIF(SUM(od.Quantity),0), 2) AS stock_to_sales_ratio,
CASE
WHEN p.UnitsInStock = 0 THEN 'Out of Stock'
WHEN p.UnitsInStock &lt; p.ReorderLevel THEN 'Below Reorder'
ELSE 'Adequate'
END AS stock_status
FROM products p
LEFT JOIN order_details od ON p.ProductID = od.ProductID
JOIN categories cat ON p.CategoryID = cat.CategoryID
GROUP BY p.ProductID, p.ProductName, cat.CategoryName,
p.UnitPrice, p.UnitsInStock, p.UnitsOnOrder,
p.ReorderLevel, p.Discontinued
ORDER BY total_revenue DESC;</t>
  </si>
  <si>
    <t>order_year</t>
  </si>
  <si>
    <t>order_month</t>
  </si>
  <si>
    <t>month_name</t>
  </si>
  <si>
    <t>quarter</t>
  </si>
  <si>
    <t>season</t>
  </si>
  <si>
    <t>orders_placed</t>
  </si>
  <si>
    <t>monthly_revenue</t>
  </si>
  <si>
    <t>August</t>
  </si>
  <si>
    <t>Q3 Summer</t>
  </si>
  <si>
    <t>September</t>
  </si>
  <si>
    <t>October</t>
  </si>
  <si>
    <t>Q4 Autumn</t>
  </si>
  <si>
    <t>November</t>
  </si>
  <si>
    <t>December</t>
  </si>
  <si>
    <t>January</t>
  </si>
  <si>
    <t>Q1 Winter</t>
  </si>
  <si>
    <t>February</t>
  </si>
  <si>
    <t>March</t>
  </si>
  <si>
    <t>April</t>
  </si>
  <si>
    <t>Q2 Spring</t>
  </si>
  <si>
    <t>May</t>
  </si>
  <si>
    <t>June</t>
  </si>
  <si>
    <t>July</t>
  </si>
  <si>
    <t>QUERY 10 :</t>
  </si>
  <si>
    <t>SELECT
YEAR(o.OrderDate) AS order_year,
MONTH(o.OrderDate) AS order_month,
MONTHNAME(o.OrderDate) AS month_name,
QUARTER(o.OrderDate) AS quarter,
CASE QUARTER(o.OrderDate)
WHEN 1 THEN 'Q1 Winter'
WHEN 2 THEN 'Q2 Spring'
WHEN 3 THEN 'Q3 Summer'
WHEN 4 THEN 'Q4 Autumn'
END AS season,
cat.CategoryName,
COUNT(DISTINCT o.OrderID) AS orders_placed,
SUM(od.Quantity) AS units_sold,
ROUND(SUM(od.UnitPrice * od.Quantity*(1-od.Discount)),2) AS monthly_revenue
FROM orders o
JOIN order_details od ON o.OrderID = od.OrderID
JOIN products p ON od.ProductID = p.ProductID
JOIN categories cat ON p.CategoryID = cat.CategoryID
GROUP BY order_year, order_month, month_name, quarter, season, cat.CategoryName
ORDER BY order_year, order_month, cat.CategoryName;</t>
  </si>
  <si>
    <t>avg_discount_pct</t>
  </si>
  <si>
    <t>revenue_z_score</t>
  </si>
  <si>
    <t>units_z_score</t>
  </si>
  <si>
    <t>discount_z_score</t>
  </si>
  <si>
    <t>anomaly_flag</t>
  </si>
  <si>
    <t>Revenue Anomaly</t>
  </si>
  <si>
    <t>Normal</t>
  </si>
  <si>
    <t>Volume Anomaly</t>
  </si>
  <si>
    <t>Discount Anomaly</t>
  </si>
  <si>
    <t>QUERY 11 :</t>
  </si>
  <si>
    <t>WITH product_stats AS (
SELECT
p.ProductID,
p.ProductName,
cat.CategoryName,
COUNT(DISTINCT od.OrderID) AS order_count,
SUM(od.Quantity) AS units_sold,
ROUND(SUM(od.UnitPrice*od.Quantity*(1-od.Discount)),2) AS total_revenue,
ROUND(AVG(od.Discount)*100, 1) AS avg_discount_pct,
ROUND(AVG(od.UnitPrice), 2) AS avg_selling_price
FROM order_details od
JOIN products p ON od.ProductID = p.ProductID
JOIN categories cat ON p.CategoryID = cat.CategoryID
GROUP BY p.ProductID, p.ProductName, cat.CategoryName
),
stats AS (
SELECT
AVG(total_revenue) AS mean_rev,
STDDEV_POP(total_revenue) AS std_rev,
AVG(units_sold) AS mean_units,
STDDEV_POP(units_sold) AS std_units,
AVG(avg_discount_pct) AS mean_disc,
STDDEV_POP(avg_discount_pct) AS std_disc
FROM product_stats
)
SELECT
ps.*,
ROUND((ps.total_revenue - s.mean_rev) / NULLIF(s.std_rev,0), 2) AS revenue_z_score,
ROUND((ps.units_sold - s.mean_units)/ NULLIF(s.std_units,0), 2) AS units_z_score,
ROUND((ps.avg_discount_pct - s.mean_disc)/NULLIF(s.std_disc,0),2) AS discount_z_score,
CASE
WHEN ABS((ps.total_revenue - s.mean_rev)/NULLIF(s.std_rev,0)) &gt; 2
THEN 'Revenue Anomaly'
WHEN ABS((ps.units_sold - s.mean_units)/NULLIF(s.std_units,0)) &gt; 2
THEN 'Volume Anomaly'
WHEN ABS((ps.avg_discount_pct - s.mean_disc)/NULLIF(s.std_disc,0)) &gt; 2
THEN 'Discount Anomaly'
ELSE 'Normal'
END AS anomaly_flag
FROM product_stats ps
CROSS JOIN stats s
ORDER BY ABS(revenue_z_score) DESC;</t>
  </si>
  <si>
    <t>supplier_name</t>
  </si>
  <si>
    <t>supplier_country</t>
  </si>
  <si>
    <t>supplier_city</t>
  </si>
  <si>
    <t>supplier_region</t>
  </si>
  <si>
    <t>products_supplied</t>
  </si>
  <si>
    <t>categories_covered</t>
  </si>
  <si>
    <t>avg_product_price</t>
  </si>
  <si>
    <t>min_product_price</t>
  </si>
  <si>
    <t>max_product_price</t>
  </si>
  <si>
    <t>inventory_value</t>
  </si>
  <si>
    <t>discontinued_products</t>
  </si>
  <si>
    <t/>
  </si>
  <si>
    <t>ForÃªts d'Ã©rables</t>
  </si>
  <si>
    <t>QuÃ©bec</t>
  </si>
  <si>
    <t>Aux joyeux ecclÃ©siastiques</t>
  </si>
  <si>
    <t>Gai pÃ¢turage</t>
  </si>
  <si>
    <t>Plutzer LebensmittelgroÃŸmÃ¤rkte AG</t>
  </si>
  <si>
    <t>Heli SÃ¼ÃŸwaren GmbH &amp; Co. KG</t>
  </si>
  <si>
    <t>Svensk SjÃ¶fÃ¶da AB</t>
  </si>
  <si>
    <t>PB KnÃ¤ckebrÃ¶d AB</t>
  </si>
  <si>
    <t>GÃ¶teborg</t>
  </si>
  <si>
    <t>supplier_count</t>
  </si>
  <si>
    <t>products_count</t>
  </si>
  <si>
    <t>avg_price</t>
  </si>
  <si>
    <t>total_inventory_value</t>
  </si>
  <si>
    <t>QUERY 12(a) :</t>
  </si>
  <si>
    <t>SELECT
s.SupplierID,
s.CompanyName AS supplier_name,
s.Country AS supplier_country,
s.City AS supplier_city,
s.Region AS supplier_region,
COUNT(DISTINCT p.ProductID) AS products_supplied,
COUNT(DISTINCT p.CategoryID) AS categories_covered,
ROUND(AVG(p.UnitPrice), 2) AS avg_product_price,
ROUND(MIN(p.UnitPrice), 2) AS min_product_price,
ROUND(MAX(p.UnitPrice), 2) AS max_product_price,
ROUND(SUM(p.UnitsInStock * p.UnitPrice), 2) AS inventory_value,
SUM(CASE WHEN p.Discontinued = 1 THEN 1 ELSE 0 END) AS discontinued_products
FROM suppliers s
JOIN products p ON s.SupplierID = p.SupplierID
GROUP BY s.SupplierID, s.CompanyName,
s.Country, s.City, s.Region
ORDER BY s.Country, avg_product_price DESC;</t>
  </si>
  <si>
    <t>QUERY 12(b) :</t>
  </si>
  <si>
    <t>SELECT
s.Country,
COUNT(DISTINCT s.SupplierID) AS supplier_count,
COUNT(DISTINCT p.ProductID) AS products_count,
ROUND(AVG(p.UnitPrice), 2) AS avg_price,
ROUND(SUM(p.UnitsInStock * p.UnitPrice), 2) AS total_inventory_value
FROM suppliers s
JOIN products p ON s.SupplierID = p.SupplierID
GROUP BY s.Country
ORDER BY supplier_count DESC;</t>
  </si>
  <si>
    <t>QUERY 12(c) :</t>
  </si>
  <si>
    <t>SELECT
s.City,
COUNT(DISTINCT s.SupplierID) AS supplier_count,
COUNT(DISTINCT p.ProductID) AS products_count,
ROUND(AVG(p.UnitPrice), 2) AS avg_price,
ROUND(SUM(p.UnitsInStock * p.UnitPrice), 2) AS total_inventory_value
FROM suppliers s
JOIN products p ON s.SupplierID = p.SupplierID
GROUP BY s.City
ORDER BY supplier_count DESC;</t>
  </si>
  <si>
    <t>products_in_category</t>
  </si>
  <si>
    <t>avg_price_in_category</t>
  </si>
  <si>
    <t>stock_in_category</t>
  </si>
  <si>
    <t>product_count</t>
  </si>
  <si>
    <t>suppliers_list</t>
  </si>
  <si>
    <t>Cooperativa de Quesos 'Las Cabras' | Formaggi Fortini s.r.l. | Gai pÃ¢turage | Norske Meierier</t>
  </si>
  <si>
    <t>G'day, Mate | Leka Trading | Pasta Buttini s.r.l. | PB KnÃ¤ckebrÃ¶d AB | Plutzer LebensmittelgroÃŸmÃ¤rkte AG</t>
  </si>
  <si>
    <t>G'day, Mate | Ma Maison | Pavlova, Ltd. | Plutzer LebensmittelgroÃŸmÃ¤rkte AG | Tokyo Traders</t>
  </si>
  <si>
    <t>G'day, Mate | Grandma Kelly's Homestead | Mayumi's | Plutzer LebensmittelgroÃŸmÃ¤rkte AG | Tokyo Traders</t>
  </si>
  <si>
    <t>ForÃªts d'Ã©rables | Heli SÃ¼ÃŸwaren GmbH &amp; Co. KG | Karkki Oy | Pavlova, Ltd. | Specialty Biscuits, Ltd. | Zaanse Snoepfabriek</t>
  </si>
  <si>
    <t>Aux joyeux ecclÃ©siastiques | Bigfoot Breweries | Exotic Liquids | Karkki Oy | Leka Trading | Pavlova, Ltd. | Plutzer LebensmittelgroÃŸmÃ¤rkte AG | Refrescos Americanas LTDA</t>
  </si>
  <si>
    <t>Exotic Liquids | ForÃªts d'Ã©rables | Grandma Kelly's Homestead | Leka Trading | Mayumi's | New Orleans Cajun Delights | Pavlova, Ltd. | Plutzer LebensmittelgroÃŸmÃ¤rkte AG</t>
  </si>
  <si>
    <t>Escargots Nouveaux | Lyngbysild | Mayumi's | New England Seafood Cannery | Nord-Ost-Fisch Handelsgesellschaft mbH | Pavlova, Ltd. | Svensk SjÃ¶fÃ¶da AB | Tokyo Traders</t>
  </si>
  <si>
    <t>QUERY 13(a) :</t>
  </si>
  <si>
    <t>SELECT
s.SupplierID,
s.CompanyName AS supplier_name,
s.Country,
cat.CategoryID,
cat.CategoryName,
COUNT(DISTINCT p.ProductID) AS products_in_category,
ROUND(AVG(p.UnitPrice), 2) AS avg_price_in_category,
SUM(p.UnitsInStock) AS stock_in_category
FROM suppliers s
JOIN products p ON s.SupplierID = p.SupplierID
JOIN categories cat ON p.CategoryID = cat.CategoryID
GROUP BY s.SupplierID, s.CompanyName, s.Country,
cat.CategoryID, cat.CategoryName
ORDER BY cat.CategoryName, products_in_category DESC;</t>
  </si>
  <si>
    <t>QUERY 13(b) :</t>
  </si>
  <si>
    <t>SELECT
cat.CategoryName,
COUNT(DISTINCT s.SupplierID) AS supplier_count,
COUNT(DISTINCT p.ProductID) AS product_count,
ROUND(AVG(p.UnitPrice), 2) AS avg_price,
GROUP_CONCAT(DISTINCT s.CompanyName
ORDER BY s.CompanyName SEPARATOR ' | ') AS suppliers_list
FROM categories cat
JOIN products p ON cat.CategoryID = p.CategoryID
JOIN suppliers s ON p.SupplierID = s.SupplierID
GROUP BY cat.CategoryName
ORDER BY supplier_count ASC;</t>
  </si>
  <si>
    <t>suppliers_in_segment</t>
  </si>
  <si>
    <t>products</t>
  </si>
  <si>
    <t>min_price</t>
  </si>
  <si>
    <t>max_price</t>
  </si>
  <si>
    <t>price_range</t>
  </si>
  <si>
    <t>price_std_dev</t>
  </si>
  <si>
    <t>avg_actual_selling_price</t>
  </si>
  <si>
    <t>avg_price_discount_given</t>
  </si>
  <si>
    <t>QUERY 14 :</t>
  </si>
  <si>
    <t>SELECT
s.Country AS supplier_country,
COALESCE(s.Region, 'N/A') AS supplier_region,
cat.CategoryName,
COUNT(DISTINCT s.SupplierID) AS suppliers_in_segment,
COUNT(DISTINCT p.ProductID) AS products,
ROUND(AVG(p.UnitPrice), 2) AS avg_price,
ROUND(MIN(p.UnitPrice), 2) AS min_price,
ROUND(MAX(p.UnitPrice), 2) AS max_price,
ROUND(MAX(p.UnitPrice) - MIN(p.UnitPrice), 2) AS price_range,
ROUND(STDDEV_POP(p.UnitPrice), 2) AS price_std_dev,
ROUND(AVG(od.UnitPrice), 2) AS avg_actual_selling_price,
ROUND(AVG(p.UnitPrice) - AVG(od.UnitPrice), 2) AS avg_price_discount_given
FROM suppliers s
JOIN products p ON s.SupplierID = p.SupplierID
JOIN categories cat ON p.CategoryID = cat.CategoryID
LEFT JOIN order_details od ON p.ProductID = od.ProductID
GROUP BY s.Country, COALESCE(s.Region,'N/A'), cat.CategoryName
ORDER BY s.Country, cat.CategoryName;</t>
  </si>
  <si>
    <t>Total Revenue</t>
  </si>
  <si>
    <t>Total Orders</t>
  </si>
  <si>
    <t>Q.(1)</t>
  </si>
  <si>
    <t>What is the average number of orders per customer? Are there high-value repeat customers?</t>
  </si>
  <si>
    <t>Q.(2)</t>
  </si>
  <si>
    <t>How do customer order patterns vary by city or country?</t>
  </si>
  <si>
    <t>Can we cluster customers based on total spend, order count, and preferred categories?</t>
  </si>
  <si>
    <t>How frequently do different customer segments place orders?</t>
  </si>
  <si>
    <t>What is the geographic and title-wise distribution of employees?</t>
  </si>
  <si>
    <t>What trends can we observe in hire dates across employee titles?</t>
  </si>
  <si>
    <t>What patterns exist in employee title and courtesy title distributions?</t>
  </si>
  <si>
    <t>Are there correlations between product pricing, stock levels, and sales performance?</t>
  </si>
  <si>
    <t>How does product demand change over months or seasons?</t>
  </si>
  <si>
    <t>Can we identify anomalies in product sales or revenue performance?</t>
  </si>
  <si>
    <t>Are there any regional trends in supplier distribution and pricing?</t>
  </si>
  <si>
    <t>How are suppliers distributed across different product categories?</t>
  </si>
  <si>
    <t>How do supplier pricing and categories relate across different regions?</t>
  </si>
  <si>
    <t>Which product categories or products contribute most to order revenue?</t>
  </si>
  <si>
    <t>Q.(3)</t>
  </si>
  <si>
    <t>Q.(4)</t>
  </si>
  <si>
    <t>Are there any correlations between orders and customer location or product category?</t>
  </si>
  <si>
    <t>Q.(6)</t>
  </si>
  <si>
    <t>Q.(5.2)</t>
  </si>
  <si>
    <t>Q.(5.1)</t>
  </si>
  <si>
    <t>Q.(7)</t>
  </si>
  <si>
    <t>Q.(8)</t>
  </si>
  <si>
    <t>Q.(9)</t>
  </si>
  <si>
    <t>Q.(10)</t>
  </si>
  <si>
    <t>Q.(11)</t>
  </si>
  <si>
    <t>Q.(12)</t>
  </si>
  <si>
    <t>Q.(13)</t>
  </si>
  <si>
    <t>Q.(14)</t>
  </si>
  <si>
    <t>Count of Customers</t>
  </si>
  <si>
    <t>Customer Segment</t>
  </si>
  <si>
    <t>Total Spend</t>
  </si>
  <si>
    <t>Order Count</t>
  </si>
  <si>
    <t>Preferred Category</t>
  </si>
  <si>
    <t>Product Category</t>
  </si>
  <si>
    <t>Total Units Sold</t>
  </si>
  <si>
    <t>Product Name</t>
  </si>
  <si>
    <t>Location</t>
  </si>
  <si>
    <t>Category</t>
  </si>
  <si>
    <t>Frequency Segment</t>
  </si>
  <si>
    <t>Employee Count</t>
  </si>
  <si>
    <t>Total Headcount</t>
  </si>
  <si>
    <t>Hire Year_Qtr</t>
  </si>
  <si>
    <t>Job Title</t>
  </si>
  <si>
    <t>Courtesy Title</t>
  </si>
  <si>
    <t>Total Count</t>
  </si>
  <si>
    <t>Month</t>
  </si>
  <si>
    <t>Season</t>
  </si>
  <si>
    <t>Anomaly Flag</t>
  </si>
  <si>
    <t>Average Product Price</t>
  </si>
  <si>
    <t>Average Price</t>
  </si>
  <si>
    <t>Supplier Count</t>
  </si>
  <si>
    <t>Product Count</t>
  </si>
  <si>
    <t>Average Customer Lifespan Days</t>
  </si>
  <si>
    <t>Average Total Revenue</t>
  </si>
  <si>
    <t>Average Total Orders</t>
  </si>
  <si>
    <t>Average Order Value</t>
  </si>
  <si>
    <t>Revenue Total</t>
  </si>
  <si>
    <t>0rders Total</t>
  </si>
  <si>
    <t>Hires in Period</t>
  </si>
  <si>
    <t>Average Tenure Years</t>
  </si>
  <si>
    <t>Average Current Age</t>
  </si>
  <si>
    <t>Total Average Age</t>
  </si>
  <si>
    <t>Average Age</t>
  </si>
  <si>
    <t>Total Average Tenure Years</t>
  </si>
  <si>
    <t>Total List Price</t>
  </si>
  <si>
    <t>Total Units In Stock</t>
  </si>
  <si>
    <t>Total Reorder Level</t>
  </si>
  <si>
    <t>Average Selling Price</t>
  </si>
  <si>
    <t>Total Orders Placed</t>
  </si>
  <si>
    <t>Total Product Count</t>
  </si>
  <si>
    <t>Total Supplier Count</t>
  </si>
  <si>
    <t>Total Inventory Value</t>
  </si>
  <si>
    <t>Count of Supplier 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</si>
</sst>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0.000"/>
  </numFmts>
  <fonts count="7">
    <font>
      <sz val="10"/>
      <color rgb="FF000000"/>
      <name val="Arial"/>
      <scheme val="minor"/>
    </font>
    <font>
      <sz val="10"/>
      <color theme="1"/>
      <name val="Arial"/>
      <family val="2"/>
      <scheme val="minor"/>
    </font>
    <font>
      <b/>
      <sz val="10"/>
      <color rgb="FF000000"/>
      <name val="Arial"/>
      <family val="2"/>
      <scheme val="minor"/>
    </font>
    <font>
      <sz val="10"/>
      <color rgb="FF000000"/>
      <name val="Arial"/>
      <family val="2"/>
      <scheme val="minor"/>
    </font>
    <font>
      <sz val="16"/>
      <color rgb="FF24292E"/>
      <name val="Plus Jakarta Sans"/>
    </font>
    <font>
      <b/>
      <sz val="16"/>
      <color rgb="FF000000"/>
      <name val="Arial"/>
      <family val="2"/>
      <scheme val="minor"/>
    </font>
    <font>
      <b/>
      <sz val="16"/>
      <color rgb="FF24292E"/>
      <name val="Plus Jakarta Sans"/>
    </font>
  </fonts>
  <fills count="4">
    <fill>
      <patternFill patternType="none"/>
    </fill>
    <fill>
      <patternFill patternType="gray125"/>
    </fill>
    <fill>
      <patternFill patternType="solid">
        <fgColor theme="4" tint="0.59999389629810485"/>
        <bgColor indexed="64"/>
      </patternFill>
    </fill>
    <fill>
      <patternFill patternType="solid">
        <fgColor theme="6" tint="0.59999389629810485"/>
        <bgColor indexed="64"/>
      </patternFill>
    </fill>
  </fills>
  <borders count="12">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58">
    <xf numFmtId="0" fontId="0" fillId="0" borderId="0" xfId="0"/>
    <xf numFmtId="0" fontId="1" fillId="0" borderId="0" xfId="0" applyFont="1"/>
    <xf numFmtId="164" fontId="1" fillId="0" borderId="0" xfId="0" applyNumberFormat="1" applyFont="1"/>
    <xf numFmtId="49" fontId="1" fillId="0" borderId="0" xfId="0" applyNumberFormat="1" applyFont="1"/>
    <xf numFmtId="49" fontId="0" fillId="0" borderId="0" xfId="0" applyNumberFormat="1"/>
    <xf numFmtId="0" fontId="0" fillId="0" borderId="0" xfId="0" applyAlignment="1">
      <alignment wrapText="1"/>
    </xf>
    <xf numFmtId="0" fontId="0" fillId="0" borderId="0" xfId="0" applyAlignment="1">
      <alignment horizontal="left" vertical="center"/>
    </xf>
    <xf numFmtId="0" fontId="0" fillId="0" borderId="0" xfId="0" applyAlignment="1">
      <alignment vertical="center" wrapText="1"/>
    </xf>
    <xf numFmtId="0" fontId="3" fillId="0" borderId="0" xfId="0" applyFont="1" applyAlignment="1">
      <alignment wrapText="1"/>
    </xf>
    <xf numFmtId="0" fontId="3" fillId="0" borderId="0" xfId="0" applyFont="1"/>
    <xf numFmtId="22" fontId="0" fillId="0" borderId="0" xfId="0" applyNumberFormat="1"/>
    <xf numFmtId="0" fontId="3" fillId="0" borderId="0" xfId="0" applyFont="1" applyAlignment="1">
      <alignment horizontal="left" vertical="center" wrapText="1"/>
    </xf>
    <xf numFmtId="0" fontId="0" fillId="0" borderId="0" xfId="0" pivotButton="1"/>
    <xf numFmtId="0" fontId="0" fillId="0" borderId="0" xfId="0" applyAlignment="1">
      <alignment horizontal="left"/>
    </xf>
    <xf numFmtId="0" fontId="4" fillId="0" borderId="0" xfId="0" applyFont="1"/>
    <xf numFmtId="165" fontId="5" fillId="0" borderId="0" xfId="0" applyNumberFormat="1" applyFont="1" applyAlignment="1">
      <alignment horizontal="center" vertical="center"/>
    </xf>
    <xf numFmtId="0" fontId="0" fillId="0" borderId="0" xfId="0" applyAlignment="1">
      <alignment horizontal="center" vertical="center" wrapText="1"/>
    </xf>
    <xf numFmtId="165" fontId="5" fillId="0" borderId="0" xfId="0" applyNumberFormat="1" applyFont="1" applyAlignment="1">
      <alignment horizontal="center" vertical="center" wrapText="1"/>
    </xf>
    <xf numFmtId="0" fontId="0" fillId="0" borderId="0" xfId="0" applyAlignment="1">
      <alignment horizontal="left" indent="1"/>
    </xf>
    <xf numFmtId="0" fontId="5" fillId="2" borderId="4" xfId="0" applyFont="1" applyFill="1" applyBorder="1"/>
    <xf numFmtId="0" fontId="6" fillId="2" borderId="2" xfId="0" applyFont="1" applyFill="1" applyBorder="1"/>
    <xf numFmtId="0" fontId="2" fillId="2" borderId="2" xfId="0" applyFont="1" applyFill="1" applyBorder="1"/>
    <xf numFmtId="0" fontId="0" fillId="2" borderId="3" xfId="0" applyFill="1" applyBorder="1"/>
    <xf numFmtId="0" fontId="5" fillId="3" borderId="4" xfId="0" applyFont="1" applyFill="1" applyBorder="1"/>
    <xf numFmtId="0" fontId="5" fillId="3" borderId="10" xfId="0" applyFont="1" applyFill="1" applyBorder="1"/>
    <xf numFmtId="0" fontId="0" fillId="3" borderId="11" xfId="0" applyFill="1" applyBorder="1"/>
    <xf numFmtId="0" fontId="6" fillId="2" borderId="1" xfId="0" applyFont="1" applyFill="1" applyBorder="1"/>
    <xf numFmtId="0" fontId="2" fillId="2" borderId="3" xfId="0" applyFont="1" applyFill="1" applyBorder="1"/>
    <xf numFmtId="0" fontId="6" fillId="2" borderId="0" xfId="0" applyFont="1" applyFill="1"/>
    <xf numFmtId="0" fontId="2" fillId="2" borderId="0" xfId="0" applyFont="1" applyFill="1"/>
    <xf numFmtId="0" fontId="2" fillId="2" borderId="6" xfId="0" applyFont="1" applyFill="1" applyBorder="1"/>
    <xf numFmtId="0" fontId="0" fillId="2" borderId="8" xfId="0" applyFill="1" applyBorder="1"/>
    <xf numFmtId="0" fontId="0" fillId="2" borderId="9" xfId="0" applyFill="1" applyBorder="1"/>
    <xf numFmtId="0" fontId="6" fillId="2" borderId="3" xfId="0" applyFont="1" applyFill="1" applyBorder="1"/>
    <xf numFmtId="0" fontId="4" fillId="2" borderId="2" xfId="0" applyFont="1" applyFill="1" applyBorder="1"/>
    <xf numFmtId="0" fontId="4" fillId="2" borderId="3" xfId="0" applyFont="1" applyFill="1" applyBorder="1"/>
    <xf numFmtId="0" fontId="0" fillId="2" borderId="2" xfId="0" applyFill="1" applyBorder="1"/>
    <xf numFmtId="0" fontId="0" fillId="2" borderId="5" xfId="0" applyFill="1" applyBorder="1" applyAlignment="1">
      <alignment horizontal="left" vertical="center" wrapText="1"/>
    </xf>
    <xf numFmtId="0" fontId="0" fillId="2" borderId="0" xfId="0" applyFill="1" applyAlignment="1">
      <alignment horizontal="left" vertical="center" wrapText="1"/>
    </xf>
    <xf numFmtId="0" fontId="0" fillId="2" borderId="6" xfId="0" applyFill="1" applyBorder="1" applyAlignment="1">
      <alignment horizontal="left" vertical="center" wrapText="1"/>
    </xf>
    <xf numFmtId="0" fontId="0" fillId="2" borderId="7" xfId="0" applyFill="1" applyBorder="1" applyAlignment="1">
      <alignment horizontal="left" vertical="center" wrapText="1"/>
    </xf>
    <xf numFmtId="0" fontId="0" fillId="2" borderId="8" xfId="0" applyFill="1" applyBorder="1" applyAlignment="1">
      <alignment horizontal="left" vertical="center" wrapText="1"/>
    </xf>
    <xf numFmtId="0" fontId="0" fillId="2" borderId="9" xfId="0" applyFill="1" applyBorder="1" applyAlignment="1">
      <alignment horizontal="left" vertical="center" wrapText="1"/>
    </xf>
    <xf numFmtId="0" fontId="2" fillId="3" borderId="1" xfId="0" applyFont="1" applyFill="1" applyBorder="1" applyAlignment="1">
      <alignment horizontal="center"/>
    </xf>
    <xf numFmtId="0" fontId="2" fillId="3" borderId="2" xfId="0" applyFont="1" applyFill="1" applyBorder="1" applyAlignment="1">
      <alignment horizontal="center"/>
    </xf>
    <xf numFmtId="0" fontId="2" fillId="3" borderId="3" xfId="0" applyFont="1" applyFill="1" applyBorder="1" applyAlignment="1">
      <alignment horizontal="center"/>
    </xf>
    <xf numFmtId="0" fontId="3" fillId="2" borderId="5" xfId="0" applyFont="1" applyFill="1" applyBorder="1" applyAlignment="1">
      <alignment horizontal="left" vertical="center" wrapText="1"/>
    </xf>
    <xf numFmtId="0" fontId="3" fillId="2" borderId="0" xfId="0" applyFont="1" applyFill="1" applyAlignment="1">
      <alignment horizontal="left" vertical="center" wrapText="1"/>
    </xf>
    <xf numFmtId="0" fontId="3" fillId="2" borderId="6" xfId="0" applyFont="1" applyFill="1" applyBorder="1" applyAlignment="1">
      <alignment horizontal="left" vertical="center" wrapText="1"/>
    </xf>
    <xf numFmtId="0" fontId="3" fillId="2" borderId="7" xfId="0" applyFont="1" applyFill="1" applyBorder="1" applyAlignment="1">
      <alignment horizontal="left" vertical="center" wrapText="1"/>
    </xf>
    <xf numFmtId="0" fontId="3" fillId="2" borderId="8" xfId="0" applyFont="1" applyFill="1" applyBorder="1" applyAlignment="1">
      <alignment horizontal="left" vertical="center" wrapText="1"/>
    </xf>
    <xf numFmtId="0" fontId="3" fillId="2" borderId="9" xfId="0" applyFont="1" applyFill="1" applyBorder="1" applyAlignment="1">
      <alignment horizontal="left" vertical="center" wrapText="1"/>
    </xf>
    <xf numFmtId="0" fontId="3" fillId="2" borderId="5" xfId="0" applyFont="1" applyFill="1" applyBorder="1" applyAlignment="1">
      <alignment vertical="center" wrapText="1"/>
    </xf>
    <xf numFmtId="0" fontId="3" fillId="2" borderId="0" xfId="0" applyFont="1" applyFill="1" applyAlignment="1">
      <alignment vertical="center" wrapText="1"/>
    </xf>
    <xf numFmtId="0" fontId="3" fillId="2" borderId="6" xfId="0" applyFont="1" applyFill="1" applyBorder="1" applyAlignment="1">
      <alignment vertical="center" wrapText="1"/>
    </xf>
    <xf numFmtId="0" fontId="3" fillId="2" borderId="7" xfId="0" applyFont="1" applyFill="1" applyBorder="1" applyAlignment="1">
      <alignment vertical="center" wrapText="1"/>
    </xf>
    <xf numFmtId="0" fontId="3" fillId="2" borderId="8" xfId="0" applyFont="1" applyFill="1" applyBorder="1" applyAlignment="1">
      <alignment vertical="center" wrapText="1"/>
    </xf>
    <xf numFmtId="0" fontId="3" fillId="2" borderId="9" xfId="0" applyFont="1" applyFill="1" applyBorder="1" applyAlignment="1">
      <alignment vertical="center" wrapText="1"/>
    </xf>
  </cellXfs>
  <cellStyles count="1">
    <cellStyle name="Normal" xfId="0" builtinId="0"/>
  </cellStyles>
  <dxfs count="15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m/d/yyyy\ h:mm"/>
    </dxf>
    <dxf>
      <numFmt numFmtId="0" formatCode="General"/>
    </dxf>
    <dxf>
      <numFmt numFmtId="0" formatCode="General"/>
    </dxf>
    <dxf>
      <numFmt numFmtId="166" formatCode="m/d/yyyy\ h:mm"/>
    </dxf>
    <dxf>
      <numFmt numFmtId="166" formatCode="m/d/yyyy\ h:mm"/>
    </dxf>
    <dxf>
      <numFmt numFmtId="0" formatCode="General"/>
    </dxf>
    <dxf>
      <numFmt numFmtId="166" formatCode="m/d/yyyy\ h:mm"/>
    </dxf>
    <dxf>
      <numFmt numFmtId="0" formatCode="General"/>
    </dxf>
    <dxf>
      <numFmt numFmtId="0" formatCode="General"/>
    </dxf>
    <dxf>
      <numFmt numFmtId="166" formatCode="m/d/yyyy\ h:mm"/>
    </dxf>
    <dxf>
      <numFmt numFmtId="166"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6" formatCode="m/d/yyyy\ h:mm"/>
    </dxf>
    <dxf>
      <numFmt numFmtId="166" formatCode="m/d/yyyy\ h:mm"/>
    </dxf>
    <dxf>
      <numFmt numFmtId="0" formatCode="General"/>
    </dxf>
    <dxf>
      <numFmt numFmtId="0" formatCode="General"/>
    </dxf>
    <dxf>
      <alignment horizontal="center"/>
    </dxf>
    <dxf>
      <alignment wrapText="1"/>
    </dxf>
    <dxf>
      <alignment horizontal="center"/>
    </dxf>
    <dxf>
      <alignment horizontal="center"/>
    </dxf>
    <dxf>
      <alignment wrapText="1"/>
    </dxf>
    <dxf>
      <alignment wrapText="1"/>
    </dxf>
    <dxf>
      <alignment wrapText="1"/>
    </dxf>
    <dxf>
      <numFmt numFmtId="165" formatCode="0.000"/>
    </dxf>
    <dxf>
      <font>
        <sz val="16"/>
      </font>
    </dxf>
    <dxf>
      <alignment vertical="center"/>
    </dxf>
    <dxf>
      <alignment horizontal="center"/>
    </dxf>
    <dxf>
      <font>
        <b/>
        <family val="2"/>
      </font>
    </dxf>
    <dxf>
      <alignment horizontal="center"/>
    </dxf>
    <dxf>
      <alignment vertical="center"/>
    </dxf>
    <dxf>
      <numFmt numFmtId="166" formatCode="m/d/yyyy\ h:mm"/>
    </dxf>
    <dxf>
      <numFmt numFmtId="166" formatCode="m/d/yyyy\ h:mm"/>
    </dxf>
    <dxf>
      <numFmt numFmtId="0" formatCode="General"/>
    </dxf>
    <dxf>
      <numFmt numFmtId="0" formatCode="General"/>
    </dxf>
    <dxf>
      <numFmt numFmtId="0" formatCode="General"/>
    </dxf>
    <dxf>
      <numFmt numFmtId="166" formatCode="m/d/yyyy\ h:mm"/>
    </dxf>
    <dxf>
      <numFmt numFmtId="166" formatCode="m/d/yyyy\ h:mm"/>
    </dxf>
    <dxf>
      <numFmt numFmtId="0" formatCode="General"/>
    </dxf>
    <dxf>
      <numFmt numFmtId="0" formatCode="General"/>
    </dxf>
    <dxf>
      <numFmt numFmtId="0" formatCode="General"/>
    </dxf>
    <dxf>
      <numFmt numFmtId="0" formatCode="General"/>
    </dxf>
    <dxf>
      <numFmt numFmtId="0" formatCode="General"/>
    </dxf>
    <dxf>
      <numFmt numFmtId="166" formatCode="m/d/yyyy\ h:mm"/>
    </dxf>
    <dxf>
      <numFmt numFmtId="166" formatCode="m/d/yyyy\ h:mm"/>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pivotCacheDefinition" Target="pivotCache/pivotCacheDefinition2.xml"/><Relationship Id="rId68" Type="http://schemas.openxmlformats.org/officeDocument/2006/relationships/pivotCacheDefinition" Target="pivotCache/pivotCacheDefinition7.xml"/><Relationship Id="rId84" Type="http://schemas.openxmlformats.org/officeDocument/2006/relationships/connections" Target="connections.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pivotCacheDefinition" Target="pivotCache/pivotCacheDefinition13.xml"/><Relationship Id="rId79" Type="http://schemas.openxmlformats.org/officeDocument/2006/relationships/pivotCacheDefinition" Target="pivotCache/pivotCacheDefinition18.xml"/><Relationship Id="rId5" Type="http://schemas.openxmlformats.org/officeDocument/2006/relationships/worksheet" Target="worksheets/sheet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pivotCacheDefinition" Target="pivotCache/pivotCacheDefinition3.xml"/><Relationship Id="rId69" Type="http://schemas.openxmlformats.org/officeDocument/2006/relationships/pivotCacheDefinition" Target="pivotCache/pivotCacheDefinition8.xml"/><Relationship Id="rId77" Type="http://schemas.openxmlformats.org/officeDocument/2006/relationships/pivotCacheDefinition" Target="pivotCache/pivotCacheDefinition16.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pivotCacheDefinition" Target="pivotCache/pivotCacheDefinition11.xml"/><Relationship Id="rId80" Type="http://schemas.openxmlformats.org/officeDocument/2006/relationships/pivotCacheDefinition" Target="pivotCache/pivotCacheDefinition19.xml"/><Relationship Id="rId85"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pivotCacheDefinition" Target="pivotCache/pivotCacheDefinition6.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pivotCacheDefinition" Target="pivotCache/pivotCacheDefinition1.xml"/><Relationship Id="rId70" Type="http://schemas.openxmlformats.org/officeDocument/2006/relationships/pivotCacheDefinition" Target="pivotCache/pivotCacheDefinition9.xml"/><Relationship Id="rId75" Type="http://schemas.openxmlformats.org/officeDocument/2006/relationships/pivotCacheDefinition" Target="pivotCache/pivotCacheDefinition14.xml"/><Relationship Id="rId83" Type="http://schemas.openxmlformats.org/officeDocument/2006/relationships/theme" Target="theme/theme1.xml"/><Relationship Id="rId88"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pivotCacheDefinition" Target="pivotCache/pivotCacheDefinition4.xml"/><Relationship Id="rId73" Type="http://schemas.openxmlformats.org/officeDocument/2006/relationships/pivotCacheDefinition" Target="pivotCache/pivotCacheDefinition12.xml"/><Relationship Id="rId78" Type="http://schemas.openxmlformats.org/officeDocument/2006/relationships/pivotCacheDefinition" Target="pivotCache/pivotCacheDefinition17.xml"/><Relationship Id="rId81" Type="http://schemas.openxmlformats.org/officeDocument/2006/relationships/pivotCacheDefinition" Target="pivotCache/pivotCacheDefinition20.xml"/><Relationship Id="rId86"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pivotCacheDefinition" Target="pivotCache/pivotCacheDefinition15.xml"/><Relationship Id="rId7" Type="http://schemas.openxmlformats.org/officeDocument/2006/relationships/worksheet" Target="worksheets/sheet7.xml"/><Relationship Id="rId71" Type="http://schemas.openxmlformats.org/officeDocument/2006/relationships/pivotCacheDefinition" Target="pivotCache/pivotCacheDefinition10.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pivotCacheDefinition" Target="pivotCache/pivotCacheDefinition5.xml"/><Relationship Id="rId87" Type="http://schemas.openxmlformats.org/officeDocument/2006/relationships/calcChain" Target="calcChain.xml"/><Relationship Id="rId61" Type="http://schemas.openxmlformats.org/officeDocument/2006/relationships/worksheet" Target="worksheets/sheet61.xml"/><Relationship Id="rId82" Type="http://schemas.openxmlformats.org/officeDocument/2006/relationships/pivotCacheDefinition" Target="pivotCache/pivotCacheDefinition2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8.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9.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0.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1.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2.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3.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4.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5.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6.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7.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28.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29.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0.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[PAVAN KUMAR MAGANDI_CAPSTONE PROJECT_SALES ANALYTICS.xlsx]Q-1 Analysis!PivotTable1</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b="1"/>
              <a:t>Orders</a:t>
            </a:r>
            <a:r>
              <a:rPr lang="en-GB" b="1" baseline="0"/>
              <a:t> &amp; Customers by Country</a:t>
            </a:r>
            <a:endParaRPr lang="en-GB" b="1"/>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 Analysis'!$C$7</c:f>
              <c:strCache>
                <c:ptCount val="1"/>
                <c:pt idx="0">
                  <c:v>Count of Customers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'Q-1 Analysis'!$B$8:$B$29</c:f>
              <c:strCache>
                <c:ptCount val="21"/>
                <c:pt idx="0">
                  <c:v>USA</c:v>
                </c:pt>
                <c:pt idx="1">
                  <c:v>Germany</c:v>
                </c:pt>
                <c:pt idx="2">
                  <c:v>France</c:v>
                </c:pt>
                <c:pt idx="3">
                  <c:v>Brazil</c:v>
                </c:pt>
                <c:pt idx="4">
                  <c:v>UK</c:v>
                </c:pt>
                <c:pt idx="5">
                  <c:v>Mexico</c:v>
                </c:pt>
                <c:pt idx="6">
                  <c:v>Spain</c:v>
                </c:pt>
                <c:pt idx="7">
                  <c:v>Venezuela</c:v>
                </c:pt>
                <c:pt idx="8">
                  <c:v>Canada</c:v>
                </c:pt>
                <c:pt idx="9">
                  <c:v>Argentina</c:v>
                </c:pt>
                <c:pt idx="10">
                  <c:v>Italy</c:v>
                </c:pt>
                <c:pt idx="11">
                  <c:v>Sweden</c:v>
                </c:pt>
                <c:pt idx="12">
                  <c:v>Belgium</c:v>
                </c:pt>
                <c:pt idx="13">
                  <c:v>Switzerland</c:v>
                </c:pt>
                <c:pt idx="14">
                  <c:v>Portugal</c:v>
                </c:pt>
                <c:pt idx="15">
                  <c:v>Denmark</c:v>
                </c:pt>
                <c:pt idx="16">
                  <c:v>Finland</c:v>
                </c:pt>
                <c:pt idx="17">
                  <c:v>Austria</c:v>
                </c:pt>
                <c:pt idx="18">
                  <c:v>Norway</c:v>
                </c:pt>
                <c:pt idx="19">
                  <c:v>Poland</c:v>
                </c:pt>
                <c:pt idx="20">
                  <c:v>Ireland</c:v>
                </c:pt>
              </c:strCache>
            </c:strRef>
          </c:cat>
          <c:val>
            <c:numRef>
              <c:f>'Q-1 Analysis'!$C$8:$C$29</c:f>
              <c:numCache>
                <c:formatCode>General</c:formatCode>
                <c:ptCount val="21"/>
                <c:pt idx="0">
                  <c:v>13</c:v>
                </c:pt>
                <c:pt idx="1">
                  <c:v>11</c:v>
                </c:pt>
                <c:pt idx="2">
                  <c:v>10</c:v>
                </c:pt>
                <c:pt idx="3">
                  <c:v>9</c:v>
                </c:pt>
                <c:pt idx="4">
                  <c:v>7</c:v>
                </c:pt>
                <c:pt idx="5">
                  <c:v>5</c:v>
                </c:pt>
                <c:pt idx="6">
                  <c:v>4</c:v>
                </c:pt>
                <c:pt idx="7">
                  <c:v>4</c:v>
                </c:pt>
                <c:pt idx="8">
                  <c:v>3</c:v>
                </c:pt>
                <c:pt idx="9">
                  <c:v>3</c:v>
                </c:pt>
                <c:pt idx="10">
                  <c:v>3</c:v>
                </c:pt>
                <c:pt idx="11">
                  <c:v>2</c:v>
                </c:pt>
                <c:pt idx="12">
                  <c:v>2</c:v>
                </c:pt>
                <c:pt idx="13">
                  <c:v>2</c:v>
                </c:pt>
                <c:pt idx="14">
                  <c:v>2</c:v>
                </c:pt>
                <c:pt idx="15">
                  <c:v>2</c:v>
                </c:pt>
                <c:pt idx="16">
                  <c:v>2</c:v>
                </c:pt>
                <c:pt idx="17">
                  <c:v>2</c:v>
                </c:pt>
                <c:pt idx="18">
                  <c:v>1</c:v>
                </c:pt>
                <c:pt idx="19">
                  <c:v>1</c:v>
                </c:pt>
                <c:pt idx="20">
                  <c:v>1</c:v>
                </c:pt>
              </c:numCache>
            </c:numRef>
          </c:val>
          <c:extLst>
            <c:ext xmlns:c16="http://schemas.microsoft.com/office/drawing/2014/chart" uri="{C3380CC4-5D6E-409C-BE32-E72D297353CC}">
              <c16:uniqueId val="{00000002-AC1A-B949-9ABF-751D25A5EA79}"/>
            </c:ext>
          </c:extLst>
        </c:ser>
        <c:ser>
          <c:idx val="1"/>
          <c:order val="1"/>
          <c:tx>
            <c:strRef>
              <c:f>'Q-1 Analysis'!$D$7</c:f>
              <c:strCache>
                <c:ptCount val="1"/>
                <c:pt idx="0">
                  <c:v>Total Orders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'Q-1 Analysis'!$B$8:$B$29</c:f>
              <c:strCache>
                <c:ptCount val="21"/>
                <c:pt idx="0">
                  <c:v>USA</c:v>
                </c:pt>
                <c:pt idx="1">
                  <c:v>Germany</c:v>
                </c:pt>
                <c:pt idx="2">
                  <c:v>France</c:v>
                </c:pt>
                <c:pt idx="3">
                  <c:v>Brazil</c:v>
                </c:pt>
                <c:pt idx="4">
                  <c:v>UK</c:v>
                </c:pt>
                <c:pt idx="5">
                  <c:v>Mexico</c:v>
                </c:pt>
                <c:pt idx="6">
                  <c:v>Spain</c:v>
                </c:pt>
                <c:pt idx="7">
                  <c:v>Venezuela</c:v>
                </c:pt>
                <c:pt idx="8">
                  <c:v>Canada</c:v>
                </c:pt>
                <c:pt idx="9">
                  <c:v>Argentina</c:v>
                </c:pt>
                <c:pt idx="10">
                  <c:v>Italy</c:v>
                </c:pt>
                <c:pt idx="11">
                  <c:v>Sweden</c:v>
                </c:pt>
                <c:pt idx="12">
                  <c:v>Belgium</c:v>
                </c:pt>
                <c:pt idx="13">
                  <c:v>Switzerland</c:v>
                </c:pt>
                <c:pt idx="14">
                  <c:v>Portugal</c:v>
                </c:pt>
                <c:pt idx="15">
                  <c:v>Denmark</c:v>
                </c:pt>
                <c:pt idx="16">
                  <c:v>Finland</c:v>
                </c:pt>
                <c:pt idx="17">
                  <c:v>Austria</c:v>
                </c:pt>
                <c:pt idx="18">
                  <c:v>Norway</c:v>
                </c:pt>
                <c:pt idx="19">
                  <c:v>Poland</c:v>
                </c:pt>
                <c:pt idx="20">
                  <c:v>Ireland</c:v>
                </c:pt>
              </c:strCache>
            </c:strRef>
          </c:cat>
          <c:val>
            <c:numRef>
              <c:f>'Q-1 Analysis'!$D$8:$D$29</c:f>
              <c:numCache>
                <c:formatCode>General</c:formatCode>
                <c:ptCount val="21"/>
                <c:pt idx="0">
                  <c:v>112</c:v>
                </c:pt>
                <c:pt idx="1">
                  <c:v>112</c:v>
                </c:pt>
                <c:pt idx="2">
                  <c:v>74</c:v>
                </c:pt>
                <c:pt idx="3">
                  <c:v>77</c:v>
                </c:pt>
                <c:pt idx="4">
                  <c:v>50</c:v>
                </c:pt>
                <c:pt idx="5">
                  <c:v>26</c:v>
                </c:pt>
                <c:pt idx="6">
                  <c:v>20</c:v>
                </c:pt>
                <c:pt idx="7">
                  <c:v>41</c:v>
                </c:pt>
                <c:pt idx="8">
                  <c:v>27</c:v>
                </c:pt>
                <c:pt idx="9">
                  <c:v>14</c:v>
                </c:pt>
                <c:pt idx="10">
                  <c:v>24</c:v>
                </c:pt>
                <c:pt idx="11">
                  <c:v>36</c:v>
                </c:pt>
                <c:pt idx="12">
                  <c:v>17</c:v>
                </c:pt>
                <c:pt idx="13">
                  <c:v>14</c:v>
                </c:pt>
                <c:pt idx="14">
                  <c:v>13</c:v>
                </c:pt>
                <c:pt idx="15">
                  <c:v>17</c:v>
                </c:pt>
                <c:pt idx="16">
                  <c:v>21</c:v>
                </c:pt>
                <c:pt idx="17">
                  <c:v>36</c:v>
                </c:pt>
                <c:pt idx="18">
                  <c:v>5</c:v>
                </c:pt>
                <c:pt idx="19">
                  <c:v>6</c:v>
                </c:pt>
                <c:pt idx="20">
                  <c:v>18</c:v>
                </c:pt>
              </c:numCache>
            </c:numRef>
          </c:val>
          <c:extLst>
            <c:ext xmlns:c16="http://schemas.microsoft.com/office/drawing/2014/chart" uri="{C3380CC4-5D6E-409C-BE32-E72D297353CC}">
              <c16:uniqueId val="{00000003-AC1A-B949-9ABF-751D25A5EA79}"/>
            </c:ext>
          </c:extLst>
        </c:ser>
        <c:dLbls>
          <c:showLegendKey val="0"/>
          <c:showVal val="0"/>
          <c:showCatName val="0"/>
          <c:showSerName val="0"/>
          <c:showPercent val="0"/>
          <c:showBubbleSize val="0"/>
        </c:dLbls>
        <c:gapWidth val="100"/>
        <c:overlap val="-24"/>
        <c:axId val="2124094912"/>
        <c:axId val="2124094016"/>
      </c:barChart>
      <c:catAx>
        <c:axId val="21240949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124094016"/>
        <c:crosses val="autoZero"/>
        <c:auto val="1"/>
        <c:lblAlgn val="ctr"/>
        <c:lblOffset val="100"/>
        <c:noMultiLvlLbl val="0"/>
      </c:catAx>
      <c:valAx>
        <c:axId val="212409401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1240949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[PAVAN KUMAR MAGANDI_CAPSTONE PROJECT_SALES ANALYTICS.xlsx]Q-1 Analysis!PivotTable3</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GB" b="1"/>
              <a:t>Customer</a:t>
            </a:r>
            <a:r>
              <a:rPr lang="en-GB" b="1" baseline="0"/>
              <a:t> Segment Performance</a:t>
            </a:r>
            <a:endParaRPr lang="en-GB" b="1"/>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 Analysis'!$G$7</c:f>
              <c:strCache>
                <c:ptCount val="1"/>
                <c:pt idx="0">
                  <c:v>Count of Customers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'Q-1 Analysis'!$F$8:$F$11</c:f>
              <c:strCache>
                <c:ptCount val="3"/>
                <c:pt idx="0">
                  <c:v>High-Value Repeat</c:v>
                </c:pt>
                <c:pt idx="1">
                  <c:v>One-Time / Low-Frequency</c:v>
                </c:pt>
                <c:pt idx="2">
                  <c:v>Repeat</c:v>
                </c:pt>
              </c:strCache>
            </c:strRef>
          </c:cat>
          <c:val>
            <c:numRef>
              <c:f>'Q-1 Analysis'!$G$8:$G$11</c:f>
              <c:numCache>
                <c:formatCode>General</c:formatCode>
                <c:ptCount val="3"/>
                <c:pt idx="0">
                  <c:v>13</c:v>
                </c:pt>
                <c:pt idx="1">
                  <c:v>48</c:v>
                </c:pt>
                <c:pt idx="2">
                  <c:v>28</c:v>
                </c:pt>
              </c:numCache>
            </c:numRef>
          </c:val>
          <c:extLst>
            <c:ext xmlns:c16="http://schemas.microsoft.com/office/drawing/2014/chart" uri="{C3380CC4-5D6E-409C-BE32-E72D297353CC}">
              <c16:uniqueId val="{00000000-400E-B047-92EB-7C71437FE32D}"/>
            </c:ext>
          </c:extLst>
        </c:ser>
        <c:ser>
          <c:idx val="1"/>
          <c:order val="1"/>
          <c:tx>
            <c:strRef>
              <c:f>'Q-1 Analysis'!$H$7</c:f>
              <c:strCache>
                <c:ptCount val="1"/>
                <c:pt idx="0">
                  <c:v>0rders 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'Q-1 Analysis'!$F$8:$F$11</c:f>
              <c:strCache>
                <c:ptCount val="3"/>
                <c:pt idx="0">
                  <c:v>High-Value Repeat</c:v>
                </c:pt>
                <c:pt idx="1">
                  <c:v>One-Time / Low-Frequency</c:v>
                </c:pt>
                <c:pt idx="2">
                  <c:v>Repeat</c:v>
                </c:pt>
              </c:strCache>
            </c:strRef>
          </c:cat>
          <c:val>
            <c:numRef>
              <c:f>'Q-1 Analysis'!$H$8:$H$11</c:f>
              <c:numCache>
                <c:formatCode>General</c:formatCode>
                <c:ptCount val="3"/>
                <c:pt idx="0">
                  <c:v>240</c:v>
                </c:pt>
                <c:pt idx="1">
                  <c:v>231</c:v>
                </c:pt>
                <c:pt idx="2">
                  <c:v>289</c:v>
                </c:pt>
              </c:numCache>
            </c:numRef>
          </c:val>
          <c:extLst>
            <c:ext xmlns:c16="http://schemas.microsoft.com/office/drawing/2014/chart" uri="{C3380CC4-5D6E-409C-BE32-E72D297353CC}">
              <c16:uniqueId val="{00000001-400E-B047-92EB-7C71437FE32D}"/>
            </c:ext>
          </c:extLst>
        </c:ser>
        <c:dLbls>
          <c:showLegendKey val="0"/>
          <c:showVal val="0"/>
          <c:showCatName val="0"/>
          <c:showSerName val="0"/>
          <c:showPercent val="0"/>
          <c:showBubbleSize val="0"/>
        </c:dLbls>
        <c:gapWidth val="219"/>
        <c:axId val="2120632512"/>
        <c:axId val="49934143"/>
      </c:barChart>
      <c:lineChart>
        <c:grouping val="standard"/>
        <c:varyColors val="0"/>
        <c:ser>
          <c:idx val="2"/>
          <c:order val="2"/>
          <c:tx>
            <c:strRef>
              <c:f>'Q-1 Analysis'!$I$7</c:f>
              <c:strCache>
                <c:ptCount val="1"/>
                <c:pt idx="0">
                  <c:v>Revenue Total</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'Q-1 Analysis'!$F$8:$F$11</c:f>
              <c:strCache>
                <c:ptCount val="3"/>
                <c:pt idx="0">
                  <c:v>High-Value Repeat</c:v>
                </c:pt>
                <c:pt idx="1">
                  <c:v>One-Time / Low-Frequency</c:v>
                </c:pt>
                <c:pt idx="2">
                  <c:v>Repeat</c:v>
                </c:pt>
              </c:strCache>
            </c:strRef>
          </c:cat>
          <c:val>
            <c:numRef>
              <c:f>'Q-1 Analysis'!$I$8:$I$11</c:f>
              <c:numCache>
                <c:formatCode>General</c:formatCode>
                <c:ptCount val="3"/>
                <c:pt idx="0">
                  <c:v>570679.35000000009</c:v>
                </c:pt>
                <c:pt idx="1">
                  <c:v>202113.81000000006</c:v>
                </c:pt>
                <c:pt idx="2">
                  <c:v>378537.7300000001</c:v>
                </c:pt>
              </c:numCache>
            </c:numRef>
          </c:val>
          <c:smooth val="0"/>
          <c:extLst>
            <c:ext xmlns:c16="http://schemas.microsoft.com/office/drawing/2014/chart" uri="{C3380CC4-5D6E-409C-BE32-E72D297353CC}">
              <c16:uniqueId val="{00000002-400E-B047-92EB-7C71437FE32D}"/>
            </c:ext>
          </c:extLst>
        </c:ser>
        <c:dLbls>
          <c:showLegendKey val="0"/>
          <c:showVal val="0"/>
          <c:showCatName val="0"/>
          <c:showSerName val="0"/>
          <c:showPercent val="0"/>
          <c:showBubbleSize val="0"/>
        </c:dLbls>
        <c:marker val="1"/>
        <c:smooth val="0"/>
        <c:axId val="2109656576"/>
        <c:axId val="2091663808"/>
      </c:lineChart>
      <c:catAx>
        <c:axId val="212063251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49934143"/>
        <c:crosses val="autoZero"/>
        <c:auto val="1"/>
        <c:lblAlgn val="ctr"/>
        <c:lblOffset val="100"/>
        <c:noMultiLvlLbl val="0"/>
      </c:catAx>
      <c:valAx>
        <c:axId val="49934143"/>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120632512"/>
        <c:crosses val="autoZero"/>
        <c:crossBetween val="between"/>
      </c:valAx>
      <c:valAx>
        <c:axId val="2091663808"/>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109656576"/>
        <c:crosses val="max"/>
        <c:crossBetween val="between"/>
      </c:valAx>
      <c:catAx>
        <c:axId val="2109656576"/>
        <c:scaling>
          <c:orientation val="minMax"/>
        </c:scaling>
        <c:delete val="1"/>
        <c:axPos val="b"/>
        <c:numFmt formatCode="General" sourceLinked="1"/>
        <c:majorTickMark val="none"/>
        <c:minorTickMark val="none"/>
        <c:tickLblPos val="nextTo"/>
        <c:crossAx val="209166380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[PAVAN KUMAR MAGANDI_CAPSTONE PROJECT_SALES ANALYTICS.xlsx]Q-2 Analysis!PivotTable4</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Customers, Orders &amp; Revenue by Country</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'Q-2 Analysis'!$C$3</c:f>
              <c:strCache>
                <c:ptCount val="1"/>
                <c:pt idx="0">
                  <c:v>Total Customers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'Q-2 Analysis'!$B$4:$B$25</c:f>
              <c:strCache>
                <c:ptCount val="21"/>
                <c:pt idx="0">
                  <c:v>USA</c:v>
                </c:pt>
                <c:pt idx="1">
                  <c:v>Germany</c:v>
                </c:pt>
                <c:pt idx="2">
                  <c:v>France</c:v>
                </c:pt>
                <c:pt idx="3">
                  <c:v>Brazil</c:v>
                </c:pt>
                <c:pt idx="4">
                  <c:v>UK</c:v>
                </c:pt>
                <c:pt idx="5">
                  <c:v>Mexico</c:v>
                </c:pt>
                <c:pt idx="6">
                  <c:v>Venezuela</c:v>
                </c:pt>
                <c:pt idx="7">
                  <c:v>Spain</c:v>
                </c:pt>
                <c:pt idx="8">
                  <c:v>Canada</c:v>
                </c:pt>
                <c:pt idx="9">
                  <c:v>Argentina</c:v>
                </c:pt>
                <c:pt idx="10">
                  <c:v>Italy</c:v>
                </c:pt>
                <c:pt idx="11">
                  <c:v>Sweden</c:v>
                </c:pt>
                <c:pt idx="12">
                  <c:v>Austria</c:v>
                </c:pt>
                <c:pt idx="13">
                  <c:v>Belgium</c:v>
                </c:pt>
                <c:pt idx="14">
                  <c:v>Portugal</c:v>
                </c:pt>
                <c:pt idx="15">
                  <c:v>Switzerland</c:v>
                </c:pt>
                <c:pt idx="16">
                  <c:v>Finland</c:v>
                </c:pt>
                <c:pt idx="17">
                  <c:v>Denmark</c:v>
                </c:pt>
                <c:pt idx="18">
                  <c:v>Ireland</c:v>
                </c:pt>
                <c:pt idx="19">
                  <c:v>Poland</c:v>
                </c:pt>
                <c:pt idx="20">
                  <c:v>Norway</c:v>
                </c:pt>
              </c:strCache>
            </c:strRef>
          </c:cat>
          <c:val>
            <c:numRef>
              <c:f>'Q-2 Analysis'!$C$4:$C$25</c:f>
              <c:numCache>
                <c:formatCode>General</c:formatCode>
                <c:ptCount val="21"/>
                <c:pt idx="0">
                  <c:v>13</c:v>
                </c:pt>
                <c:pt idx="1">
                  <c:v>11</c:v>
                </c:pt>
                <c:pt idx="2">
                  <c:v>10</c:v>
                </c:pt>
                <c:pt idx="3">
                  <c:v>9</c:v>
                </c:pt>
                <c:pt idx="4">
                  <c:v>7</c:v>
                </c:pt>
                <c:pt idx="5">
                  <c:v>5</c:v>
                </c:pt>
                <c:pt idx="6">
                  <c:v>4</c:v>
                </c:pt>
                <c:pt idx="7">
                  <c:v>4</c:v>
                </c:pt>
                <c:pt idx="8">
                  <c:v>3</c:v>
                </c:pt>
                <c:pt idx="9">
                  <c:v>3</c:v>
                </c:pt>
                <c:pt idx="10">
                  <c:v>3</c:v>
                </c:pt>
                <c:pt idx="11">
                  <c:v>2</c:v>
                </c:pt>
                <c:pt idx="12">
                  <c:v>2</c:v>
                </c:pt>
                <c:pt idx="13">
                  <c:v>2</c:v>
                </c:pt>
                <c:pt idx="14">
                  <c:v>2</c:v>
                </c:pt>
                <c:pt idx="15">
                  <c:v>2</c:v>
                </c:pt>
                <c:pt idx="16">
                  <c:v>2</c:v>
                </c:pt>
                <c:pt idx="17">
                  <c:v>2</c:v>
                </c:pt>
                <c:pt idx="18">
                  <c:v>1</c:v>
                </c:pt>
                <c:pt idx="19">
                  <c:v>1</c:v>
                </c:pt>
                <c:pt idx="20">
                  <c:v>1</c:v>
                </c:pt>
              </c:numCache>
            </c:numRef>
          </c:val>
          <c:extLst>
            <c:ext xmlns:c16="http://schemas.microsoft.com/office/drawing/2014/chart" uri="{C3380CC4-5D6E-409C-BE32-E72D297353CC}">
              <c16:uniqueId val="{00000000-F023-0443-BC49-B0BE4DE38E84}"/>
            </c:ext>
          </c:extLst>
        </c:ser>
        <c:ser>
          <c:idx val="1"/>
          <c:order val="1"/>
          <c:tx>
            <c:strRef>
              <c:f>'Q-2 Analysis'!$D$3</c:f>
              <c:strCache>
                <c:ptCount val="1"/>
                <c:pt idx="0">
                  <c:v>Total Orders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'Q-2 Analysis'!$B$4:$B$25</c:f>
              <c:strCache>
                <c:ptCount val="21"/>
                <c:pt idx="0">
                  <c:v>USA</c:v>
                </c:pt>
                <c:pt idx="1">
                  <c:v>Germany</c:v>
                </c:pt>
                <c:pt idx="2">
                  <c:v>France</c:v>
                </c:pt>
                <c:pt idx="3">
                  <c:v>Brazil</c:v>
                </c:pt>
                <c:pt idx="4">
                  <c:v>UK</c:v>
                </c:pt>
                <c:pt idx="5">
                  <c:v>Mexico</c:v>
                </c:pt>
                <c:pt idx="6">
                  <c:v>Venezuela</c:v>
                </c:pt>
                <c:pt idx="7">
                  <c:v>Spain</c:v>
                </c:pt>
                <c:pt idx="8">
                  <c:v>Canada</c:v>
                </c:pt>
                <c:pt idx="9">
                  <c:v>Argentina</c:v>
                </c:pt>
                <c:pt idx="10">
                  <c:v>Italy</c:v>
                </c:pt>
                <c:pt idx="11">
                  <c:v>Sweden</c:v>
                </c:pt>
                <c:pt idx="12">
                  <c:v>Austria</c:v>
                </c:pt>
                <c:pt idx="13">
                  <c:v>Belgium</c:v>
                </c:pt>
                <c:pt idx="14">
                  <c:v>Portugal</c:v>
                </c:pt>
                <c:pt idx="15">
                  <c:v>Switzerland</c:v>
                </c:pt>
                <c:pt idx="16">
                  <c:v>Finland</c:v>
                </c:pt>
                <c:pt idx="17">
                  <c:v>Denmark</c:v>
                </c:pt>
                <c:pt idx="18">
                  <c:v>Ireland</c:v>
                </c:pt>
                <c:pt idx="19">
                  <c:v>Poland</c:v>
                </c:pt>
                <c:pt idx="20">
                  <c:v>Norway</c:v>
                </c:pt>
              </c:strCache>
            </c:strRef>
          </c:cat>
          <c:val>
            <c:numRef>
              <c:f>'Q-2 Analysis'!$D$4:$D$25</c:f>
              <c:numCache>
                <c:formatCode>General</c:formatCode>
                <c:ptCount val="21"/>
                <c:pt idx="0">
                  <c:v>112</c:v>
                </c:pt>
                <c:pt idx="1">
                  <c:v>112</c:v>
                </c:pt>
                <c:pt idx="2">
                  <c:v>74</c:v>
                </c:pt>
                <c:pt idx="3">
                  <c:v>77</c:v>
                </c:pt>
                <c:pt idx="4">
                  <c:v>50</c:v>
                </c:pt>
                <c:pt idx="5">
                  <c:v>26</c:v>
                </c:pt>
                <c:pt idx="6">
                  <c:v>41</c:v>
                </c:pt>
                <c:pt idx="7">
                  <c:v>20</c:v>
                </c:pt>
                <c:pt idx="8">
                  <c:v>27</c:v>
                </c:pt>
                <c:pt idx="9">
                  <c:v>14</c:v>
                </c:pt>
                <c:pt idx="10">
                  <c:v>24</c:v>
                </c:pt>
                <c:pt idx="11">
                  <c:v>36</c:v>
                </c:pt>
                <c:pt idx="12">
                  <c:v>36</c:v>
                </c:pt>
                <c:pt idx="13">
                  <c:v>17</c:v>
                </c:pt>
                <c:pt idx="14">
                  <c:v>13</c:v>
                </c:pt>
                <c:pt idx="15">
                  <c:v>14</c:v>
                </c:pt>
                <c:pt idx="16">
                  <c:v>21</c:v>
                </c:pt>
                <c:pt idx="17">
                  <c:v>17</c:v>
                </c:pt>
                <c:pt idx="18">
                  <c:v>18</c:v>
                </c:pt>
                <c:pt idx="19">
                  <c:v>6</c:v>
                </c:pt>
                <c:pt idx="20">
                  <c:v>5</c:v>
                </c:pt>
              </c:numCache>
            </c:numRef>
          </c:val>
          <c:extLst>
            <c:ext xmlns:c16="http://schemas.microsoft.com/office/drawing/2014/chart" uri="{C3380CC4-5D6E-409C-BE32-E72D297353CC}">
              <c16:uniqueId val="{00000001-F023-0443-BC49-B0BE4DE38E84}"/>
            </c:ext>
          </c:extLst>
        </c:ser>
        <c:dLbls>
          <c:showLegendKey val="0"/>
          <c:showVal val="0"/>
          <c:showCatName val="0"/>
          <c:showSerName val="0"/>
          <c:showPercent val="0"/>
          <c:showBubbleSize val="0"/>
        </c:dLbls>
        <c:gapWidth val="219"/>
        <c:axId val="2082546432"/>
        <c:axId val="2094079872"/>
      </c:barChart>
      <c:lineChart>
        <c:grouping val="standard"/>
        <c:varyColors val="0"/>
        <c:ser>
          <c:idx val="2"/>
          <c:order val="2"/>
          <c:tx>
            <c:strRef>
              <c:f>'Q-2 Analysis'!$E$3</c:f>
              <c:strCache>
                <c:ptCount val="1"/>
                <c:pt idx="0">
                  <c:v>Total Revenue</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'Q-2 Analysis'!$B$4:$B$25</c:f>
              <c:strCache>
                <c:ptCount val="21"/>
                <c:pt idx="0">
                  <c:v>USA</c:v>
                </c:pt>
                <c:pt idx="1">
                  <c:v>Germany</c:v>
                </c:pt>
                <c:pt idx="2">
                  <c:v>France</c:v>
                </c:pt>
                <c:pt idx="3">
                  <c:v>Brazil</c:v>
                </c:pt>
                <c:pt idx="4">
                  <c:v>UK</c:v>
                </c:pt>
                <c:pt idx="5">
                  <c:v>Mexico</c:v>
                </c:pt>
                <c:pt idx="6">
                  <c:v>Venezuela</c:v>
                </c:pt>
                <c:pt idx="7">
                  <c:v>Spain</c:v>
                </c:pt>
                <c:pt idx="8">
                  <c:v>Canada</c:v>
                </c:pt>
                <c:pt idx="9">
                  <c:v>Argentina</c:v>
                </c:pt>
                <c:pt idx="10">
                  <c:v>Italy</c:v>
                </c:pt>
                <c:pt idx="11">
                  <c:v>Sweden</c:v>
                </c:pt>
                <c:pt idx="12">
                  <c:v>Austria</c:v>
                </c:pt>
                <c:pt idx="13">
                  <c:v>Belgium</c:v>
                </c:pt>
                <c:pt idx="14">
                  <c:v>Portugal</c:v>
                </c:pt>
                <c:pt idx="15">
                  <c:v>Switzerland</c:v>
                </c:pt>
                <c:pt idx="16">
                  <c:v>Finland</c:v>
                </c:pt>
                <c:pt idx="17">
                  <c:v>Denmark</c:v>
                </c:pt>
                <c:pt idx="18">
                  <c:v>Ireland</c:v>
                </c:pt>
                <c:pt idx="19">
                  <c:v>Poland</c:v>
                </c:pt>
                <c:pt idx="20">
                  <c:v>Norway</c:v>
                </c:pt>
              </c:strCache>
            </c:strRef>
          </c:cat>
          <c:val>
            <c:numRef>
              <c:f>'Q-2 Analysis'!$E$4:$E$25</c:f>
              <c:numCache>
                <c:formatCode>General</c:formatCode>
                <c:ptCount val="21"/>
                <c:pt idx="0">
                  <c:v>212334.29000000004</c:v>
                </c:pt>
                <c:pt idx="1">
                  <c:v>211674.56</c:v>
                </c:pt>
                <c:pt idx="2">
                  <c:v>80319.570000000022</c:v>
                </c:pt>
                <c:pt idx="3">
                  <c:v>99647.349999999991</c:v>
                </c:pt>
                <c:pt idx="4">
                  <c:v>50410.12</c:v>
                </c:pt>
                <c:pt idx="5">
                  <c:v>22922.080000000002</c:v>
                </c:pt>
                <c:pt idx="6">
                  <c:v>51076.02</c:v>
                </c:pt>
                <c:pt idx="7">
                  <c:v>16945.7</c:v>
                </c:pt>
                <c:pt idx="8">
                  <c:v>47484.07</c:v>
                </c:pt>
                <c:pt idx="9">
                  <c:v>7738.1</c:v>
                </c:pt>
                <c:pt idx="10">
                  <c:v>13422.760000000002</c:v>
                </c:pt>
                <c:pt idx="11">
                  <c:v>53685.14</c:v>
                </c:pt>
                <c:pt idx="12">
                  <c:v>108299.94</c:v>
                </c:pt>
                <c:pt idx="13">
                  <c:v>31337.760000000002</c:v>
                </c:pt>
                <c:pt idx="14">
                  <c:v>11472.36</c:v>
                </c:pt>
                <c:pt idx="15">
                  <c:v>24901.96</c:v>
                </c:pt>
                <c:pt idx="16">
                  <c:v>18540.05</c:v>
                </c:pt>
                <c:pt idx="17">
                  <c:v>32428.93</c:v>
                </c:pt>
                <c:pt idx="18">
                  <c:v>48636.959999999999</c:v>
                </c:pt>
                <c:pt idx="19">
                  <c:v>2940.35</c:v>
                </c:pt>
                <c:pt idx="20">
                  <c:v>5112.8</c:v>
                </c:pt>
              </c:numCache>
            </c:numRef>
          </c:val>
          <c:smooth val="0"/>
          <c:extLst>
            <c:ext xmlns:c16="http://schemas.microsoft.com/office/drawing/2014/chart" uri="{C3380CC4-5D6E-409C-BE32-E72D297353CC}">
              <c16:uniqueId val="{00000002-F023-0443-BC49-B0BE4DE38E84}"/>
            </c:ext>
          </c:extLst>
        </c:ser>
        <c:dLbls>
          <c:showLegendKey val="0"/>
          <c:showVal val="0"/>
          <c:showCatName val="0"/>
          <c:showSerName val="0"/>
          <c:showPercent val="0"/>
          <c:showBubbleSize val="0"/>
        </c:dLbls>
        <c:marker val="1"/>
        <c:smooth val="0"/>
        <c:axId val="31155391"/>
        <c:axId val="31157631"/>
      </c:lineChart>
      <c:catAx>
        <c:axId val="20825464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94079872"/>
        <c:crosses val="autoZero"/>
        <c:auto val="1"/>
        <c:lblAlgn val="ctr"/>
        <c:lblOffset val="100"/>
        <c:noMultiLvlLbl val="0"/>
      </c:catAx>
      <c:valAx>
        <c:axId val="209407987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82546432"/>
        <c:crosses val="autoZero"/>
        <c:crossBetween val="between"/>
      </c:valAx>
      <c:valAx>
        <c:axId val="31157631"/>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31155391"/>
        <c:crosses val="max"/>
        <c:crossBetween val="between"/>
      </c:valAx>
      <c:catAx>
        <c:axId val="31155391"/>
        <c:scaling>
          <c:orientation val="minMax"/>
        </c:scaling>
        <c:delete val="1"/>
        <c:axPos val="b"/>
        <c:numFmt formatCode="General" sourceLinked="1"/>
        <c:majorTickMark val="none"/>
        <c:minorTickMark val="none"/>
        <c:tickLblPos val="nextTo"/>
        <c:crossAx val="31157631"/>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[PAVAN KUMAR MAGANDI_CAPSTONE PROJECT_SALES ANALYTICS.xlsx]Q-2 Analysis!PivotTable6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Customers, Orders &amp; Revenue by City</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'Q-2 Analysis'!$H$3</c:f>
              <c:strCache>
                <c:ptCount val="1"/>
                <c:pt idx="0">
                  <c:v>Total Customers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'Q-2 Analysis'!$G$4:$G$13</c:f>
              <c:strCache>
                <c:ptCount val="9"/>
                <c:pt idx="0">
                  <c:v>London</c:v>
                </c:pt>
                <c:pt idx="1">
                  <c:v>MÃ©xico D.F.</c:v>
                </c:pt>
                <c:pt idx="2">
                  <c:v>SÃ£o Paulo</c:v>
                </c:pt>
                <c:pt idx="3">
                  <c:v>Rio de Janeiro</c:v>
                </c:pt>
                <c:pt idx="4">
                  <c:v>Buenos Aires</c:v>
                </c:pt>
                <c:pt idx="5">
                  <c:v>Portland</c:v>
                </c:pt>
                <c:pt idx="6">
                  <c:v>Lisboa</c:v>
                </c:pt>
                <c:pt idx="7">
                  <c:v>Nantes</c:v>
                </c:pt>
                <c:pt idx="8">
                  <c:v>Madrid</c:v>
                </c:pt>
              </c:strCache>
            </c:strRef>
          </c:cat>
          <c:val>
            <c:numRef>
              <c:f>'Q-2 Analysis'!$H$4:$H$13</c:f>
              <c:numCache>
                <c:formatCode>General</c:formatCode>
                <c:ptCount val="9"/>
                <c:pt idx="0">
                  <c:v>6</c:v>
                </c:pt>
                <c:pt idx="1">
                  <c:v>5</c:v>
                </c:pt>
                <c:pt idx="2">
                  <c:v>4</c:v>
                </c:pt>
                <c:pt idx="3">
                  <c:v>3</c:v>
                </c:pt>
                <c:pt idx="4">
                  <c:v>3</c:v>
                </c:pt>
                <c:pt idx="5">
                  <c:v>2</c:v>
                </c:pt>
                <c:pt idx="6">
                  <c:v>2</c:v>
                </c:pt>
                <c:pt idx="7">
                  <c:v>2</c:v>
                </c:pt>
                <c:pt idx="8">
                  <c:v>2</c:v>
                </c:pt>
              </c:numCache>
            </c:numRef>
          </c:val>
          <c:extLst>
            <c:ext xmlns:c16="http://schemas.microsoft.com/office/drawing/2014/chart" uri="{C3380CC4-5D6E-409C-BE32-E72D297353CC}">
              <c16:uniqueId val="{00000000-EBB9-B54D-9929-DFDA54F6FD28}"/>
            </c:ext>
          </c:extLst>
        </c:ser>
        <c:ser>
          <c:idx val="1"/>
          <c:order val="1"/>
          <c:tx>
            <c:strRef>
              <c:f>'Q-2 Analysis'!$I$3</c:f>
              <c:strCache>
                <c:ptCount val="1"/>
                <c:pt idx="0">
                  <c:v>Total Orders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'Q-2 Analysis'!$G$4:$G$13</c:f>
              <c:strCache>
                <c:ptCount val="9"/>
                <c:pt idx="0">
                  <c:v>London</c:v>
                </c:pt>
                <c:pt idx="1">
                  <c:v>MÃ©xico D.F.</c:v>
                </c:pt>
                <c:pt idx="2">
                  <c:v>SÃ£o Paulo</c:v>
                </c:pt>
                <c:pt idx="3">
                  <c:v>Rio de Janeiro</c:v>
                </c:pt>
                <c:pt idx="4">
                  <c:v>Buenos Aires</c:v>
                </c:pt>
                <c:pt idx="5">
                  <c:v>Portland</c:v>
                </c:pt>
                <c:pt idx="6">
                  <c:v>Lisboa</c:v>
                </c:pt>
                <c:pt idx="7">
                  <c:v>Nantes</c:v>
                </c:pt>
                <c:pt idx="8">
                  <c:v>Madrid</c:v>
                </c:pt>
              </c:strCache>
            </c:strRef>
          </c:cat>
          <c:val>
            <c:numRef>
              <c:f>'Q-2 Analysis'!$I$4:$I$13</c:f>
              <c:numCache>
                <c:formatCode>General</c:formatCode>
                <c:ptCount val="9"/>
                <c:pt idx="0">
                  <c:v>40</c:v>
                </c:pt>
                <c:pt idx="1">
                  <c:v>26</c:v>
                </c:pt>
                <c:pt idx="2">
                  <c:v>29</c:v>
                </c:pt>
                <c:pt idx="3">
                  <c:v>31</c:v>
                </c:pt>
                <c:pt idx="4">
                  <c:v>14</c:v>
                </c:pt>
                <c:pt idx="5">
                  <c:v>11</c:v>
                </c:pt>
                <c:pt idx="6">
                  <c:v>13</c:v>
                </c:pt>
                <c:pt idx="7">
                  <c:v>7</c:v>
                </c:pt>
                <c:pt idx="8">
                  <c:v>7</c:v>
                </c:pt>
              </c:numCache>
            </c:numRef>
          </c:val>
          <c:extLst>
            <c:ext xmlns:c16="http://schemas.microsoft.com/office/drawing/2014/chart" uri="{C3380CC4-5D6E-409C-BE32-E72D297353CC}">
              <c16:uniqueId val="{00000001-EBB9-B54D-9929-DFDA54F6FD28}"/>
            </c:ext>
          </c:extLst>
        </c:ser>
        <c:dLbls>
          <c:showLegendKey val="0"/>
          <c:showVal val="0"/>
          <c:showCatName val="0"/>
          <c:showSerName val="0"/>
          <c:showPercent val="0"/>
          <c:showBubbleSize val="0"/>
        </c:dLbls>
        <c:gapWidth val="219"/>
        <c:axId val="31196479"/>
        <c:axId val="31198271"/>
      </c:barChart>
      <c:lineChart>
        <c:grouping val="standard"/>
        <c:varyColors val="0"/>
        <c:ser>
          <c:idx val="2"/>
          <c:order val="2"/>
          <c:tx>
            <c:strRef>
              <c:f>'Q-2 Analysis'!$J$3</c:f>
              <c:strCache>
                <c:ptCount val="1"/>
                <c:pt idx="0">
                  <c:v>Total Revenue</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'Q-2 Analysis'!$G$4:$G$13</c:f>
              <c:strCache>
                <c:ptCount val="9"/>
                <c:pt idx="0">
                  <c:v>London</c:v>
                </c:pt>
                <c:pt idx="1">
                  <c:v>MÃ©xico D.F.</c:v>
                </c:pt>
                <c:pt idx="2">
                  <c:v>SÃ£o Paulo</c:v>
                </c:pt>
                <c:pt idx="3">
                  <c:v>Rio de Janeiro</c:v>
                </c:pt>
                <c:pt idx="4">
                  <c:v>Buenos Aires</c:v>
                </c:pt>
                <c:pt idx="5">
                  <c:v>Portland</c:v>
                </c:pt>
                <c:pt idx="6">
                  <c:v>Lisboa</c:v>
                </c:pt>
                <c:pt idx="7">
                  <c:v>Nantes</c:v>
                </c:pt>
                <c:pt idx="8">
                  <c:v>Madrid</c:v>
                </c:pt>
              </c:strCache>
            </c:strRef>
          </c:cat>
          <c:val>
            <c:numRef>
              <c:f>'Q-2 Analysis'!$J$4:$J$13</c:f>
              <c:numCache>
                <c:formatCode>General</c:formatCode>
                <c:ptCount val="9"/>
                <c:pt idx="0">
                  <c:v>44263.82</c:v>
                </c:pt>
                <c:pt idx="1">
                  <c:v>22922.080000000002</c:v>
                </c:pt>
                <c:pt idx="2">
                  <c:v>38053.629999999997</c:v>
                </c:pt>
                <c:pt idx="3">
                  <c:v>47384.98</c:v>
                </c:pt>
                <c:pt idx="4">
                  <c:v>7738.1</c:v>
                </c:pt>
                <c:pt idx="5">
                  <c:v>6044.6</c:v>
                </c:pt>
                <c:pt idx="6">
                  <c:v>11472.36</c:v>
                </c:pt>
                <c:pt idx="7">
                  <c:v>4788.0600000000004</c:v>
                </c:pt>
                <c:pt idx="8">
                  <c:v>5339.14</c:v>
                </c:pt>
              </c:numCache>
            </c:numRef>
          </c:val>
          <c:smooth val="0"/>
          <c:extLst>
            <c:ext xmlns:c16="http://schemas.microsoft.com/office/drawing/2014/chart" uri="{C3380CC4-5D6E-409C-BE32-E72D297353CC}">
              <c16:uniqueId val="{00000002-EBB9-B54D-9929-DFDA54F6FD28}"/>
            </c:ext>
          </c:extLst>
        </c:ser>
        <c:dLbls>
          <c:showLegendKey val="0"/>
          <c:showVal val="0"/>
          <c:showCatName val="0"/>
          <c:showSerName val="0"/>
          <c:showPercent val="0"/>
          <c:showBubbleSize val="0"/>
        </c:dLbls>
        <c:marker val="1"/>
        <c:smooth val="0"/>
        <c:axId val="31168639"/>
        <c:axId val="31164607"/>
      </c:lineChart>
      <c:catAx>
        <c:axId val="3119647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31198271"/>
        <c:crosses val="autoZero"/>
        <c:auto val="1"/>
        <c:lblAlgn val="ctr"/>
        <c:lblOffset val="100"/>
        <c:noMultiLvlLbl val="0"/>
      </c:catAx>
      <c:valAx>
        <c:axId val="3119827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31196479"/>
        <c:crosses val="autoZero"/>
        <c:crossBetween val="between"/>
      </c:valAx>
      <c:valAx>
        <c:axId val="31164607"/>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31168639"/>
        <c:crosses val="max"/>
        <c:crossBetween val="between"/>
      </c:valAx>
      <c:catAx>
        <c:axId val="31168639"/>
        <c:scaling>
          <c:orientation val="minMax"/>
        </c:scaling>
        <c:delete val="1"/>
        <c:axPos val="b"/>
        <c:numFmt formatCode="General" sourceLinked="1"/>
        <c:majorTickMark val="none"/>
        <c:minorTickMark val="none"/>
        <c:tickLblPos val="nextTo"/>
        <c:crossAx val="31164607"/>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[PAVAN KUMAR MAGANDI_CAPSTONE PROJECT_SALES ANALYTICS.xlsx]Q-3 Analysis!PivotTable10</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Spend, Orders &amp; Customers by Category</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'Q-3 Analysis'!$C$3</c:f>
              <c:strCache>
                <c:ptCount val="1"/>
                <c:pt idx="0">
                  <c:v>Count of Customers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'Q-3 Analysis'!$B$4:$B$11</c:f>
              <c:strCache>
                <c:ptCount val="7"/>
                <c:pt idx="0">
                  <c:v>Beverages</c:v>
                </c:pt>
                <c:pt idx="1">
                  <c:v>Confections</c:v>
                </c:pt>
                <c:pt idx="2">
                  <c:v>Dairy Products</c:v>
                </c:pt>
                <c:pt idx="3">
                  <c:v>Grains/Cereals</c:v>
                </c:pt>
                <c:pt idx="4">
                  <c:v>Condiments</c:v>
                </c:pt>
                <c:pt idx="5">
                  <c:v>Seafood</c:v>
                </c:pt>
                <c:pt idx="6">
                  <c:v>Meat/Poultry</c:v>
                </c:pt>
              </c:strCache>
            </c:strRef>
          </c:cat>
          <c:val>
            <c:numRef>
              <c:f>'Q-3 Analysis'!$C$4:$C$11</c:f>
              <c:numCache>
                <c:formatCode>General</c:formatCode>
                <c:ptCount val="7"/>
                <c:pt idx="0">
                  <c:v>37</c:v>
                </c:pt>
                <c:pt idx="1">
                  <c:v>17</c:v>
                </c:pt>
                <c:pt idx="2">
                  <c:v>14</c:v>
                </c:pt>
                <c:pt idx="3">
                  <c:v>8</c:v>
                </c:pt>
                <c:pt idx="4">
                  <c:v>6</c:v>
                </c:pt>
                <c:pt idx="5">
                  <c:v>6</c:v>
                </c:pt>
                <c:pt idx="6">
                  <c:v>1</c:v>
                </c:pt>
              </c:numCache>
            </c:numRef>
          </c:val>
          <c:extLst>
            <c:ext xmlns:c16="http://schemas.microsoft.com/office/drawing/2014/chart" uri="{C3380CC4-5D6E-409C-BE32-E72D297353CC}">
              <c16:uniqueId val="{00000000-937F-F84D-BA43-08759FC4746D}"/>
            </c:ext>
          </c:extLst>
        </c:ser>
        <c:ser>
          <c:idx val="1"/>
          <c:order val="1"/>
          <c:tx>
            <c:strRef>
              <c:f>'Q-3 Analysis'!$D$3</c:f>
              <c:strCache>
                <c:ptCount val="1"/>
                <c:pt idx="0">
                  <c:v>Total Spend</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'Q-3 Analysis'!$B$4:$B$11</c:f>
              <c:strCache>
                <c:ptCount val="7"/>
                <c:pt idx="0">
                  <c:v>Beverages</c:v>
                </c:pt>
                <c:pt idx="1">
                  <c:v>Confections</c:v>
                </c:pt>
                <c:pt idx="2">
                  <c:v>Dairy Products</c:v>
                </c:pt>
                <c:pt idx="3">
                  <c:v>Grains/Cereals</c:v>
                </c:pt>
                <c:pt idx="4">
                  <c:v>Condiments</c:v>
                </c:pt>
                <c:pt idx="5">
                  <c:v>Seafood</c:v>
                </c:pt>
                <c:pt idx="6">
                  <c:v>Meat/Poultry</c:v>
                </c:pt>
              </c:strCache>
            </c:strRef>
          </c:cat>
          <c:val>
            <c:numRef>
              <c:f>'Q-3 Analysis'!$D$4:$D$11</c:f>
              <c:numCache>
                <c:formatCode>General</c:formatCode>
                <c:ptCount val="7"/>
                <c:pt idx="0">
                  <c:v>441156.36999999988</c:v>
                </c:pt>
                <c:pt idx="1">
                  <c:v>244552.38999999998</c:v>
                </c:pt>
                <c:pt idx="2">
                  <c:v>284732.12</c:v>
                </c:pt>
                <c:pt idx="3">
                  <c:v>47395.56</c:v>
                </c:pt>
                <c:pt idx="4">
                  <c:v>53441.5</c:v>
                </c:pt>
                <c:pt idx="5">
                  <c:v>76989.729999999981</c:v>
                </c:pt>
                <c:pt idx="6">
                  <c:v>3063.2</c:v>
                </c:pt>
              </c:numCache>
            </c:numRef>
          </c:val>
          <c:extLst>
            <c:ext xmlns:c16="http://schemas.microsoft.com/office/drawing/2014/chart" uri="{C3380CC4-5D6E-409C-BE32-E72D297353CC}">
              <c16:uniqueId val="{00000001-937F-F84D-BA43-08759FC4746D}"/>
            </c:ext>
          </c:extLst>
        </c:ser>
        <c:dLbls>
          <c:showLegendKey val="0"/>
          <c:showVal val="0"/>
          <c:showCatName val="0"/>
          <c:showSerName val="0"/>
          <c:showPercent val="0"/>
          <c:showBubbleSize val="0"/>
        </c:dLbls>
        <c:gapWidth val="219"/>
        <c:axId val="2077440448"/>
        <c:axId val="2103998464"/>
      </c:barChart>
      <c:lineChart>
        <c:grouping val="standard"/>
        <c:varyColors val="0"/>
        <c:ser>
          <c:idx val="2"/>
          <c:order val="2"/>
          <c:tx>
            <c:strRef>
              <c:f>'Q-3 Analysis'!$E$3</c:f>
              <c:strCache>
                <c:ptCount val="1"/>
                <c:pt idx="0">
                  <c:v>Order Count</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'Q-3 Analysis'!$B$4:$B$11</c:f>
              <c:strCache>
                <c:ptCount val="7"/>
                <c:pt idx="0">
                  <c:v>Beverages</c:v>
                </c:pt>
                <c:pt idx="1">
                  <c:v>Confections</c:v>
                </c:pt>
                <c:pt idx="2">
                  <c:v>Dairy Products</c:v>
                </c:pt>
                <c:pt idx="3">
                  <c:v>Grains/Cereals</c:v>
                </c:pt>
                <c:pt idx="4">
                  <c:v>Condiments</c:v>
                </c:pt>
                <c:pt idx="5">
                  <c:v>Seafood</c:v>
                </c:pt>
                <c:pt idx="6">
                  <c:v>Meat/Poultry</c:v>
                </c:pt>
              </c:strCache>
            </c:strRef>
          </c:cat>
          <c:val>
            <c:numRef>
              <c:f>'Q-3 Analysis'!$E$4:$E$11</c:f>
              <c:numCache>
                <c:formatCode>General</c:formatCode>
                <c:ptCount val="7"/>
                <c:pt idx="0">
                  <c:v>312</c:v>
                </c:pt>
                <c:pt idx="1">
                  <c:v>139</c:v>
                </c:pt>
                <c:pt idx="2">
                  <c:v>150</c:v>
                </c:pt>
                <c:pt idx="3">
                  <c:v>51</c:v>
                </c:pt>
                <c:pt idx="4">
                  <c:v>48</c:v>
                </c:pt>
                <c:pt idx="5">
                  <c:v>55</c:v>
                </c:pt>
                <c:pt idx="6">
                  <c:v>5</c:v>
                </c:pt>
              </c:numCache>
            </c:numRef>
          </c:val>
          <c:smooth val="0"/>
          <c:extLst>
            <c:ext xmlns:c16="http://schemas.microsoft.com/office/drawing/2014/chart" uri="{C3380CC4-5D6E-409C-BE32-E72D297353CC}">
              <c16:uniqueId val="{00000002-937F-F84D-BA43-08759FC4746D}"/>
            </c:ext>
          </c:extLst>
        </c:ser>
        <c:dLbls>
          <c:showLegendKey val="0"/>
          <c:showVal val="0"/>
          <c:showCatName val="0"/>
          <c:showSerName val="0"/>
          <c:showPercent val="0"/>
          <c:showBubbleSize val="0"/>
        </c:dLbls>
        <c:marker val="1"/>
        <c:smooth val="0"/>
        <c:axId val="2079339200"/>
        <c:axId val="2079336512"/>
      </c:lineChart>
      <c:catAx>
        <c:axId val="207744044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103998464"/>
        <c:crosses val="autoZero"/>
        <c:auto val="1"/>
        <c:lblAlgn val="ctr"/>
        <c:lblOffset val="100"/>
        <c:noMultiLvlLbl val="0"/>
      </c:catAx>
      <c:valAx>
        <c:axId val="210399846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77440448"/>
        <c:crosses val="autoZero"/>
        <c:crossBetween val="between"/>
      </c:valAx>
      <c:valAx>
        <c:axId val="2079336512"/>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79339200"/>
        <c:crosses val="max"/>
        <c:crossBetween val="between"/>
      </c:valAx>
      <c:catAx>
        <c:axId val="2079339200"/>
        <c:scaling>
          <c:orientation val="minMax"/>
        </c:scaling>
        <c:delete val="1"/>
        <c:axPos val="b"/>
        <c:numFmt formatCode="General" sourceLinked="1"/>
        <c:majorTickMark val="none"/>
        <c:minorTickMark val="none"/>
        <c:tickLblPos val="nextTo"/>
        <c:crossAx val="207933651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[PAVAN KUMAR MAGANDI_CAPSTONE PROJECT_SALES ANALYTICS.xlsx]Q-4 Analysis!PivotTable11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Orders vs Revenue by Product Category</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'Q-4 Analysis'!$C$3</c:f>
              <c:strCache>
                <c:ptCount val="1"/>
                <c:pt idx="0">
                  <c:v>Total Orders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'Q-4 Analysis'!$B$4:$B$12</c:f>
              <c:strCache>
                <c:ptCount val="8"/>
                <c:pt idx="0">
                  <c:v>Beverages</c:v>
                </c:pt>
                <c:pt idx="1">
                  <c:v>Dairy Products</c:v>
                </c:pt>
                <c:pt idx="2">
                  <c:v>Confections</c:v>
                </c:pt>
                <c:pt idx="3">
                  <c:v>Meat/Poultry</c:v>
                </c:pt>
                <c:pt idx="4">
                  <c:v>Seafood</c:v>
                </c:pt>
                <c:pt idx="5">
                  <c:v>Condiments</c:v>
                </c:pt>
                <c:pt idx="6">
                  <c:v>Produce</c:v>
                </c:pt>
                <c:pt idx="7">
                  <c:v>Grains/Cereals</c:v>
                </c:pt>
              </c:strCache>
            </c:strRef>
          </c:cat>
          <c:val>
            <c:numRef>
              <c:f>'Q-4 Analysis'!$C$4:$C$12</c:f>
              <c:numCache>
                <c:formatCode>General</c:formatCode>
                <c:ptCount val="8"/>
                <c:pt idx="0">
                  <c:v>354</c:v>
                </c:pt>
                <c:pt idx="1">
                  <c:v>303</c:v>
                </c:pt>
                <c:pt idx="2">
                  <c:v>295</c:v>
                </c:pt>
                <c:pt idx="3">
                  <c:v>161</c:v>
                </c:pt>
                <c:pt idx="4">
                  <c:v>291</c:v>
                </c:pt>
                <c:pt idx="5">
                  <c:v>193</c:v>
                </c:pt>
                <c:pt idx="6">
                  <c:v>129</c:v>
                </c:pt>
                <c:pt idx="7">
                  <c:v>182</c:v>
                </c:pt>
              </c:numCache>
            </c:numRef>
          </c:val>
          <c:extLst>
            <c:ext xmlns:c16="http://schemas.microsoft.com/office/drawing/2014/chart" uri="{C3380CC4-5D6E-409C-BE32-E72D297353CC}">
              <c16:uniqueId val="{00000000-D08E-E246-A4E4-F684683FFC7A}"/>
            </c:ext>
          </c:extLst>
        </c:ser>
        <c:dLbls>
          <c:showLegendKey val="0"/>
          <c:showVal val="0"/>
          <c:showCatName val="0"/>
          <c:showSerName val="0"/>
          <c:showPercent val="0"/>
          <c:showBubbleSize val="0"/>
        </c:dLbls>
        <c:gapWidth val="219"/>
        <c:axId val="2094191424"/>
        <c:axId val="109926527"/>
      </c:barChart>
      <c:lineChart>
        <c:grouping val="standard"/>
        <c:varyColors val="0"/>
        <c:ser>
          <c:idx val="1"/>
          <c:order val="1"/>
          <c:tx>
            <c:strRef>
              <c:f>'Q-4 Analysis'!$D$3</c:f>
              <c:strCache>
                <c:ptCount val="1"/>
                <c:pt idx="0">
                  <c:v>Total Revenue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'Q-4 Analysis'!$B$4:$B$12</c:f>
              <c:strCache>
                <c:ptCount val="8"/>
                <c:pt idx="0">
                  <c:v>Beverages</c:v>
                </c:pt>
                <c:pt idx="1">
                  <c:v>Dairy Products</c:v>
                </c:pt>
                <c:pt idx="2">
                  <c:v>Confections</c:v>
                </c:pt>
                <c:pt idx="3">
                  <c:v>Meat/Poultry</c:v>
                </c:pt>
                <c:pt idx="4">
                  <c:v>Seafood</c:v>
                </c:pt>
                <c:pt idx="5">
                  <c:v>Condiments</c:v>
                </c:pt>
                <c:pt idx="6">
                  <c:v>Produce</c:v>
                </c:pt>
                <c:pt idx="7">
                  <c:v>Grains/Cereals</c:v>
                </c:pt>
              </c:strCache>
            </c:strRef>
          </c:cat>
          <c:val>
            <c:numRef>
              <c:f>'Q-4 Analysis'!$D$4:$D$12</c:f>
              <c:numCache>
                <c:formatCode>General</c:formatCode>
                <c:ptCount val="8"/>
                <c:pt idx="0">
                  <c:v>267868.18</c:v>
                </c:pt>
                <c:pt idx="1">
                  <c:v>234507.28</c:v>
                </c:pt>
                <c:pt idx="2">
                  <c:v>167357.22</c:v>
                </c:pt>
                <c:pt idx="3">
                  <c:v>163022.35999999999</c:v>
                </c:pt>
                <c:pt idx="4">
                  <c:v>131261.74</c:v>
                </c:pt>
                <c:pt idx="5">
                  <c:v>106047.09</c:v>
                </c:pt>
                <c:pt idx="6">
                  <c:v>99984.58</c:v>
                </c:pt>
                <c:pt idx="7">
                  <c:v>95744.59</c:v>
                </c:pt>
              </c:numCache>
            </c:numRef>
          </c:val>
          <c:smooth val="0"/>
          <c:extLst>
            <c:ext xmlns:c16="http://schemas.microsoft.com/office/drawing/2014/chart" uri="{C3380CC4-5D6E-409C-BE32-E72D297353CC}">
              <c16:uniqueId val="{00000001-D08E-E246-A4E4-F684683FFC7A}"/>
            </c:ext>
          </c:extLst>
        </c:ser>
        <c:dLbls>
          <c:showLegendKey val="0"/>
          <c:showVal val="0"/>
          <c:showCatName val="0"/>
          <c:showSerName val="0"/>
          <c:showPercent val="0"/>
          <c:showBubbleSize val="0"/>
        </c:dLbls>
        <c:marker val="1"/>
        <c:smooth val="0"/>
        <c:axId val="2080109248"/>
        <c:axId val="2080100736"/>
      </c:lineChart>
      <c:catAx>
        <c:axId val="20941914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09926527"/>
        <c:crosses val="autoZero"/>
        <c:auto val="1"/>
        <c:lblAlgn val="ctr"/>
        <c:lblOffset val="100"/>
        <c:noMultiLvlLbl val="0"/>
      </c:catAx>
      <c:valAx>
        <c:axId val="109926527"/>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94191424"/>
        <c:crosses val="autoZero"/>
        <c:crossBetween val="between"/>
      </c:valAx>
      <c:valAx>
        <c:axId val="2080100736"/>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80109248"/>
        <c:crosses val="max"/>
        <c:crossBetween val="between"/>
      </c:valAx>
      <c:catAx>
        <c:axId val="2080109248"/>
        <c:scaling>
          <c:orientation val="minMax"/>
        </c:scaling>
        <c:delete val="1"/>
        <c:axPos val="b"/>
        <c:numFmt formatCode="General" sourceLinked="1"/>
        <c:majorTickMark val="none"/>
        <c:minorTickMark val="none"/>
        <c:tickLblPos val="nextTo"/>
        <c:crossAx val="208010073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[PAVAN KUMAR MAGANDI_CAPSTONE PROJECT_SALES ANALYTICS.xlsx]Q-4 Analysis!PivotTable12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Units Sold vs Revenue by Product</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'Q-4 Analysis'!$G$3</c:f>
              <c:strCache>
                <c:ptCount val="1"/>
                <c:pt idx="0">
                  <c:v>Total Units Sold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'Q-4 Analysis'!$F$4:$F$15</c:f>
              <c:strCache>
                <c:ptCount val="11"/>
                <c:pt idx="0">
                  <c:v>Raclette Courdavault</c:v>
                </c:pt>
                <c:pt idx="1">
                  <c:v>Tarte au sucre</c:v>
                </c:pt>
                <c:pt idx="2">
                  <c:v>Camembert Pierrot</c:v>
                </c:pt>
                <c:pt idx="3">
                  <c:v>Gnocchi di nonna Alice</c:v>
                </c:pt>
                <c:pt idx="4">
                  <c:v>FlÃ¸temysost</c:v>
                </c:pt>
                <c:pt idx="5">
                  <c:v>Boston Crab Meat</c:v>
                </c:pt>
                <c:pt idx="6">
                  <c:v>Pavlova</c:v>
                </c:pt>
                <c:pt idx="7">
                  <c:v>Chang</c:v>
                </c:pt>
                <c:pt idx="8">
                  <c:v>Gorgonzola Telino</c:v>
                </c:pt>
                <c:pt idx="9">
                  <c:v>RhÃ¶nbrÃ¤u Klosterbier</c:v>
                </c:pt>
                <c:pt idx="10">
                  <c:v>GuaranÃ¡ FantÃ¡stica</c:v>
                </c:pt>
              </c:strCache>
            </c:strRef>
          </c:cat>
          <c:val>
            <c:numRef>
              <c:f>'Q-4 Analysis'!$G$4:$G$15</c:f>
              <c:numCache>
                <c:formatCode>General</c:formatCode>
                <c:ptCount val="11"/>
                <c:pt idx="0">
                  <c:v>1496</c:v>
                </c:pt>
                <c:pt idx="1">
                  <c:v>1083</c:v>
                </c:pt>
                <c:pt idx="2">
                  <c:v>1577</c:v>
                </c:pt>
                <c:pt idx="3">
                  <c:v>1263</c:v>
                </c:pt>
                <c:pt idx="4">
                  <c:v>1057</c:v>
                </c:pt>
                <c:pt idx="5">
                  <c:v>1103</c:v>
                </c:pt>
                <c:pt idx="6">
                  <c:v>1158</c:v>
                </c:pt>
                <c:pt idx="7">
                  <c:v>1057</c:v>
                </c:pt>
                <c:pt idx="8">
                  <c:v>1397</c:v>
                </c:pt>
                <c:pt idx="9">
                  <c:v>1155</c:v>
                </c:pt>
                <c:pt idx="10">
                  <c:v>1125</c:v>
                </c:pt>
              </c:numCache>
            </c:numRef>
          </c:val>
          <c:extLst>
            <c:ext xmlns:c16="http://schemas.microsoft.com/office/drawing/2014/chart" uri="{C3380CC4-5D6E-409C-BE32-E72D297353CC}">
              <c16:uniqueId val="{00000000-007C-584C-B46F-F69A08C4F4E3}"/>
            </c:ext>
          </c:extLst>
        </c:ser>
        <c:dLbls>
          <c:showLegendKey val="0"/>
          <c:showVal val="0"/>
          <c:showCatName val="0"/>
          <c:showSerName val="0"/>
          <c:showPercent val="0"/>
          <c:showBubbleSize val="0"/>
        </c:dLbls>
        <c:gapWidth val="219"/>
        <c:axId val="112142847"/>
        <c:axId val="112141951"/>
      </c:barChart>
      <c:lineChart>
        <c:grouping val="standard"/>
        <c:varyColors val="0"/>
        <c:ser>
          <c:idx val="1"/>
          <c:order val="1"/>
          <c:tx>
            <c:strRef>
              <c:f>'Q-4 Analysis'!$H$3</c:f>
              <c:strCache>
                <c:ptCount val="1"/>
                <c:pt idx="0">
                  <c:v>Total Revenue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'Q-4 Analysis'!$F$4:$F$15</c:f>
              <c:strCache>
                <c:ptCount val="11"/>
                <c:pt idx="0">
                  <c:v>Raclette Courdavault</c:v>
                </c:pt>
                <c:pt idx="1">
                  <c:v>Tarte au sucre</c:v>
                </c:pt>
                <c:pt idx="2">
                  <c:v>Camembert Pierrot</c:v>
                </c:pt>
                <c:pt idx="3">
                  <c:v>Gnocchi di nonna Alice</c:v>
                </c:pt>
                <c:pt idx="4">
                  <c:v>FlÃ¸temysost</c:v>
                </c:pt>
                <c:pt idx="5">
                  <c:v>Boston Crab Meat</c:v>
                </c:pt>
                <c:pt idx="6">
                  <c:v>Pavlova</c:v>
                </c:pt>
                <c:pt idx="7">
                  <c:v>Chang</c:v>
                </c:pt>
                <c:pt idx="8">
                  <c:v>Gorgonzola Telino</c:v>
                </c:pt>
                <c:pt idx="9">
                  <c:v>RhÃ¶nbrÃ¤u Klosterbier</c:v>
                </c:pt>
                <c:pt idx="10">
                  <c:v>GuaranÃ¡ FantÃ¡stica</c:v>
                </c:pt>
              </c:strCache>
            </c:strRef>
          </c:cat>
          <c:val>
            <c:numRef>
              <c:f>'Q-4 Analysis'!$H$4:$H$15</c:f>
              <c:numCache>
                <c:formatCode>General</c:formatCode>
                <c:ptCount val="11"/>
                <c:pt idx="0">
                  <c:v>71155.7</c:v>
                </c:pt>
                <c:pt idx="1">
                  <c:v>47234.97</c:v>
                </c:pt>
                <c:pt idx="2">
                  <c:v>46825.48</c:v>
                </c:pt>
                <c:pt idx="3">
                  <c:v>42593.06</c:v>
                </c:pt>
                <c:pt idx="4">
                  <c:v>19551.03</c:v>
                </c:pt>
                <c:pt idx="5">
                  <c:v>17910.63</c:v>
                </c:pt>
                <c:pt idx="6">
                  <c:v>17215.78</c:v>
                </c:pt>
                <c:pt idx="7">
                  <c:v>16355.96</c:v>
                </c:pt>
                <c:pt idx="8">
                  <c:v>14920.88</c:v>
                </c:pt>
                <c:pt idx="9">
                  <c:v>8177.49</c:v>
                </c:pt>
                <c:pt idx="10">
                  <c:v>4504.3599999999997</c:v>
                </c:pt>
              </c:numCache>
            </c:numRef>
          </c:val>
          <c:smooth val="0"/>
          <c:extLst>
            <c:ext xmlns:c16="http://schemas.microsoft.com/office/drawing/2014/chart" uri="{C3380CC4-5D6E-409C-BE32-E72D297353CC}">
              <c16:uniqueId val="{00000001-007C-584C-B46F-F69A08C4F4E3}"/>
            </c:ext>
          </c:extLst>
        </c:ser>
        <c:dLbls>
          <c:showLegendKey val="0"/>
          <c:showVal val="0"/>
          <c:showCatName val="0"/>
          <c:showSerName val="0"/>
          <c:showPercent val="0"/>
          <c:showBubbleSize val="0"/>
        </c:dLbls>
        <c:marker val="1"/>
        <c:smooth val="0"/>
        <c:axId val="2069237248"/>
        <c:axId val="2069247104"/>
      </c:lineChart>
      <c:catAx>
        <c:axId val="11214284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12141951"/>
        <c:crosses val="autoZero"/>
        <c:auto val="1"/>
        <c:lblAlgn val="ctr"/>
        <c:lblOffset val="100"/>
        <c:noMultiLvlLbl val="0"/>
      </c:catAx>
      <c:valAx>
        <c:axId val="11214195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12142847"/>
        <c:crosses val="autoZero"/>
        <c:crossBetween val="between"/>
      </c:valAx>
      <c:valAx>
        <c:axId val="2069247104"/>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69237248"/>
        <c:crosses val="max"/>
        <c:crossBetween val="between"/>
      </c:valAx>
      <c:catAx>
        <c:axId val="2069237248"/>
        <c:scaling>
          <c:orientation val="minMax"/>
        </c:scaling>
        <c:delete val="1"/>
        <c:axPos val="b"/>
        <c:numFmt formatCode="General" sourceLinked="1"/>
        <c:majorTickMark val="none"/>
        <c:minorTickMark val="none"/>
        <c:tickLblPos val="nextTo"/>
        <c:crossAx val="2069247104"/>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Order Count by Country with Trend Analysis</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lotArea>
      <c:layout/>
      <c:barChart>
        <c:barDir val="col"/>
        <c:grouping val="clustered"/>
        <c:varyColors val="0"/>
        <c:ser>
          <c:idx val="0"/>
          <c:order val="0"/>
          <c:tx>
            <c:strRef>
              <c:f>'Q-5.1 Analysis'!$C$3</c:f>
              <c:strCache>
                <c:ptCount val="1"/>
                <c:pt idx="0">
                  <c:v>Order Count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1"/>
                </a:solidFill>
              </a:ln>
              <a:effectLst/>
            </c:spPr>
            <c:trendlineType val="linear"/>
            <c:dispRSqr val="1"/>
            <c:dispEq val="1"/>
            <c:trendlineLbl>
              <c:layout>
                <c:manualLayout>
                  <c:x val="-0.21562190311945181"/>
                  <c:y val="5.0171725300645675E-2"/>
                </c:manualLayout>
              </c:layout>
              <c:numFmt formatCode="General" sourceLinked="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trendlineLbl>
          </c:trendline>
          <c:cat>
            <c:strRef>
              <c:f>'Q-5.1 Analysis'!$B$4:$B$25</c:f>
              <c:strCache>
                <c:ptCount val="21"/>
                <c:pt idx="0">
                  <c:v>Norway</c:v>
                </c:pt>
                <c:pt idx="1">
                  <c:v>Argentina</c:v>
                </c:pt>
                <c:pt idx="2">
                  <c:v>Poland</c:v>
                </c:pt>
                <c:pt idx="3">
                  <c:v>Ireland</c:v>
                </c:pt>
                <c:pt idx="4">
                  <c:v>Mexico</c:v>
                </c:pt>
                <c:pt idx="5">
                  <c:v>Portugal</c:v>
                </c:pt>
                <c:pt idx="6">
                  <c:v>Denmark</c:v>
                </c:pt>
                <c:pt idx="7">
                  <c:v>Switzerland</c:v>
                </c:pt>
                <c:pt idx="8">
                  <c:v>UK</c:v>
                </c:pt>
                <c:pt idx="9">
                  <c:v>Austria</c:v>
                </c:pt>
                <c:pt idx="10">
                  <c:v>Belgium</c:v>
                </c:pt>
                <c:pt idx="11">
                  <c:v>Finland</c:v>
                </c:pt>
                <c:pt idx="12">
                  <c:v>Italy</c:v>
                </c:pt>
                <c:pt idx="13">
                  <c:v>Sweden</c:v>
                </c:pt>
                <c:pt idx="14">
                  <c:v>Spain</c:v>
                </c:pt>
                <c:pt idx="15">
                  <c:v>Canada</c:v>
                </c:pt>
                <c:pt idx="16">
                  <c:v>Venezuela</c:v>
                </c:pt>
                <c:pt idx="17">
                  <c:v>Brazil</c:v>
                </c:pt>
                <c:pt idx="18">
                  <c:v>France</c:v>
                </c:pt>
                <c:pt idx="19">
                  <c:v>Germany</c:v>
                </c:pt>
                <c:pt idx="20">
                  <c:v>USA</c:v>
                </c:pt>
              </c:strCache>
            </c:strRef>
          </c:cat>
          <c:val>
            <c:numRef>
              <c:f>'Q-5.1 Analysis'!$C$4:$C$25</c:f>
              <c:numCache>
                <c:formatCode>General</c:formatCode>
                <c:ptCount val="22"/>
                <c:pt idx="0">
                  <c:v>6</c:v>
                </c:pt>
                <c:pt idx="1">
                  <c:v>7</c:v>
                </c:pt>
                <c:pt idx="2">
                  <c:v>7</c:v>
                </c:pt>
                <c:pt idx="3">
                  <c:v>8</c:v>
                </c:pt>
                <c:pt idx="4">
                  <c:v>8</c:v>
                </c:pt>
                <c:pt idx="5">
                  <c:v>8</c:v>
                </c:pt>
                <c:pt idx="6">
                  <c:v>15</c:v>
                </c:pt>
                <c:pt idx="7">
                  <c:v>15</c:v>
                </c:pt>
                <c:pt idx="8">
                  <c:v>15</c:v>
                </c:pt>
                <c:pt idx="9">
                  <c:v>16</c:v>
                </c:pt>
                <c:pt idx="10">
                  <c:v>16</c:v>
                </c:pt>
                <c:pt idx="11">
                  <c:v>16</c:v>
                </c:pt>
                <c:pt idx="12">
                  <c:v>16</c:v>
                </c:pt>
                <c:pt idx="13">
                  <c:v>16</c:v>
                </c:pt>
                <c:pt idx="14">
                  <c:v>19</c:v>
                </c:pt>
                <c:pt idx="15">
                  <c:v>21</c:v>
                </c:pt>
                <c:pt idx="16">
                  <c:v>27</c:v>
                </c:pt>
                <c:pt idx="17">
                  <c:v>30</c:v>
                </c:pt>
                <c:pt idx="18">
                  <c:v>61</c:v>
                </c:pt>
                <c:pt idx="19">
                  <c:v>75</c:v>
                </c:pt>
                <c:pt idx="20">
                  <c:v>80</c:v>
                </c:pt>
              </c:numCache>
            </c:numRef>
          </c:val>
          <c:extLst>
            <c:ext xmlns:c16="http://schemas.microsoft.com/office/drawing/2014/chart" uri="{C3380CC4-5D6E-409C-BE32-E72D297353CC}">
              <c16:uniqueId val="{00000000-99B9-5C41-B6E1-E6CBA6930AD1}"/>
            </c:ext>
          </c:extLst>
        </c:ser>
        <c:dLbls>
          <c:showLegendKey val="0"/>
          <c:showVal val="0"/>
          <c:showCatName val="1"/>
          <c:showSerName val="0"/>
          <c:showPercent val="0"/>
          <c:showBubbleSize val="0"/>
        </c:dLbls>
        <c:gapWidth val="100"/>
        <c:overlap val="-24"/>
        <c:axId val="2070911552"/>
        <c:axId val="2070913344"/>
      </c:barChart>
      <c:catAx>
        <c:axId val="20709115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70913344"/>
        <c:crosses val="autoZero"/>
        <c:auto val="1"/>
        <c:lblAlgn val="ctr"/>
        <c:lblOffset val="100"/>
        <c:noMultiLvlLbl val="0"/>
      </c:catAx>
      <c:valAx>
        <c:axId val="207091334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709115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rgbClr val="FFFFFF">
                    <a:lumMod val="95000"/>
                  </a:srgbClr>
                </a:solidFill>
                <a:effectLst>
                  <a:outerShdw blurRad="50800" dist="38100" dir="5400000" algn="t" rotWithShape="0">
                    <a:prstClr val="black">
                      <a:alpha val="40000"/>
                    </a:prstClr>
                  </a:outerShdw>
                </a:effectLst>
                <a:latin typeface="+mn-lt"/>
                <a:ea typeface="+mn-ea"/>
                <a:cs typeface="+mn-cs"/>
              </a:defRPr>
            </a:pPr>
            <a:r>
              <a:rPr lang="en-IN" b="1"/>
              <a:t>Order Count by Product Category with Trend Analysis</a:t>
            </a: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rgbClr val="FFFFFF">
                  <a:lumMod val="95000"/>
                </a:srgb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lotArea>
      <c:layout/>
      <c:barChart>
        <c:barDir val="col"/>
        <c:grouping val="clustered"/>
        <c:varyColors val="0"/>
        <c:ser>
          <c:idx val="0"/>
          <c:order val="0"/>
          <c:tx>
            <c:strRef>
              <c:f>'Q-5.1 Analysis'!$C$33</c:f>
              <c:strCache>
                <c:ptCount val="1"/>
                <c:pt idx="0">
                  <c:v>Order Count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showLegendKey val="0"/>
            <c:showVal val="0"/>
            <c:showCatName val="1"/>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trendline>
            <c:spPr>
              <a:ln w="19050" cap="rnd">
                <a:solidFill>
                  <a:schemeClr val="accent1"/>
                </a:solidFill>
              </a:ln>
              <a:effectLst/>
            </c:spPr>
            <c:trendlineType val="linear"/>
            <c:dispRSqr val="1"/>
            <c:dispEq val="1"/>
            <c:trendlineLbl>
              <c:layout>
                <c:manualLayout>
                  <c:x val="-0.16978233694601597"/>
                  <c:y val="-0.18907398831203218"/>
                </c:manualLayout>
              </c:layout>
              <c:numFmt formatCode="General" sourceLinked="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trendlineLbl>
          </c:trendline>
          <c:cat>
            <c:strRef>
              <c:f>'Q-5.1 Analysis'!$B$34:$B$42</c:f>
              <c:strCache>
                <c:ptCount val="8"/>
                <c:pt idx="0">
                  <c:v>Beverages</c:v>
                </c:pt>
                <c:pt idx="1">
                  <c:v>Condiments</c:v>
                </c:pt>
                <c:pt idx="2">
                  <c:v>Confections</c:v>
                </c:pt>
                <c:pt idx="3">
                  <c:v>Dairy Products</c:v>
                </c:pt>
                <c:pt idx="4">
                  <c:v>Grains/Cereals</c:v>
                </c:pt>
                <c:pt idx="5">
                  <c:v>Meat/Poultry</c:v>
                </c:pt>
                <c:pt idx="6">
                  <c:v>Produce</c:v>
                </c:pt>
                <c:pt idx="7">
                  <c:v>Seafood</c:v>
                </c:pt>
              </c:strCache>
            </c:strRef>
          </c:cat>
          <c:val>
            <c:numRef>
              <c:f>'Q-5.1 Analysis'!$C$34:$C$42</c:f>
              <c:numCache>
                <c:formatCode>General</c:formatCode>
                <c:ptCount val="9"/>
                <c:pt idx="0">
                  <c:v>320</c:v>
                </c:pt>
                <c:pt idx="1">
                  <c:v>178</c:v>
                </c:pt>
                <c:pt idx="2">
                  <c:v>274</c:v>
                </c:pt>
                <c:pt idx="3">
                  <c:v>272</c:v>
                </c:pt>
                <c:pt idx="4">
                  <c:v>171</c:v>
                </c:pt>
                <c:pt idx="5">
                  <c:v>151</c:v>
                </c:pt>
                <c:pt idx="6">
                  <c:v>116</c:v>
                </c:pt>
                <c:pt idx="7">
                  <c:v>266</c:v>
                </c:pt>
              </c:numCache>
            </c:numRef>
          </c:val>
          <c:extLst>
            <c:ext xmlns:c16="http://schemas.microsoft.com/office/drawing/2014/chart" uri="{C3380CC4-5D6E-409C-BE32-E72D297353CC}">
              <c16:uniqueId val="{00000000-87C3-AD48-A240-8A5866CA3429}"/>
            </c:ext>
          </c:extLst>
        </c:ser>
        <c:dLbls>
          <c:showLegendKey val="0"/>
          <c:showVal val="0"/>
          <c:showCatName val="1"/>
          <c:showSerName val="0"/>
          <c:showPercent val="0"/>
          <c:showBubbleSize val="0"/>
        </c:dLbls>
        <c:gapWidth val="100"/>
        <c:overlap val="-24"/>
        <c:axId val="2057647232"/>
        <c:axId val="2057649024"/>
      </c:barChart>
      <c:catAx>
        <c:axId val="20576472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57649024"/>
        <c:crosses val="autoZero"/>
        <c:auto val="1"/>
        <c:lblAlgn val="ctr"/>
        <c:lblOffset val="100"/>
        <c:noMultiLvlLbl val="0"/>
      </c:catAx>
      <c:valAx>
        <c:axId val="205764902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576472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[PAVAN KUMAR MAGANDI_CAPSTONE PROJECT_SALES ANALYTICS.xlsx]Q-5.2 Analysis!PivotTable18</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Customer Frequency Analysis: Orders &amp; Customer Count</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'Q-5.2 Analysis'!$C$3</c:f>
              <c:strCache>
                <c:ptCount val="1"/>
                <c:pt idx="0">
                  <c:v>Count of Customers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'Q-5.2 Analysis'!$B$4:$B$8</c:f>
              <c:strCache>
                <c:ptCount val="4"/>
                <c:pt idx="0">
                  <c:v>High Frequency (&lt;=30d)</c:v>
                </c:pt>
                <c:pt idx="1">
                  <c:v>Infrequent (&gt;180d)</c:v>
                </c:pt>
                <c:pt idx="2">
                  <c:v>Low Frequency (91-180d)</c:v>
                </c:pt>
                <c:pt idx="3">
                  <c:v>Medium Frequency (31-90d)</c:v>
                </c:pt>
              </c:strCache>
            </c:strRef>
          </c:cat>
          <c:val>
            <c:numRef>
              <c:f>'Q-5.2 Analysis'!$C$4:$C$8</c:f>
              <c:numCache>
                <c:formatCode>General</c:formatCode>
                <c:ptCount val="4"/>
                <c:pt idx="0">
                  <c:v>4</c:v>
                </c:pt>
                <c:pt idx="1">
                  <c:v>7</c:v>
                </c:pt>
                <c:pt idx="2">
                  <c:v>22</c:v>
                </c:pt>
                <c:pt idx="3">
                  <c:v>56</c:v>
                </c:pt>
              </c:numCache>
            </c:numRef>
          </c:val>
          <c:extLst>
            <c:ext xmlns:c16="http://schemas.microsoft.com/office/drawing/2014/chart" uri="{C3380CC4-5D6E-409C-BE32-E72D297353CC}">
              <c16:uniqueId val="{00000000-DF2F-B344-ADAD-1890297FEE92}"/>
            </c:ext>
          </c:extLst>
        </c:ser>
        <c:dLbls>
          <c:showLegendKey val="0"/>
          <c:showVal val="0"/>
          <c:showCatName val="0"/>
          <c:showSerName val="0"/>
          <c:showPercent val="0"/>
          <c:showBubbleSize val="0"/>
        </c:dLbls>
        <c:gapWidth val="219"/>
        <c:axId val="2051415936"/>
        <c:axId val="2051411008"/>
      </c:barChart>
      <c:lineChart>
        <c:grouping val="standard"/>
        <c:varyColors val="0"/>
        <c:ser>
          <c:idx val="1"/>
          <c:order val="1"/>
          <c:tx>
            <c:strRef>
              <c:f>'Q-5.2 Analysis'!$D$3</c:f>
              <c:strCache>
                <c:ptCount val="1"/>
                <c:pt idx="0">
                  <c:v>Total Orders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'Q-5.2 Analysis'!$B$4:$B$8</c:f>
              <c:strCache>
                <c:ptCount val="4"/>
                <c:pt idx="0">
                  <c:v>High Frequency (&lt;=30d)</c:v>
                </c:pt>
                <c:pt idx="1">
                  <c:v>Infrequent (&gt;180d)</c:v>
                </c:pt>
                <c:pt idx="2">
                  <c:v>Low Frequency (91-180d)</c:v>
                </c:pt>
                <c:pt idx="3">
                  <c:v>Medium Frequency (31-90d)</c:v>
                </c:pt>
              </c:strCache>
            </c:strRef>
          </c:cat>
          <c:val>
            <c:numRef>
              <c:f>'Q-5.2 Analysis'!$D$4:$D$8</c:f>
              <c:numCache>
                <c:formatCode>General</c:formatCode>
                <c:ptCount val="4"/>
                <c:pt idx="0">
                  <c:v>86</c:v>
                </c:pt>
                <c:pt idx="1">
                  <c:v>20</c:v>
                </c:pt>
                <c:pt idx="2">
                  <c:v>99</c:v>
                </c:pt>
                <c:pt idx="3">
                  <c:v>555</c:v>
                </c:pt>
              </c:numCache>
            </c:numRef>
          </c:val>
          <c:smooth val="0"/>
          <c:extLst>
            <c:ext xmlns:c16="http://schemas.microsoft.com/office/drawing/2014/chart" uri="{C3380CC4-5D6E-409C-BE32-E72D297353CC}">
              <c16:uniqueId val="{00000001-DF2F-B344-ADAD-1890297FEE92}"/>
            </c:ext>
          </c:extLst>
        </c:ser>
        <c:dLbls>
          <c:showLegendKey val="0"/>
          <c:showVal val="0"/>
          <c:showCatName val="0"/>
          <c:showSerName val="0"/>
          <c:showPercent val="0"/>
          <c:showBubbleSize val="0"/>
        </c:dLbls>
        <c:marker val="1"/>
        <c:smooth val="0"/>
        <c:axId val="2051770112"/>
        <c:axId val="2058795008"/>
      </c:lineChart>
      <c:catAx>
        <c:axId val="20514159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51411008"/>
        <c:crosses val="autoZero"/>
        <c:auto val="1"/>
        <c:lblAlgn val="ctr"/>
        <c:lblOffset val="100"/>
        <c:noMultiLvlLbl val="0"/>
      </c:catAx>
      <c:valAx>
        <c:axId val="205141100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51415936"/>
        <c:crosses val="autoZero"/>
        <c:crossBetween val="between"/>
      </c:valAx>
      <c:valAx>
        <c:axId val="2058795008"/>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51770112"/>
        <c:crosses val="max"/>
        <c:crossBetween val="between"/>
      </c:valAx>
      <c:catAx>
        <c:axId val="2051770112"/>
        <c:scaling>
          <c:orientation val="minMax"/>
        </c:scaling>
        <c:delete val="1"/>
        <c:axPos val="b"/>
        <c:numFmt formatCode="General" sourceLinked="1"/>
        <c:majorTickMark val="none"/>
        <c:minorTickMark val="none"/>
        <c:tickLblPos val="nextTo"/>
        <c:crossAx val="205879500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[PAVAN KUMAR MAGANDI_CAPSTONE PROJECT_SALES ANALYTICS.xlsx]Q-6 Analysis!PivotTable19</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Total by City</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'Q-6 Analysis'!$C$3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multiLvlStrRef>
              <c:f>'Q-6 Analysis'!$B$4:$B$10</c:f>
              <c:multiLvlStrCache>
                <c:ptCount val="4"/>
                <c:lvl>
                  <c:pt idx="0">
                    <c:v>London</c:v>
                  </c:pt>
                  <c:pt idx="1">
                    <c:v>Kirkland</c:v>
                  </c:pt>
                  <c:pt idx="2">
                    <c:v>Redmond</c:v>
                  </c:pt>
                  <c:pt idx="3">
                    <c:v>Seattle</c:v>
                  </c:pt>
                </c:lvl>
                <c:lvl>
                  <c:pt idx="0">
                    <c:v>UK</c:v>
                  </c:pt>
                  <c:pt idx="1">
                    <c:v>USA</c:v>
                  </c:pt>
                </c:lvl>
              </c:multiLvlStrCache>
            </c:multiLvlStrRef>
          </c:cat>
          <c:val>
            <c:numRef>
              <c:f>'Q-6 Analysis'!$C$4:$C$10</c:f>
              <c:numCache>
                <c:formatCode>General</c:formatCode>
                <c:ptCount val="4"/>
                <c:pt idx="0">
                  <c:v>4</c:v>
                </c:pt>
                <c:pt idx="1">
                  <c:v>1</c:v>
                </c:pt>
                <c:pt idx="2">
                  <c:v>1</c:v>
                </c:pt>
                <c:pt idx="3">
                  <c:v>2</c:v>
                </c:pt>
              </c:numCache>
            </c:numRef>
          </c:val>
          <c:extLst>
            <c:ext xmlns:c16="http://schemas.microsoft.com/office/drawing/2014/chart" uri="{C3380CC4-5D6E-409C-BE32-E72D297353CC}">
              <c16:uniqueId val="{00000000-BE80-D54A-8FA2-2A5A95FA4514}"/>
            </c:ext>
          </c:extLst>
        </c:ser>
        <c:dLbls>
          <c:showLegendKey val="0"/>
          <c:showVal val="0"/>
          <c:showCatName val="0"/>
          <c:showSerName val="0"/>
          <c:showPercent val="0"/>
          <c:showBubbleSize val="0"/>
        </c:dLbls>
        <c:gapWidth val="100"/>
        <c:overlap val="-24"/>
        <c:axId val="2070916480"/>
        <c:axId val="2057615360"/>
      </c:barChart>
      <c:catAx>
        <c:axId val="20709164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57615360"/>
        <c:crosses val="autoZero"/>
        <c:auto val="1"/>
        <c:lblAlgn val="ctr"/>
        <c:lblOffset val="100"/>
        <c:noMultiLvlLbl val="0"/>
      </c:catAx>
      <c:valAx>
        <c:axId val="205761536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70916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rgbClr val="FFFFFF">
                    <a:lumMod val="95000"/>
                  </a:srgbClr>
                </a:solidFill>
                <a:effectLst>
                  <a:outerShdw blurRad="50800" dist="38100" dir="5400000" algn="t" rotWithShape="0">
                    <a:prstClr val="black">
                      <a:alpha val="40000"/>
                    </a:prstClr>
                  </a:outerShdw>
                </a:effectLst>
                <a:latin typeface="+mn-lt"/>
                <a:ea typeface="+mn-ea"/>
                <a:cs typeface="+mn-cs"/>
              </a:defRPr>
            </a:pPr>
            <a:r>
              <a:rPr lang="en-IN" b="1"/>
              <a:t>Sales Roles Distribution by Region (UK &amp; USA)</a:t>
            </a: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rgbClr val="FFFFFF">
                  <a:lumMod val="95000"/>
                </a:srgb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UK</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3"/>
              <c:pt idx="0">
                <c:v>Inside Sales Coordinator</c:v>
              </c:pt>
              <c:pt idx="1">
                <c:v>Sales Manager</c:v>
              </c:pt>
              <c:pt idx="2">
                <c:v>Sales Representative</c:v>
              </c:pt>
            </c:strLit>
          </c:cat>
          <c:val>
            <c:numLit>
              <c:formatCode>General</c:formatCode>
              <c:ptCount val="3"/>
              <c:pt idx="0">
                <c:v>0</c:v>
              </c:pt>
              <c:pt idx="1">
                <c:v>1</c:v>
              </c:pt>
              <c:pt idx="2">
                <c:v>0</c:v>
              </c:pt>
            </c:numLit>
          </c:val>
          <c:extLst>
            <c:ext xmlns:c16="http://schemas.microsoft.com/office/drawing/2014/chart" uri="{C3380CC4-5D6E-409C-BE32-E72D297353CC}">
              <c16:uniqueId val="{00000000-F977-A044-A020-7145582F1E34}"/>
            </c:ext>
          </c:extLst>
        </c:ser>
        <c:ser>
          <c:idx val="1"/>
          <c:order val="1"/>
          <c:tx>
            <c:v>UK, USA</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3"/>
              <c:pt idx="0">
                <c:v>Inside Sales Coordinator</c:v>
              </c:pt>
              <c:pt idx="1">
                <c:v>Sales Manager</c:v>
              </c:pt>
              <c:pt idx="2">
                <c:v>Sales Representative</c:v>
              </c:pt>
            </c:strLit>
          </c:cat>
          <c:val>
            <c:numLit>
              <c:formatCode>General</c:formatCode>
              <c:ptCount val="3"/>
              <c:pt idx="0">
                <c:v>0</c:v>
              </c:pt>
              <c:pt idx="1">
                <c:v>0</c:v>
              </c:pt>
              <c:pt idx="2">
                <c:v>6</c:v>
              </c:pt>
            </c:numLit>
          </c:val>
          <c:extLst>
            <c:ext xmlns:c16="http://schemas.microsoft.com/office/drawing/2014/chart" uri="{C3380CC4-5D6E-409C-BE32-E72D297353CC}">
              <c16:uniqueId val="{00000001-F977-A044-A020-7145582F1E34}"/>
            </c:ext>
          </c:extLst>
        </c:ser>
        <c:ser>
          <c:idx val="2"/>
          <c:order val="2"/>
          <c:tx>
            <c:v>USA</c:v>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3"/>
              <c:pt idx="0">
                <c:v>Inside Sales Coordinator</c:v>
              </c:pt>
              <c:pt idx="1">
                <c:v>Sales Manager</c:v>
              </c:pt>
              <c:pt idx="2">
                <c:v>Sales Representative</c:v>
              </c:pt>
            </c:strLit>
          </c:cat>
          <c:val>
            <c:numLit>
              <c:formatCode>General</c:formatCode>
              <c:ptCount val="3"/>
              <c:pt idx="0">
                <c:v>1</c:v>
              </c:pt>
              <c:pt idx="1">
                <c:v>0</c:v>
              </c:pt>
              <c:pt idx="2">
                <c:v>0</c:v>
              </c:pt>
            </c:numLit>
          </c:val>
          <c:extLst>
            <c:ext xmlns:c16="http://schemas.microsoft.com/office/drawing/2014/chart" uri="{C3380CC4-5D6E-409C-BE32-E72D297353CC}">
              <c16:uniqueId val="{00000002-F977-A044-A020-7145582F1E34}"/>
            </c:ext>
          </c:extLst>
        </c:ser>
        <c:dLbls>
          <c:showLegendKey val="0"/>
          <c:showVal val="0"/>
          <c:showCatName val="0"/>
          <c:showSerName val="0"/>
          <c:showPercent val="0"/>
          <c:showBubbleSize val="0"/>
        </c:dLbls>
        <c:gapWidth val="100"/>
        <c:overlap val="-24"/>
        <c:axId val="2050951808"/>
        <c:axId val="2050960320"/>
      </c:barChart>
      <c:catAx>
        <c:axId val="20509518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50960320"/>
        <c:crosses val="autoZero"/>
        <c:auto val="1"/>
        <c:lblAlgn val="ctr"/>
        <c:lblOffset val="100"/>
        <c:noMultiLvlLbl val="0"/>
      </c:catAx>
      <c:valAx>
        <c:axId val="205096032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509518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[PAVAN KUMAR MAGANDI_CAPSTONE PROJECT_SALES ANALYTICS.xlsx]Q-7 Analysis!PivotTable22</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rgbClr val="FFFFFF">
                    <a:lumMod val="95000"/>
                  </a:srgbClr>
                </a:solidFill>
                <a:effectLst>
                  <a:outerShdw blurRad="50800" dist="38100" dir="5400000" algn="t" rotWithShape="0">
                    <a:prstClr val="black">
                      <a:alpha val="40000"/>
                    </a:prstClr>
                  </a:outerShdw>
                </a:effectLst>
                <a:latin typeface="+mn-lt"/>
                <a:ea typeface="+mn-ea"/>
                <a:cs typeface="+mn-cs"/>
              </a:defRPr>
            </a:pPr>
            <a:r>
              <a:rPr lang="en-IN" b="1"/>
              <a:t>Sales Roles Distribution by Year (1992–1994)</a:t>
            </a: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rgbClr val="FFFFFF">
                  <a:lumMod val="95000"/>
                </a:srgb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'Q-7 Analysis'!$C$3:$C$5</c:f>
              <c:strCache>
                <c:ptCount val="1"/>
                <c:pt idx="0">
                  <c:v>1992</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'Q-7 Analysis'!$B$6:$B$9</c:f>
              <c:strCache>
                <c:ptCount val="3"/>
                <c:pt idx="0">
                  <c:v>Inside Sales Coordinator</c:v>
                </c:pt>
                <c:pt idx="1">
                  <c:v>Sales Manager</c:v>
                </c:pt>
                <c:pt idx="2">
                  <c:v>Sales Representative</c:v>
                </c:pt>
              </c:strCache>
            </c:strRef>
          </c:cat>
          <c:val>
            <c:numRef>
              <c:f>'Q-7 Analysis'!$C$6:$C$9</c:f>
              <c:numCache>
                <c:formatCode>General</c:formatCode>
                <c:ptCount val="3"/>
                <c:pt idx="2">
                  <c:v>2</c:v>
                </c:pt>
              </c:numCache>
            </c:numRef>
          </c:val>
          <c:extLst>
            <c:ext xmlns:c16="http://schemas.microsoft.com/office/drawing/2014/chart" uri="{C3380CC4-5D6E-409C-BE32-E72D297353CC}">
              <c16:uniqueId val="{00000000-3D5F-8A44-83DA-4D0CDD8A894F}"/>
            </c:ext>
          </c:extLst>
        </c:ser>
        <c:ser>
          <c:idx val="1"/>
          <c:order val="1"/>
          <c:tx>
            <c:strRef>
              <c:f>'Q-7 Analysis'!$D$3:$D$5</c:f>
              <c:strCache>
                <c:ptCount val="1"/>
                <c:pt idx="0">
                  <c:v>1993</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'Q-7 Analysis'!$B$6:$B$9</c:f>
              <c:strCache>
                <c:ptCount val="3"/>
                <c:pt idx="0">
                  <c:v>Inside Sales Coordinator</c:v>
                </c:pt>
                <c:pt idx="1">
                  <c:v>Sales Manager</c:v>
                </c:pt>
                <c:pt idx="2">
                  <c:v>Sales Representative</c:v>
                </c:pt>
              </c:strCache>
            </c:strRef>
          </c:cat>
          <c:val>
            <c:numRef>
              <c:f>'Q-7 Analysis'!$D$6:$D$9</c:f>
              <c:numCache>
                <c:formatCode>General</c:formatCode>
                <c:ptCount val="3"/>
                <c:pt idx="1">
                  <c:v>1</c:v>
                </c:pt>
                <c:pt idx="2">
                  <c:v>2</c:v>
                </c:pt>
              </c:numCache>
            </c:numRef>
          </c:val>
          <c:extLst>
            <c:ext xmlns:c16="http://schemas.microsoft.com/office/drawing/2014/chart" uri="{C3380CC4-5D6E-409C-BE32-E72D297353CC}">
              <c16:uniqueId val="{00000001-3D5F-8A44-83DA-4D0CDD8A894F}"/>
            </c:ext>
          </c:extLst>
        </c:ser>
        <c:ser>
          <c:idx val="2"/>
          <c:order val="2"/>
          <c:tx>
            <c:strRef>
              <c:f>'Q-7 Analysis'!$E$3:$E$5</c:f>
              <c:strCache>
                <c:ptCount val="1"/>
                <c:pt idx="0">
                  <c:v>1994</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'Q-7 Analysis'!$B$6:$B$9</c:f>
              <c:strCache>
                <c:ptCount val="3"/>
                <c:pt idx="0">
                  <c:v>Inside Sales Coordinator</c:v>
                </c:pt>
                <c:pt idx="1">
                  <c:v>Sales Manager</c:v>
                </c:pt>
                <c:pt idx="2">
                  <c:v>Sales Representative</c:v>
                </c:pt>
              </c:strCache>
            </c:strRef>
          </c:cat>
          <c:val>
            <c:numRef>
              <c:f>'Q-7 Analysis'!$E$6:$E$9</c:f>
              <c:numCache>
                <c:formatCode>General</c:formatCode>
                <c:ptCount val="3"/>
                <c:pt idx="0">
                  <c:v>1</c:v>
                </c:pt>
                <c:pt idx="2">
                  <c:v>2</c:v>
                </c:pt>
              </c:numCache>
            </c:numRef>
          </c:val>
          <c:extLst>
            <c:ext xmlns:c16="http://schemas.microsoft.com/office/drawing/2014/chart" uri="{C3380CC4-5D6E-409C-BE32-E72D297353CC}">
              <c16:uniqueId val="{00000002-3D5F-8A44-83DA-4D0CDD8A894F}"/>
            </c:ext>
          </c:extLst>
        </c:ser>
        <c:dLbls>
          <c:showLegendKey val="0"/>
          <c:showVal val="0"/>
          <c:showCatName val="0"/>
          <c:showSerName val="0"/>
          <c:showPercent val="0"/>
          <c:showBubbleSize val="0"/>
        </c:dLbls>
        <c:gapWidth val="100"/>
        <c:overlap val="-24"/>
        <c:axId val="2058903424"/>
        <c:axId val="2050939008"/>
      </c:barChart>
      <c:catAx>
        <c:axId val="20589034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50939008"/>
        <c:crosses val="autoZero"/>
        <c:auto val="1"/>
        <c:lblAlgn val="ctr"/>
        <c:lblOffset val="100"/>
        <c:noMultiLvlLbl val="0"/>
      </c:catAx>
      <c:valAx>
        <c:axId val="205093900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58903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[PAVAN KUMAR MAGANDI_CAPSTONE PROJECT_SALES ANALYTICS.xlsx]Q-7 Analysis!PivotTable23</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rgbClr val="FFFFFF">
                    <a:lumMod val="95000"/>
                  </a:srgbClr>
                </a:solidFill>
                <a:effectLst>
                  <a:outerShdw blurRad="50800" dist="38100" dir="5400000" algn="t" rotWithShape="0">
                    <a:prstClr val="black">
                      <a:alpha val="40000"/>
                    </a:prstClr>
                  </a:outerShdw>
                </a:effectLst>
                <a:latin typeface="+mn-lt"/>
                <a:ea typeface="+mn-ea"/>
                <a:cs typeface="+mn-cs"/>
              </a:defRPr>
            </a:pPr>
            <a:r>
              <a:rPr lang="en-IN" b="1"/>
              <a:t>Average Tenure and Age by Sales Role</a:t>
            </a: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rgbClr val="FFFFFF">
                  <a:lumMod val="95000"/>
                </a:srgb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'Q-7 Analysis'!$C$21</c:f>
              <c:strCache>
                <c:ptCount val="1"/>
                <c:pt idx="0">
                  <c:v>Average Tenure Years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'Q-7 Analysis'!$B$22:$B$25</c:f>
              <c:strCache>
                <c:ptCount val="3"/>
                <c:pt idx="0">
                  <c:v>Inside Sales Coordinator</c:v>
                </c:pt>
                <c:pt idx="1">
                  <c:v>Sales Manager</c:v>
                </c:pt>
                <c:pt idx="2">
                  <c:v>Sales Representative</c:v>
                </c:pt>
              </c:strCache>
            </c:strRef>
          </c:cat>
          <c:val>
            <c:numRef>
              <c:f>'Q-7 Analysis'!$C$22:$C$25</c:f>
              <c:numCache>
                <c:formatCode>General</c:formatCode>
                <c:ptCount val="3"/>
                <c:pt idx="0">
                  <c:v>32</c:v>
                </c:pt>
                <c:pt idx="1">
                  <c:v>32</c:v>
                </c:pt>
                <c:pt idx="2">
                  <c:v>32.5</c:v>
                </c:pt>
              </c:numCache>
            </c:numRef>
          </c:val>
          <c:extLst>
            <c:ext xmlns:c16="http://schemas.microsoft.com/office/drawing/2014/chart" uri="{C3380CC4-5D6E-409C-BE32-E72D297353CC}">
              <c16:uniqueId val="{00000000-244F-1F49-B89F-9DAAE1DA5B0B}"/>
            </c:ext>
          </c:extLst>
        </c:ser>
        <c:dLbls>
          <c:showLegendKey val="0"/>
          <c:showVal val="0"/>
          <c:showCatName val="0"/>
          <c:showSerName val="0"/>
          <c:showPercent val="0"/>
          <c:showBubbleSize val="0"/>
        </c:dLbls>
        <c:gapWidth val="219"/>
        <c:axId val="2044633408"/>
        <c:axId val="2044631168"/>
      </c:barChart>
      <c:lineChart>
        <c:grouping val="standard"/>
        <c:varyColors val="0"/>
        <c:ser>
          <c:idx val="1"/>
          <c:order val="1"/>
          <c:tx>
            <c:strRef>
              <c:f>'Q-7 Analysis'!$D$21</c:f>
              <c:strCache>
                <c:ptCount val="1"/>
                <c:pt idx="0">
                  <c:v>Average Current Age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'Q-7 Analysis'!$B$22:$B$25</c:f>
              <c:strCache>
                <c:ptCount val="3"/>
                <c:pt idx="0">
                  <c:v>Inside Sales Coordinator</c:v>
                </c:pt>
                <c:pt idx="1">
                  <c:v>Sales Manager</c:v>
                </c:pt>
                <c:pt idx="2">
                  <c:v>Sales Representative</c:v>
                </c:pt>
              </c:strCache>
            </c:strRef>
          </c:cat>
          <c:val>
            <c:numRef>
              <c:f>'Q-7 Analysis'!$D$22:$D$25</c:f>
              <c:numCache>
                <c:formatCode>General</c:formatCode>
                <c:ptCount val="3"/>
                <c:pt idx="0">
                  <c:v>68</c:v>
                </c:pt>
                <c:pt idx="1">
                  <c:v>71</c:v>
                </c:pt>
                <c:pt idx="2">
                  <c:v>69</c:v>
                </c:pt>
              </c:numCache>
            </c:numRef>
          </c:val>
          <c:smooth val="0"/>
          <c:extLst>
            <c:ext xmlns:c16="http://schemas.microsoft.com/office/drawing/2014/chart" uri="{C3380CC4-5D6E-409C-BE32-E72D297353CC}">
              <c16:uniqueId val="{00000001-244F-1F49-B89F-9DAAE1DA5B0B}"/>
            </c:ext>
          </c:extLst>
        </c:ser>
        <c:dLbls>
          <c:showLegendKey val="0"/>
          <c:showVal val="0"/>
          <c:showCatName val="0"/>
          <c:showSerName val="0"/>
          <c:showPercent val="0"/>
          <c:showBubbleSize val="0"/>
        </c:dLbls>
        <c:marker val="1"/>
        <c:smooth val="0"/>
        <c:axId val="2044968960"/>
        <c:axId val="2044982848"/>
      </c:lineChart>
      <c:catAx>
        <c:axId val="20446334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44631168"/>
        <c:crosses val="autoZero"/>
        <c:auto val="1"/>
        <c:lblAlgn val="ctr"/>
        <c:lblOffset val="100"/>
        <c:noMultiLvlLbl val="0"/>
      </c:catAx>
      <c:valAx>
        <c:axId val="204463116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44633408"/>
        <c:crosses val="autoZero"/>
        <c:crossBetween val="between"/>
      </c:valAx>
      <c:valAx>
        <c:axId val="2044982848"/>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44968960"/>
        <c:crosses val="max"/>
        <c:crossBetween val="between"/>
      </c:valAx>
      <c:catAx>
        <c:axId val="2044968960"/>
        <c:scaling>
          <c:orientation val="minMax"/>
        </c:scaling>
        <c:delete val="1"/>
        <c:axPos val="b"/>
        <c:numFmt formatCode="General" sourceLinked="1"/>
        <c:majorTickMark val="none"/>
        <c:minorTickMark val="none"/>
        <c:tickLblPos val="nextTo"/>
        <c:crossAx val="2044982848"/>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[PAVAN KUMAR MAGANDI_CAPSTONE PROJECT_SALES ANALYTICS.xlsx]Q-8 Analysis!PivotTable24</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Title Distribution by Sales Role</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'Q-8 Analysis'!$C$3:$C$4</c:f>
              <c:strCache>
                <c:ptCount val="1"/>
                <c:pt idx="0">
                  <c:v>Mr.</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'Q-8 Analysis'!$B$5:$B$8</c:f>
              <c:strCache>
                <c:ptCount val="3"/>
                <c:pt idx="0">
                  <c:v>Inside Sales Coordinator | Sales Representative</c:v>
                </c:pt>
                <c:pt idx="1">
                  <c:v>Sales Manager | Sales Representative</c:v>
                </c:pt>
                <c:pt idx="2">
                  <c:v>Sales Representative</c:v>
                </c:pt>
              </c:strCache>
            </c:strRef>
          </c:cat>
          <c:val>
            <c:numRef>
              <c:f>'Q-8 Analysis'!$C$5:$C$8</c:f>
              <c:numCache>
                <c:formatCode>General</c:formatCode>
                <c:ptCount val="3"/>
                <c:pt idx="1">
                  <c:v>3</c:v>
                </c:pt>
              </c:numCache>
            </c:numRef>
          </c:val>
          <c:extLst>
            <c:ext xmlns:c16="http://schemas.microsoft.com/office/drawing/2014/chart" uri="{C3380CC4-5D6E-409C-BE32-E72D297353CC}">
              <c16:uniqueId val="{00000000-F41F-EB4D-A4D9-3A35C12DB081}"/>
            </c:ext>
          </c:extLst>
        </c:ser>
        <c:ser>
          <c:idx val="1"/>
          <c:order val="1"/>
          <c:tx>
            <c:strRef>
              <c:f>'Q-8 Analysis'!$D$3:$D$4</c:f>
              <c:strCache>
                <c:ptCount val="1"/>
                <c:pt idx="0">
                  <c:v>Mrs.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'Q-8 Analysis'!$B$5:$B$8</c:f>
              <c:strCache>
                <c:ptCount val="3"/>
                <c:pt idx="0">
                  <c:v>Inside Sales Coordinator | Sales Representative</c:v>
                </c:pt>
                <c:pt idx="1">
                  <c:v>Sales Manager | Sales Representative</c:v>
                </c:pt>
                <c:pt idx="2">
                  <c:v>Sales Representative</c:v>
                </c:pt>
              </c:strCache>
            </c:strRef>
          </c:cat>
          <c:val>
            <c:numRef>
              <c:f>'Q-8 Analysis'!$D$5:$D$8</c:f>
              <c:numCache>
                <c:formatCode>General</c:formatCode>
                <c:ptCount val="3"/>
                <c:pt idx="2">
                  <c:v>1</c:v>
                </c:pt>
              </c:numCache>
            </c:numRef>
          </c:val>
          <c:extLst>
            <c:ext xmlns:c16="http://schemas.microsoft.com/office/drawing/2014/chart" uri="{C3380CC4-5D6E-409C-BE32-E72D297353CC}">
              <c16:uniqueId val="{00000001-F41F-EB4D-A4D9-3A35C12DB081}"/>
            </c:ext>
          </c:extLst>
        </c:ser>
        <c:ser>
          <c:idx val="2"/>
          <c:order val="2"/>
          <c:tx>
            <c:strRef>
              <c:f>'Q-8 Analysis'!$E$3:$E$4</c:f>
              <c:strCache>
                <c:ptCount val="1"/>
                <c:pt idx="0">
                  <c:v>Ms.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'Q-8 Analysis'!$B$5:$B$8</c:f>
              <c:strCache>
                <c:ptCount val="3"/>
                <c:pt idx="0">
                  <c:v>Inside Sales Coordinator | Sales Representative</c:v>
                </c:pt>
                <c:pt idx="1">
                  <c:v>Sales Manager | Sales Representative</c:v>
                </c:pt>
                <c:pt idx="2">
                  <c:v>Sales Representative</c:v>
                </c:pt>
              </c:strCache>
            </c:strRef>
          </c:cat>
          <c:val>
            <c:numRef>
              <c:f>'Q-8 Analysis'!$E$5:$E$8</c:f>
              <c:numCache>
                <c:formatCode>General</c:formatCode>
                <c:ptCount val="3"/>
                <c:pt idx="0">
                  <c:v>4</c:v>
                </c:pt>
              </c:numCache>
            </c:numRef>
          </c:val>
          <c:extLst>
            <c:ext xmlns:c16="http://schemas.microsoft.com/office/drawing/2014/chart" uri="{C3380CC4-5D6E-409C-BE32-E72D297353CC}">
              <c16:uniqueId val="{00000002-F41F-EB4D-A4D9-3A35C12DB081}"/>
            </c:ext>
          </c:extLst>
        </c:ser>
        <c:dLbls>
          <c:showLegendKey val="0"/>
          <c:showVal val="0"/>
          <c:showCatName val="0"/>
          <c:showSerName val="0"/>
          <c:showPercent val="0"/>
          <c:showBubbleSize val="0"/>
        </c:dLbls>
        <c:gapWidth val="100"/>
        <c:overlap val="-24"/>
        <c:axId val="2037339392"/>
        <c:axId val="2037341184"/>
      </c:barChart>
      <c:catAx>
        <c:axId val="20373393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37341184"/>
        <c:crosses val="autoZero"/>
        <c:auto val="1"/>
        <c:lblAlgn val="ctr"/>
        <c:lblOffset val="100"/>
        <c:noMultiLvlLbl val="0"/>
      </c:catAx>
      <c:valAx>
        <c:axId val="20373411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373393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[PAVAN KUMAR MAGANDI_CAPSTONE PROJECT_SALES ANALYTICS.xlsx]Q-8 Analysis!PivotTable25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Average Age and Tenure by Title and Sales Role</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'Q-8 Analysis'!$C$29:$C$31</c:f>
              <c:strCache>
                <c:ptCount val="1"/>
                <c:pt idx="0">
                  <c:v>Mr. - Average Age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'Q-8 Analysis'!$B$32:$B$35</c:f>
              <c:strCache>
                <c:ptCount val="3"/>
                <c:pt idx="0">
                  <c:v>Inside Sales Coordinator</c:v>
                </c:pt>
                <c:pt idx="1">
                  <c:v>Sales Manager</c:v>
                </c:pt>
                <c:pt idx="2">
                  <c:v>Sales Representative</c:v>
                </c:pt>
              </c:strCache>
            </c:strRef>
          </c:cat>
          <c:val>
            <c:numRef>
              <c:f>'Q-8 Analysis'!$C$32:$C$35</c:f>
              <c:numCache>
                <c:formatCode>General</c:formatCode>
                <c:ptCount val="3"/>
                <c:pt idx="1">
                  <c:v>71</c:v>
                </c:pt>
                <c:pt idx="2">
                  <c:v>63.5</c:v>
                </c:pt>
              </c:numCache>
            </c:numRef>
          </c:val>
          <c:extLst>
            <c:ext xmlns:c16="http://schemas.microsoft.com/office/drawing/2014/chart" uri="{C3380CC4-5D6E-409C-BE32-E72D297353CC}">
              <c16:uniqueId val="{00000000-CEE9-3F41-AFD9-F3C3E3CE6F3C}"/>
            </c:ext>
          </c:extLst>
        </c:ser>
        <c:ser>
          <c:idx val="1"/>
          <c:order val="1"/>
          <c:tx>
            <c:strRef>
              <c:f>'Q-8 Analysis'!$D$29:$D$31</c:f>
              <c:strCache>
                <c:ptCount val="1"/>
                <c:pt idx="0">
                  <c:v>Mr. - Average Tenure Years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'Q-8 Analysis'!$B$32:$B$35</c:f>
              <c:strCache>
                <c:ptCount val="3"/>
                <c:pt idx="0">
                  <c:v>Inside Sales Coordinator</c:v>
                </c:pt>
                <c:pt idx="1">
                  <c:v>Sales Manager</c:v>
                </c:pt>
                <c:pt idx="2">
                  <c:v>Sales Representative</c:v>
                </c:pt>
              </c:strCache>
            </c:strRef>
          </c:cat>
          <c:val>
            <c:numRef>
              <c:f>'Q-8 Analysis'!$D$32:$D$35</c:f>
              <c:numCache>
                <c:formatCode>General</c:formatCode>
                <c:ptCount val="3"/>
                <c:pt idx="1">
                  <c:v>32</c:v>
                </c:pt>
                <c:pt idx="2">
                  <c:v>32</c:v>
                </c:pt>
              </c:numCache>
            </c:numRef>
          </c:val>
          <c:extLst>
            <c:ext xmlns:c16="http://schemas.microsoft.com/office/drawing/2014/chart" uri="{C3380CC4-5D6E-409C-BE32-E72D297353CC}">
              <c16:uniqueId val="{00000001-CEE9-3F41-AFD9-F3C3E3CE6F3C}"/>
            </c:ext>
          </c:extLst>
        </c:ser>
        <c:ser>
          <c:idx val="2"/>
          <c:order val="2"/>
          <c:tx>
            <c:strRef>
              <c:f>'Q-8 Analysis'!$E$29:$E$31</c:f>
              <c:strCache>
                <c:ptCount val="1"/>
                <c:pt idx="0">
                  <c:v>Mrs. - Average Age</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'Q-8 Analysis'!$B$32:$B$35</c:f>
              <c:strCache>
                <c:ptCount val="3"/>
                <c:pt idx="0">
                  <c:v>Inside Sales Coordinator</c:v>
                </c:pt>
                <c:pt idx="1">
                  <c:v>Sales Manager</c:v>
                </c:pt>
                <c:pt idx="2">
                  <c:v>Sales Representative</c:v>
                </c:pt>
              </c:strCache>
            </c:strRef>
          </c:cat>
          <c:val>
            <c:numRef>
              <c:f>'Q-8 Analysis'!$E$32:$E$35</c:f>
              <c:numCache>
                <c:formatCode>General</c:formatCode>
                <c:ptCount val="3"/>
                <c:pt idx="2">
                  <c:v>88</c:v>
                </c:pt>
              </c:numCache>
            </c:numRef>
          </c:val>
          <c:extLst>
            <c:ext xmlns:c16="http://schemas.microsoft.com/office/drawing/2014/chart" uri="{C3380CC4-5D6E-409C-BE32-E72D297353CC}">
              <c16:uniqueId val="{00000002-CEE9-3F41-AFD9-F3C3E3CE6F3C}"/>
            </c:ext>
          </c:extLst>
        </c:ser>
        <c:ser>
          <c:idx val="3"/>
          <c:order val="3"/>
          <c:tx>
            <c:strRef>
              <c:f>'Q-8 Analysis'!$F$29:$F$31</c:f>
              <c:strCache>
                <c:ptCount val="1"/>
                <c:pt idx="0">
                  <c:v>Mrs. - Average Tenure Years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'Q-8 Analysis'!$B$32:$B$35</c:f>
              <c:strCache>
                <c:ptCount val="3"/>
                <c:pt idx="0">
                  <c:v>Inside Sales Coordinator</c:v>
                </c:pt>
                <c:pt idx="1">
                  <c:v>Sales Manager</c:v>
                </c:pt>
                <c:pt idx="2">
                  <c:v>Sales Representative</c:v>
                </c:pt>
              </c:strCache>
            </c:strRef>
          </c:cat>
          <c:val>
            <c:numRef>
              <c:f>'Q-8 Analysis'!$F$32:$F$35</c:f>
              <c:numCache>
                <c:formatCode>General</c:formatCode>
                <c:ptCount val="3"/>
                <c:pt idx="2">
                  <c:v>32</c:v>
                </c:pt>
              </c:numCache>
            </c:numRef>
          </c:val>
          <c:extLst>
            <c:ext xmlns:c16="http://schemas.microsoft.com/office/drawing/2014/chart" uri="{C3380CC4-5D6E-409C-BE32-E72D297353CC}">
              <c16:uniqueId val="{00000003-CEE9-3F41-AFD9-F3C3E3CE6F3C}"/>
            </c:ext>
          </c:extLst>
        </c:ser>
        <c:ser>
          <c:idx val="4"/>
          <c:order val="4"/>
          <c:tx>
            <c:strRef>
              <c:f>'Q-8 Analysis'!$G$29:$G$31</c:f>
              <c:strCache>
                <c:ptCount val="1"/>
                <c:pt idx="0">
                  <c:v>Ms. - Average Age</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'Q-8 Analysis'!$B$32:$B$35</c:f>
              <c:strCache>
                <c:ptCount val="3"/>
                <c:pt idx="0">
                  <c:v>Inside Sales Coordinator</c:v>
                </c:pt>
                <c:pt idx="1">
                  <c:v>Sales Manager</c:v>
                </c:pt>
                <c:pt idx="2">
                  <c:v>Sales Representative</c:v>
                </c:pt>
              </c:strCache>
            </c:strRef>
          </c:cat>
          <c:val>
            <c:numRef>
              <c:f>'Q-8 Analysis'!$G$32:$G$35</c:f>
              <c:numCache>
                <c:formatCode>General</c:formatCode>
                <c:ptCount val="3"/>
                <c:pt idx="0">
                  <c:v>68</c:v>
                </c:pt>
                <c:pt idx="2">
                  <c:v>66.333299999999994</c:v>
                </c:pt>
              </c:numCache>
            </c:numRef>
          </c:val>
          <c:extLst>
            <c:ext xmlns:c16="http://schemas.microsoft.com/office/drawing/2014/chart" uri="{C3380CC4-5D6E-409C-BE32-E72D297353CC}">
              <c16:uniqueId val="{00000004-CEE9-3F41-AFD9-F3C3E3CE6F3C}"/>
            </c:ext>
          </c:extLst>
        </c:ser>
        <c:ser>
          <c:idx val="5"/>
          <c:order val="5"/>
          <c:tx>
            <c:strRef>
              <c:f>'Q-8 Analysis'!$H$29:$H$31</c:f>
              <c:strCache>
                <c:ptCount val="1"/>
                <c:pt idx="0">
                  <c:v>Ms. - Average Tenure Years</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'Q-8 Analysis'!$B$32:$B$35</c:f>
              <c:strCache>
                <c:ptCount val="3"/>
                <c:pt idx="0">
                  <c:v>Inside Sales Coordinator</c:v>
                </c:pt>
                <c:pt idx="1">
                  <c:v>Sales Manager</c:v>
                </c:pt>
                <c:pt idx="2">
                  <c:v>Sales Representative</c:v>
                </c:pt>
              </c:strCache>
            </c:strRef>
          </c:cat>
          <c:val>
            <c:numRef>
              <c:f>'Q-8 Analysis'!$H$32:$H$35</c:f>
              <c:numCache>
                <c:formatCode>General</c:formatCode>
                <c:ptCount val="3"/>
                <c:pt idx="0">
                  <c:v>32</c:v>
                </c:pt>
                <c:pt idx="2">
                  <c:v>33</c:v>
                </c:pt>
              </c:numCache>
            </c:numRef>
          </c:val>
          <c:extLst>
            <c:ext xmlns:c16="http://schemas.microsoft.com/office/drawing/2014/chart" uri="{C3380CC4-5D6E-409C-BE32-E72D297353CC}">
              <c16:uniqueId val="{00000005-CEE9-3F41-AFD9-F3C3E3CE6F3C}"/>
            </c:ext>
          </c:extLst>
        </c:ser>
        <c:dLbls>
          <c:showLegendKey val="0"/>
          <c:showVal val="0"/>
          <c:showCatName val="0"/>
          <c:showSerName val="0"/>
          <c:showPercent val="0"/>
          <c:showBubbleSize val="0"/>
        </c:dLbls>
        <c:gapWidth val="100"/>
        <c:overlap val="-24"/>
        <c:axId val="2037563840"/>
        <c:axId val="2037714432"/>
      </c:barChart>
      <c:catAx>
        <c:axId val="203756384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37714432"/>
        <c:crosses val="autoZero"/>
        <c:auto val="1"/>
        <c:lblAlgn val="ctr"/>
        <c:lblOffset val="100"/>
        <c:noMultiLvlLbl val="0"/>
      </c:catAx>
      <c:valAx>
        <c:axId val="2037714432"/>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3756384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[PAVAN KUMAR MAGANDI_CAPSTONE PROJECT_SALES ANALYTICS.xlsx]Q-9 Analysis!PivotTable26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Inventory Analysis: List Price vs Units in Stock by Category</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'Q-9 Analysis'!$C$3</c:f>
              <c:strCache>
                <c:ptCount val="1"/>
                <c:pt idx="0">
                  <c:v>Total List Price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'Q-9 Analysis'!$B$4:$B$12</c:f>
              <c:strCache>
                <c:ptCount val="8"/>
                <c:pt idx="0">
                  <c:v>Beverages</c:v>
                </c:pt>
                <c:pt idx="1">
                  <c:v>Condiments</c:v>
                </c:pt>
                <c:pt idx="2">
                  <c:v>Confections</c:v>
                </c:pt>
                <c:pt idx="3">
                  <c:v>Dairy Products</c:v>
                </c:pt>
                <c:pt idx="4">
                  <c:v>Grains/Cereals</c:v>
                </c:pt>
                <c:pt idx="5">
                  <c:v>Meat/Poultry</c:v>
                </c:pt>
                <c:pt idx="6">
                  <c:v>Produce</c:v>
                </c:pt>
                <c:pt idx="7">
                  <c:v>Seafood</c:v>
                </c:pt>
              </c:strCache>
            </c:strRef>
          </c:cat>
          <c:val>
            <c:numRef>
              <c:f>'Q-9 Analysis'!$C$4:$C$12</c:f>
              <c:numCache>
                <c:formatCode>General</c:formatCode>
                <c:ptCount val="8"/>
                <c:pt idx="0">
                  <c:v>455.75</c:v>
                </c:pt>
                <c:pt idx="1">
                  <c:v>276.75</c:v>
                </c:pt>
                <c:pt idx="2">
                  <c:v>327.08</c:v>
                </c:pt>
                <c:pt idx="3">
                  <c:v>287.3</c:v>
                </c:pt>
                <c:pt idx="4">
                  <c:v>141.75</c:v>
                </c:pt>
                <c:pt idx="5">
                  <c:v>324.04000000000002</c:v>
                </c:pt>
                <c:pt idx="6">
                  <c:v>161.85</c:v>
                </c:pt>
                <c:pt idx="7">
                  <c:v>248.19000000000003</c:v>
                </c:pt>
              </c:numCache>
            </c:numRef>
          </c:val>
          <c:extLst>
            <c:ext xmlns:c16="http://schemas.microsoft.com/office/drawing/2014/chart" uri="{C3380CC4-5D6E-409C-BE32-E72D297353CC}">
              <c16:uniqueId val="{00000000-7CB9-4043-A03B-9BE978906561}"/>
            </c:ext>
          </c:extLst>
        </c:ser>
        <c:ser>
          <c:idx val="1"/>
          <c:order val="1"/>
          <c:tx>
            <c:strRef>
              <c:f>'Q-9 Analysis'!$D$3</c:f>
              <c:strCache>
                <c:ptCount val="1"/>
                <c:pt idx="0">
                  <c:v>Total Units In Stock</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'Q-9 Analysis'!$B$4:$B$12</c:f>
              <c:strCache>
                <c:ptCount val="8"/>
                <c:pt idx="0">
                  <c:v>Beverages</c:v>
                </c:pt>
                <c:pt idx="1">
                  <c:v>Condiments</c:v>
                </c:pt>
                <c:pt idx="2">
                  <c:v>Confections</c:v>
                </c:pt>
                <c:pt idx="3">
                  <c:v>Dairy Products</c:v>
                </c:pt>
                <c:pt idx="4">
                  <c:v>Grains/Cereals</c:v>
                </c:pt>
                <c:pt idx="5">
                  <c:v>Meat/Poultry</c:v>
                </c:pt>
                <c:pt idx="6">
                  <c:v>Produce</c:v>
                </c:pt>
                <c:pt idx="7">
                  <c:v>Seafood</c:v>
                </c:pt>
              </c:strCache>
            </c:strRef>
          </c:cat>
          <c:val>
            <c:numRef>
              <c:f>'Q-9 Analysis'!$D$4:$D$12</c:f>
              <c:numCache>
                <c:formatCode>General</c:formatCode>
                <c:ptCount val="8"/>
                <c:pt idx="0">
                  <c:v>559</c:v>
                </c:pt>
                <c:pt idx="1">
                  <c:v>507</c:v>
                </c:pt>
                <c:pt idx="2">
                  <c:v>386</c:v>
                </c:pt>
                <c:pt idx="3">
                  <c:v>393</c:v>
                </c:pt>
                <c:pt idx="4">
                  <c:v>308</c:v>
                </c:pt>
                <c:pt idx="5">
                  <c:v>165</c:v>
                </c:pt>
                <c:pt idx="6">
                  <c:v>100</c:v>
                </c:pt>
                <c:pt idx="7">
                  <c:v>701</c:v>
                </c:pt>
              </c:numCache>
            </c:numRef>
          </c:val>
          <c:extLst>
            <c:ext xmlns:c16="http://schemas.microsoft.com/office/drawing/2014/chart" uri="{C3380CC4-5D6E-409C-BE32-E72D297353CC}">
              <c16:uniqueId val="{00000001-7CB9-4043-A03B-9BE978906561}"/>
            </c:ext>
          </c:extLst>
        </c:ser>
        <c:dLbls>
          <c:showLegendKey val="0"/>
          <c:showVal val="0"/>
          <c:showCatName val="0"/>
          <c:showSerName val="0"/>
          <c:showPercent val="0"/>
          <c:showBubbleSize val="0"/>
        </c:dLbls>
        <c:gapWidth val="100"/>
        <c:overlap val="-24"/>
        <c:axId val="2025974272"/>
        <c:axId val="2025977856"/>
      </c:barChart>
      <c:catAx>
        <c:axId val="20259742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25977856"/>
        <c:crosses val="autoZero"/>
        <c:auto val="1"/>
        <c:lblAlgn val="ctr"/>
        <c:lblOffset val="100"/>
        <c:noMultiLvlLbl val="0"/>
      </c:catAx>
      <c:valAx>
        <c:axId val="202597785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25974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Sales Performance by Category: Units Sold vs Revenue</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 Units Sold</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8"/>
              <c:pt idx="0">
                <c:v>Beverages</c:v>
              </c:pt>
              <c:pt idx="1">
                <c:v>Condiments</c:v>
              </c:pt>
              <c:pt idx="2">
                <c:v>Confections</c:v>
              </c:pt>
              <c:pt idx="3">
                <c:v>Dairy Products</c:v>
              </c:pt>
              <c:pt idx="4">
                <c:v>Grains/Cereals</c:v>
              </c:pt>
              <c:pt idx="5">
                <c:v>Meat/Poultry</c:v>
              </c:pt>
              <c:pt idx="6">
                <c:v>Produce</c:v>
              </c:pt>
              <c:pt idx="7">
                <c:v>Seafood</c:v>
              </c:pt>
            </c:strLit>
          </c:cat>
          <c:val>
            <c:numLit>
              <c:formatCode>General</c:formatCode>
              <c:ptCount val="8"/>
              <c:pt idx="0">
                <c:v>9532</c:v>
              </c:pt>
              <c:pt idx="1">
                <c:v>5298</c:v>
              </c:pt>
              <c:pt idx="2">
                <c:v>7906</c:v>
              </c:pt>
              <c:pt idx="3">
                <c:v>9149</c:v>
              </c:pt>
              <c:pt idx="4">
                <c:v>4562</c:v>
              </c:pt>
              <c:pt idx="5">
                <c:v>4199</c:v>
              </c:pt>
              <c:pt idx="6">
                <c:v>2990</c:v>
              </c:pt>
              <c:pt idx="7">
                <c:v>7681</c:v>
              </c:pt>
            </c:numLit>
          </c:val>
          <c:extLst>
            <c:ext xmlns:c16="http://schemas.microsoft.com/office/drawing/2014/chart" uri="{C3380CC4-5D6E-409C-BE32-E72D297353CC}">
              <c16:uniqueId val="{00000000-4CE6-7444-9AA6-E263DCF28D67}"/>
            </c:ext>
          </c:extLst>
        </c:ser>
        <c:ser>
          <c:idx val="1"/>
          <c:order val="1"/>
          <c:tx>
            <c:v>Total Revenue</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8"/>
              <c:pt idx="0">
                <c:v>Beverages</c:v>
              </c:pt>
              <c:pt idx="1">
                <c:v>Condiments</c:v>
              </c:pt>
              <c:pt idx="2">
                <c:v>Confections</c:v>
              </c:pt>
              <c:pt idx="3">
                <c:v>Dairy Products</c:v>
              </c:pt>
              <c:pt idx="4">
                <c:v>Grains/Cereals</c:v>
              </c:pt>
              <c:pt idx="5">
                <c:v>Meat/Poultry</c:v>
              </c:pt>
              <c:pt idx="6">
                <c:v>Produce</c:v>
              </c:pt>
              <c:pt idx="7">
                <c:v>Seafood</c:v>
              </c:pt>
            </c:strLit>
          </c:cat>
          <c:val>
            <c:numLit>
              <c:formatCode>General</c:formatCode>
              <c:ptCount val="8"/>
              <c:pt idx="0">
                <c:v>267868.19</c:v>
              </c:pt>
              <c:pt idx="1">
                <c:v>106047.07</c:v>
              </c:pt>
              <c:pt idx="2">
                <c:v>167357.22999999998</c:v>
              </c:pt>
              <c:pt idx="3">
                <c:v>234507.28999999998</c:v>
              </c:pt>
              <c:pt idx="4">
                <c:v>95744.59</c:v>
              </c:pt>
              <c:pt idx="5">
                <c:v>163022.35999999999</c:v>
              </c:pt>
              <c:pt idx="6">
                <c:v>99984.580000000016</c:v>
              </c:pt>
              <c:pt idx="7">
                <c:v>131261.75</c:v>
              </c:pt>
            </c:numLit>
          </c:val>
          <c:extLst>
            <c:ext xmlns:c16="http://schemas.microsoft.com/office/drawing/2014/chart" uri="{C3380CC4-5D6E-409C-BE32-E72D297353CC}">
              <c16:uniqueId val="{00000003-4CE6-7444-9AA6-E263DCF28D67}"/>
            </c:ext>
          </c:extLst>
        </c:ser>
        <c:dLbls>
          <c:showLegendKey val="0"/>
          <c:showVal val="0"/>
          <c:showCatName val="0"/>
          <c:showSerName val="0"/>
          <c:showPercent val="0"/>
          <c:showBubbleSize val="0"/>
        </c:dLbls>
        <c:gapWidth val="100"/>
        <c:overlap val="-24"/>
        <c:axId val="2026780672"/>
        <c:axId val="2026778880"/>
      </c:barChart>
      <c:catAx>
        <c:axId val="20267806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26778880"/>
        <c:crosses val="autoZero"/>
        <c:auto val="1"/>
        <c:lblAlgn val="ctr"/>
        <c:lblOffset val="100"/>
        <c:noMultiLvlLbl val="0"/>
      </c:catAx>
      <c:valAx>
        <c:axId val="20267788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26780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rgbClr val="FFFFFF">
                    <a:lumMod val="95000"/>
                  </a:srgbClr>
                </a:solidFill>
                <a:effectLst>
                  <a:outerShdw blurRad="50800" dist="38100" dir="5400000" algn="t" rotWithShape="0">
                    <a:prstClr val="black">
                      <a:alpha val="40000"/>
                    </a:prstClr>
                  </a:outerShdw>
                </a:effectLst>
                <a:latin typeface="+mn-lt"/>
                <a:ea typeface="+mn-ea"/>
                <a:cs typeface="+mn-cs"/>
              </a:defRPr>
            </a:pPr>
            <a:r>
              <a:rPr lang="en-IN" b="1"/>
              <a:t>Reorder Level vs Average Selling Price by Category</a:t>
            </a:r>
            <a:endParaRPr lang="en-IN"/>
          </a:p>
          <a:p>
            <a:pPr marL="0" marR="0" lvl="0" indent="0" algn="ctr" defTabSz="914400" rtl="0" eaLnBrk="1" fontAlgn="auto" latinLnBrk="0" hangingPunct="1">
              <a:lnSpc>
                <a:spcPct val="100000"/>
              </a:lnSpc>
              <a:spcBef>
                <a:spcPts val="0"/>
              </a:spcBef>
              <a:spcAft>
                <a:spcPts val="0"/>
              </a:spcAft>
              <a:buClrTx/>
              <a:buSzTx/>
              <a:buFontTx/>
              <a:buNone/>
              <a:tabLst/>
              <a:defRPr>
                <a:solidFill>
                  <a:srgbClr val="FFFFFF">
                    <a:lumMod val="95000"/>
                  </a:srgbClr>
                </a:solidFill>
              </a:defRPr>
            </a:pPr>
            <a:endParaRPr lang="en-GB"/>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rgbClr val="FFFFFF">
                  <a:lumMod val="95000"/>
                </a:srgb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 Reorder Level</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8"/>
              <c:pt idx="0">
                <c:v>Beverages</c:v>
              </c:pt>
              <c:pt idx="1">
                <c:v>Condiments</c:v>
              </c:pt>
              <c:pt idx="2">
                <c:v>Confections</c:v>
              </c:pt>
              <c:pt idx="3">
                <c:v>Dairy Products</c:v>
              </c:pt>
              <c:pt idx="4">
                <c:v>Grains/Cereals</c:v>
              </c:pt>
              <c:pt idx="5">
                <c:v>Meat/Poultry</c:v>
              </c:pt>
              <c:pt idx="6">
                <c:v>Produce</c:v>
              </c:pt>
              <c:pt idx="7">
                <c:v>Seafood</c:v>
              </c:pt>
            </c:strLit>
          </c:cat>
          <c:val>
            <c:numLit>
              <c:formatCode>General</c:formatCode>
              <c:ptCount val="8"/>
              <c:pt idx="0">
                <c:v>195</c:v>
              </c:pt>
              <c:pt idx="1">
                <c:v>135</c:v>
              </c:pt>
              <c:pt idx="2">
                <c:v>165</c:v>
              </c:pt>
              <c:pt idx="3">
                <c:v>110</c:v>
              </c:pt>
              <c:pt idx="4">
                <c:v>155</c:v>
              </c:pt>
              <c:pt idx="5">
                <c:v>30</c:v>
              </c:pt>
              <c:pt idx="6">
                <c:v>25</c:v>
              </c:pt>
              <c:pt idx="7">
                <c:v>145</c:v>
              </c:pt>
            </c:numLit>
          </c:val>
          <c:extLst>
            <c:ext xmlns:c16="http://schemas.microsoft.com/office/drawing/2014/chart" uri="{C3380CC4-5D6E-409C-BE32-E72D297353CC}">
              <c16:uniqueId val="{00000000-5055-5C4D-99FB-E05ABDE35210}"/>
            </c:ext>
          </c:extLst>
        </c:ser>
        <c:ser>
          <c:idx val="1"/>
          <c:order val="1"/>
          <c:tx>
            <c:v>Average Selling Price</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Lit>
              <c:ptCount val="8"/>
              <c:pt idx="0">
                <c:v>Beverages</c:v>
              </c:pt>
              <c:pt idx="1">
                <c:v>Condiments</c:v>
              </c:pt>
              <c:pt idx="2">
                <c:v>Confections</c:v>
              </c:pt>
              <c:pt idx="3">
                <c:v>Dairy Products</c:v>
              </c:pt>
              <c:pt idx="4">
                <c:v>Grains/Cereals</c:v>
              </c:pt>
              <c:pt idx="5">
                <c:v>Meat/Poultry</c:v>
              </c:pt>
              <c:pt idx="6">
                <c:v>Produce</c:v>
              </c:pt>
              <c:pt idx="7">
                <c:v>Seafood</c:v>
              </c:pt>
            </c:strLit>
          </c:cat>
          <c:val>
            <c:numLit>
              <c:formatCode>General</c:formatCode>
              <c:ptCount val="8"/>
              <c:pt idx="0">
                <c:v>35.593333333333341</c:v>
              </c:pt>
              <c:pt idx="1">
                <c:v>21.731666666666673</c:v>
              </c:pt>
              <c:pt idx="2">
                <c:v>23.503846153846148</c:v>
              </c:pt>
              <c:pt idx="3">
                <c:v>26.973999999999997</c:v>
              </c:pt>
              <c:pt idx="4">
                <c:v>19.047142857142855</c:v>
              </c:pt>
              <c:pt idx="5">
                <c:v>50.831666666666671</c:v>
              </c:pt>
              <c:pt idx="6">
                <c:v>30.364000000000004</c:v>
              </c:pt>
              <c:pt idx="7">
                <c:v>19.5425</c:v>
              </c:pt>
            </c:numLit>
          </c:val>
          <c:extLst>
            <c:ext xmlns:c16="http://schemas.microsoft.com/office/drawing/2014/chart" uri="{C3380CC4-5D6E-409C-BE32-E72D297353CC}">
              <c16:uniqueId val="{00000001-5055-5C4D-99FB-E05ABDE35210}"/>
            </c:ext>
          </c:extLst>
        </c:ser>
        <c:dLbls>
          <c:showLegendKey val="0"/>
          <c:showVal val="0"/>
          <c:showCatName val="0"/>
          <c:showSerName val="0"/>
          <c:showPercent val="0"/>
          <c:showBubbleSize val="0"/>
        </c:dLbls>
        <c:gapWidth val="100"/>
        <c:overlap val="-24"/>
        <c:axId val="2023610944"/>
        <c:axId val="2023605120"/>
      </c:barChart>
      <c:catAx>
        <c:axId val="202361094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23605120"/>
        <c:crosses val="autoZero"/>
        <c:auto val="1"/>
        <c:lblAlgn val="ctr"/>
        <c:lblOffset val="100"/>
        <c:noMultiLvlLbl val="0"/>
      </c:catAx>
      <c:valAx>
        <c:axId val="202360512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23610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[PAVAN KUMAR MAGANDI_CAPSTONE PROJECT_SALES ANALYTICS.xlsx]Q-10 Analysis!PivotTable29</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Monthly Sales Trends by Product Category</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'Q-10 Analysis'!$C$3:$C$4</c:f>
              <c:strCache>
                <c:ptCount val="1"/>
                <c:pt idx="0">
                  <c:v>Beverages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'Q-10 Analysis'!$B$5:$B$17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'Q-10 Analysis'!$C$5:$C$17</c:f>
              <c:numCache>
                <c:formatCode>General</c:formatCode>
                <c:ptCount val="12"/>
                <c:pt idx="0">
                  <c:v>31</c:v>
                </c:pt>
                <c:pt idx="1">
                  <c:v>38</c:v>
                </c:pt>
                <c:pt idx="2">
                  <c:v>34</c:v>
                </c:pt>
                <c:pt idx="3">
                  <c:v>46</c:v>
                </c:pt>
                <c:pt idx="4">
                  <c:v>24</c:v>
                </c:pt>
                <c:pt idx="5">
                  <c:v>12</c:v>
                </c:pt>
                <c:pt idx="6">
                  <c:v>14</c:v>
                </c:pt>
                <c:pt idx="7">
                  <c:v>25</c:v>
                </c:pt>
                <c:pt idx="8">
                  <c:v>27</c:v>
                </c:pt>
                <c:pt idx="9">
                  <c:v>18</c:v>
                </c:pt>
                <c:pt idx="10">
                  <c:v>28</c:v>
                </c:pt>
                <c:pt idx="11">
                  <c:v>23</c:v>
                </c:pt>
              </c:numCache>
            </c:numRef>
          </c:val>
          <c:extLst>
            <c:ext xmlns:c16="http://schemas.microsoft.com/office/drawing/2014/chart" uri="{C3380CC4-5D6E-409C-BE32-E72D297353CC}">
              <c16:uniqueId val="{00000000-822D-E04F-A07F-7FEA31F49931}"/>
            </c:ext>
          </c:extLst>
        </c:ser>
        <c:ser>
          <c:idx val="1"/>
          <c:order val="1"/>
          <c:tx>
            <c:strRef>
              <c:f>'Q-10 Analysis'!$D$3:$D$4</c:f>
              <c:strCache>
                <c:ptCount val="1"/>
                <c:pt idx="0">
                  <c:v>Condiments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'Q-10 Analysis'!$B$5:$B$17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'Q-10 Analysis'!$D$5:$D$17</c:f>
              <c:numCache>
                <c:formatCode>General</c:formatCode>
                <c:ptCount val="12"/>
                <c:pt idx="0">
                  <c:v>12</c:v>
                </c:pt>
                <c:pt idx="1">
                  <c:v>20</c:v>
                </c:pt>
                <c:pt idx="2">
                  <c:v>19</c:v>
                </c:pt>
                <c:pt idx="3">
                  <c:v>22</c:v>
                </c:pt>
                <c:pt idx="4">
                  <c:v>17</c:v>
                </c:pt>
                <c:pt idx="5">
                  <c:v>9</c:v>
                </c:pt>
                <c:pt idx="6">
                  <c:v>6</c:v>
                </c:pt>
                <c:pt idx="7">
                  <c:v>15</c:v>
                </c:pt>
                <c:pt idx="8">
                  <c:v>14</c:v>
                </c:pt>
                <c:pt idx="9">
                  <c:v>12</c:v>
                </c:pt>
                <c:pt idx="10">
                  <c:v>19</c:v>
                </c:pt>
                <c:pt idx="11">
                  <c:v>13</c:v>
                </c:pt>
              </c:numCache>
            </c:numRef>
          </c:val>
          <c:extLst>
            <c:ext xmlns:c16="http://schemas.microsoft.com/office/drawing/2014/chart" uri="{C3380CC4-5D6E-409C-BE32-E72D297353CC}">
              <c16:uniqueId val="{00000001-822D-E04F-A07F-7FEA31F49931}"/>
            </c:ext>
          </c:extLst>
        </c:ser>
        <c:ser>
          <c:idx val="2"/>
          <c:order val="2"/>
          <c:tx>
            <c:strRef>
              <c:f>'Q-10 Analysis'!$E$3:$E$4</c:f>
              <c:strCache>
                <c:ptCount val="1"/>
                <c:pt idx="0">
                  <c:v>Confections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'Q-10 Analysis'!$B$5:$B$17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'Q-10 Analysis'!$E$5:$E$17</c:f>
              <c:numCache>
                <c:formatCode>General</c:formatCode>
                <c:ptCount val="12"/>
                <c:pt idx="0">
                  <c:v>25</c:v>
                </c:pt>
                <c:pt idx="1">
                  <c:v>36</c:v>
                </c:pt>
                <c:pt idx="2">
                  <c:v>38</c:v>
                </c:pt>
                <c:pt idx="3">
                  <c:v>35</c:v>
                </c:pt>
                <c:pt idx="4">
                  <c:v>14</c:v>
                </c:pt>
                <c:pt idx="5">
                  <c:v>9</c:v>
                </c:pt>
                <c:pt idx="6">
                  <c:v>6</c:v>
                </c:pt>
                <c:pt idx="7">
                  <c:v>21</c:v>
                </c:pt>
                <c:pt idx="8">
                  <c:v>20</c:v>
                </c:pt>
                <c:pt idx="9">
                  <c:v>26</c:v>
                </c:pt>
                <c:pt idx="10">
                  <c:v>25</c:v>
                </c:pt>
                <c:pt idx="11">
                  <c:v>19</c:v>
                </c:pt>
              </c:numCache>
            </c:numRef>
          </c:val>
          <c:extLst>
            <c:ext xmlns:c16="http://schemas.microsoft.com/office/drawing/2014/chart" uri="{C3380CC4-5D6E-409C-BE32-E72D297353CC}">
              <c16:uniqueId val="{00000002-822D-E04F-A07F-7FEA31F49931}"/>
            </c:ext>
          </c:extLst>
        </c:ser>
        <c:ser>
          <c:idx val="3"/>
          <c:order val="3"/>
          <c:tx>
            <c:strRef>
              <c:f>'Q-10 Analysis'!$F$3:$F$4</c:f>
              <c:strCache>
                <c:ptCount val="1"/>
                <c:pt idx="0">
                  <c:v>Dairy Products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'Q-10 Analysis'!$B$5:$B$17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'Q-10 Analysis'!$F$5:$F$17</c:f>
              <c:numCache>
                <c:formatCode>General</c:formatCode>
                <c:ptCount val="12"/>
                <c:pt idx="0">
                  <c:v>32</c:v>
                </c:pt>
                <c:pt idx="1">
                  <c:v>25</c:v>
                </c:pt>
                <c:pt idx="2">
                  <c:v>27</c:v>
                </c:pt>
                <c:pt idx="3">
                  <c:v>33</c:v>
                </c:pt>
                <c:pt idx="4">
                  <c:v>14</c:v>
                </c:pt>
                <c:pt idx="5">
                  <c:v>17</c:v>
                </c:pt>
                <c:pt idx="6">
                  <c:v>13</c:v>
                </c:pt>
                <c:pt idx="7">
                  <c:v>20</c:v>
                </c:pt>
                <c:pt idx="8">
                  <c:v>19</c:v>
                </c:pt>
                <c:pt idx="9">
                  <c:v>22</c:v>
                </c:pt>
                <c:pt idx="10">
                  <c:v>26</c:v>
                </c:pt>
                <c:pt idx="11">
                  <c:v>24</c:v>
                </c:pt>
              </c:numCache>
            </c:numRef>
          </c:val>
          <c:extLst>
            <c:ext xmlns:c16="http://schemas.microsoft.com/office/drawing/2014/chart" uri="{C3380CC4-5D6E-409C-BE32-E72D297353CC}">
              <c16:uniqueId val="{00000003-822D-E04F-A07F-7FEA31F49931}"/>
            </c:ext>
          </c:extLst>
        </c:ser>
        <c:dLbls>
          <c:showLegendKey val="0"/>
          <c:showVal val="0"/>
          <c:showCatName val="0"/>
          <c:showSerName val="0"/>
          <c:showPercent val="0"/>
          <c:showBubbleSize val="0"/>
        </c:dLbls>
        <c:gapWidth val="219"/>
        <c:axId val="2035481472"/>
        <c:axId val="2035128896"/>
      </c:barChart>
      <c:lineChart>
        <c:grouping val="standard"/>
        <c:varyColors val="0"/>
        <c:ser>
          <c:idx val="4"/>
          <c:order val="4"/>
          <c:tx>
            <c:strRef>
              <c:f>'Q-10 Analysis'!$G$3:$G$4</c:f>
              <c:strCache>
                <c:ptCount val="1"/>
                <c:pt idx="0">
                  <c:v>Grains/Cereals</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'Q-10 Analysis'!$B$5:$B$17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'Q-10 Analysis'!$G$5:$G$17</c:f>
              <c:numCache>
                <c:formatCode>General</c:formatCode>
                <c:ptCount val="12"/>
                <c:pt idx="0">
                  <c:v>16</c:v>
                </c:pt>
                <c:pt idx="1">
                  <c:v>20</c:v>
                </c:pt>
                <c:pt idx="2">
                  <c:v>20</c:v>
                </c:pt>
                <c:pt idx="3">
                  <c:v>19</c:v>
                </c:pt>
                <c:pt idx="4">
                  <c:v>15</c:v>
                </c:pt>
                <c:pt idx="5">
                  <c:v>5</c:v>
                </c:pt>
                <c:pt idx="6">
                  <c:v>10</c:v>
                </c:pt>
                <c:pt idx="7">
                  <c:v>12</c:v>
                </c:pt>
                <c:pt idx="8">
                  <c:v>11</c:v>
                </c:pt>
                <c:pt idx="9">
                  <c:v>16</c:v>
                </c:pt>
                <c:pt idx="10">
                  <c:v>10</c:v>
                </c:pt>
                <c:pt idx="11">
                  <c:v>17</c:v>
                </c:pt>
              </c:numCache>
            </c:numRef>
          </c:val>
          <c:smooth val="0"/>
          <c:extLst>
            <c:ext xmlns:c16="http://schemas.microsoft.com/office/drawing/2014/chart" uri="{C3380CC4-5D6E-409C-BE32-E72D297353CC}">
              <c16:uniqueId val="{00000004-822D-E04F-A07F-7FEA31F49931}"/>
            </c:ext>
          </c:extLst>
        </c:ser>
        <c:ser>
          <c:idx val="5"/>
          <c:order val="5"/>
          <c:tx>
            <c:strRef>
              <c:f>'Q-10 Analysis'!$H$3:$H$4</c:f>
              <c:strCache>
                <c:ptCount val="1"/>
                <c:pt idx="0">
                  <c:v>Meat/Poultry</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'Q-10 Analysis'!$B$5:$B$17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'Q-10 Analysis'!$H$5:$H$17</c:f>
              <c:numCache>
                <c:formatCode>General</c:formatCode>
                <c:ptCount val="12"/>
                <c:pt idx="0">
                  <c:v>19</c:v>
                </c:pt>
                <c:pt idx="1">
                  <c:v>14</c:v>
                </c:pt>
                <c:pt idx="2">
                  <c:v>24</c:v>
                </c:pt>
                <c:pt idx="3">
                  <c:v>13</c:v>
                </c:pt>
                <c:pt idx="4">
                  <c:v>12</c:v>
                </c:pt>
                <c:pt idx="5">
                  <c:v>7</c:v>
                </c:pt>
                <c:pt idx="6">
                  <c:v>5</c:v>
                </c:pt>
                <c:pt idx="7">
                  <c:v>9</c:v>
                </c:pt>
                <c:pt idx="8">
                  <c:v>11</c:v>
                </c:pt>
                <c:pt idx="9">
                  <c:v>11</c:v>
                </c:pt>
                <c:pt idx="10">
                  <c:v>15</c:v>
                </c:pt>
                <c:pt idx="11">
                  <c:v>11</c:v>
                </c:pt>
              </c:numCache>
            </c:numRef>
          </c:val>
          <c:smooth val="0"/>
          <c:extLst>
            <c:ext xmlns:c16="http://schemas.microsoft.com/office/drawing/2014/chart" uri="{C3380CC4-5D6E-409C-BE32-E72D297353CC}">
              <c16:uniqueId val="{00000005-822D-E04F-A07F-7FEA31F49931}"/>
            </c:ext>
          </c:extLst>
        </c:ser>
        <c:ser>
          <c:idx val="6"/>
          <c:order val="6"/>
          <c:tx>
            <c:strRef>
              <c:f>'Q-10 Analysis'!$I$3:$I$4</c:f>
              <c:strCache>
                <c:ptCount val="1"/>
                <c:pt idx="0">
                  <c:v>Produce</c:v>
                </c:pt>
              </c:strCache>
            </c:strRef>
          </c:tx>
          <c:spPr>
            <a:ln w="34925" cap="rnd">
              <a:solidFill>
                <a:schemeClr val="accent1">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cat>
            <c:strRef>
              <c:f>'Q-10 Analysis'!$B$5:$B$17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'Q-10 Analysis'!$I$5:$I$17</c:f>
              <c:numCache>
                <c:formatCode>General</c:formatCode>
                <c:ptCount val="12"/>
                <c:pt idx="0">
                  <c:v>19</c:v>
                </c:pt>
                <c:pt idx="1">
                  <c:v>11</c:v>
                </c:pt>
                <c:pt idx="2">
                  <c:v>9</c:v>
                </c:pt>
                <c:pt idx="3">
                  <c:v>20</c:v>
                </c:pt>
                <c:pt idx="4">
                  <c:v>10</c:v>
                </c:pt>
                <c:pt idx="5">
                  <c:v>4</c:v>
                </c:pt>
                <c:pt idx="6">
                  <c:v>6</c:v>
                </c:pt>
                <c:pt idx="7">
                  <c:v>7</c:v>
                </c:pt>
                <c:pt idx="8">
                  <c:v>8</c:v>
                </c:pt>
                <c:pt idx="9">
                  <c:v>6</c:v>
                </c:pt>
                <c:pt idx="10">
                  <c:v>8</c:v>
                </c:pt>
                <c:pt idx="11">
                  <c:v>8</c:v>
                </c:pt>
              </c:numCache>
            </c:numRef>
          </c:val>
          <c:smooth val="0"/>
          <c:extLst>
            <c:ext xmlns:c16="http://schemas.microsoft.com/office/drawing/2014/chart" uri="{C3380CC4-5D6E-409C-BE32-E72D297353CC}">
              <c16:uniqueId val="{00000006-822D-E04F-A07F-7FEA31F49931}"/>
            </c:ext>
          </c:extLst>
        </c:ser>
        <c:ser>
          <c:idx val="7"/>
          <c:order val="7"/>
          <c:tx>
            <c:strRef>
              <c:f>'Q-10 Analysis'!$J$3:$J$4</c:f>
              <c:strCache>
                <c:ptCount val="1"/>
                <c:pt idx="0">
                  <c:v>Seafood</c:v>
                </c:pt>
              </c:strCache>
            </c:strRef>
          </c:tx>
          <c:spPr>
            <a:ln w="34925" cap="rnd">
              <a:solidFill>
                <a:schemeClr val="accent2">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cat>
            <c:strRef>
              <c:f>'Q-10 Analysis'!$B$5:$B$17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'Q-10 Analysis'!$J$5:$J$17</c:f>
              <c:numCache>
                <c:formatCode>General</c:formatCode>
                <c:ptCount val="12"/>
                <c:pt idx="0">
                  <c:v>27</c:v>
                </c:pt>
                <c:pt idx="1">
                  <c:v>26</c:v>
                </c:pt>
                <c:pt idx="2">
                  <c:v>31</c:v>
                </c:pt>
                <c:pt idx="3">
                  <c:v>39</c:v>
                </c:pt>
                <c:pt idx="4">
                  <c:v>15</c:v>
                </c:pt>
                <c:pt idx="5">
                  <c:v>14</c:v>
                </c:pt>
                <c:pt idx="6">
                  <c:v>9</c:v>
                </c:pt>
                <c:pt idx="7">
                  <c:v>16</c:v>
                </c:pt>
                <c:pt idx="8">
                  <c:v>21</c:v>
                </c:pt>
                <c:pt idx="9">
                  <c:v>24</c:v>
                </c:pt>
                <c:pt idx="10">
                  <c:v>23</c:v>
                </c:pt>
                <c:pt idx="11">
                  <c:v>21</c:v>
                </c:pt>
              </c:numCache>
            </c:numRef>
          </c:val>
          <c:smooth val="0"/>
          <c:extLst>
            <c:ext xmlns:c16="http://schemas.microsoft.com/office/drawing/2014/chart" uri="{C3380CC4-5D6E-409C-BE32-E72D297353CC}">
              <c16:uniqueId val="{00000007-822D-E04F-A07F-7FEA31F49931}"/>
            </c:ext>
          </c:extLst>
        </c:ser>
        <c:dLbls>
          <c:showLegendKey val="0"/>
          <c:showVal val="0"/>
          <c:showCatName val="0"/>
          <c:showSerName val="0"/>
          <c:showPercent val="0"/>
          <c:showBubbleSize val="0"/>
        </c:dLbls>
        <c:marker val="1"/>
        <c:smooth val="0"/>
        <c:axId val="2035481472"/>
        <c:axId val="2035128896"/>
      </c:lineChart>
      <c:catAx>
        <c:axId val="203548147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35128896"/>
        <c:crosses val="autoZero"/>
        <c:auto val="1"/>
        <c:lblAlgn val="ctr"/>
        <c:lblOffset val="100"/>
        <c:noMultiLvlLbl val="0"/>
      </c:catAx>
      <c:valAx>
        <c:axId val="20351288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35481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[PAVAN KUMAR MAGANDI_CAPSTONE PROJECT_SALES ANALYTICS.xlsx]Q-10 Analysis!PivotTable30</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Quarterly Sales Trends by Product Category</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'Q-10 Analysis'!$C$32:$C$33</c:f>
              <c:strCache>
                <c:ptCount val="1"/>
                <c:pt idx="0">
                  <c:v>Beverages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'Q-10 Analysis'!$B$34:$B$38</c:f>
              <c:strCache>
                <c:ptCount val="4"/>
                <c:pt idx="0">
                  <c:v>Q1 Winter</c:v>
                </c:pt>
                <c:pt idx="1">
                  <c:v>Q2 Spring</c:v>
                </c:pt>
                <c:pt idx="2">
                  <c:v>Q3 Summer</c:v>
                </c:pt>
                <c:pt idx="3">
                  <c:v>Q4 Autumn</c:v>
                </c:pt>
              </c:strCache>
            </c:strRef>
          </c:cat>
          <c:val>
            <c:numRef>
              <c:f>'Q-10 Analysis'!$C$34:$C$38</c:f>
              <c:numCache>
                <c:formatCode>General</c:formatCode>
                <c:ptCount val="4"/>
                <c:pt idx="0">
                  <c:v>103</c:v>
                </c:pt>
                <c:pt idx="1">
                  <c:v>82</c:v>
                </c:pt>
                <c:pt idx="2">
                  <c:v>66</c:v>
                </c:pt>
                <c:pt idx="3">
                  <c:v>69</c:v>
                </c:pt>
              </c:numCache>
            </c:numRef>
          </c:val>
          <c:extLst>
            <c:ext xmlns:c16="http://schemas.microsoft.com/office/drawing/2014/chart" uri="{C3380CC4-5D6E-409C-BE32-E72D297353CC}">
              <c16:uniqueId val="{00000000-8246-F346-8832-252E300816D6}"/>
            </c:ext>
          </c:extLst>
        </c:ser>
        <c:ser>
          <c:idx val="1"/>
          <c:order val="1"/>
          <c:tx>
            <c:strRef>
              <c:f>'Q-10 Analysis'!$D$32:$D$33</c:f>
              <c:strCache>
                <c:ptCount val="1"/>
                <c:pt idx="0">
                  <c:v>Condiments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'Q-10 Analysis'!$B$34:$B$38</c:f>
              <c:strCache>
                <c:ptCount val="4"/>
                <c:pt idx="0">
                  <c:v>Q1 Winter</c:v>
                </c:pt>
                <c:pt idx="1">
                  <c:v>Q2 Spring</c:v>
                </c:pt>
                <c:pt idx="2">
                  <c:v>Q3 Summer</c:v>
                </c:pt>
                <c:pt idx="3">
                  <c:v>Q4 Autumn</c:v>
                </c:pt>
              </c:strCache>
            </c:strRef>
          </c:cat>
          <c:val>
            <c:numRef>
              <c:f>'Q-10 Analysis'!$D$34:$D$38</c:f>
              <c:numCache>
                <c:formatCode>General</c:formatCode>
                <c:ptCount val="4"/>
                <c:pt idx="0">
                  <c:v>51</c:v>
                </c:pt>
                <c:pt idx="1">
                  <c:v>48</c:v>
                </c:pt>
                <c:pt idx="2">
                  <c:v>35</c:v>
                </c:pt>
                <c:pt idx="3">
                  <c:v>44</c:v>
                </c:pt>
              </c:numCache>
            </c:numRef>
          </c:val>
          <c:extLst>
            <c:ext xmlns:c16="http://schemas.microsoft.com/office/drawing/2014/chart" uri="{C3380CC4-5D6E-409C-BE32-E72D297353CC}">
              <c16:uniqueId val="{00000001-8246-F346-8832-252E300816D6}"/>
            </c:ext>
          </c:extLst>
        </c:ser>
        <c:ser>
          <c:idx val="2"/>
          <c:order val="2"/>
          <c:tx>
            <c:strRef>
              <c:f>'Q-10 Analysis'!$E$32:$E$33</c:f>
              <c:strCache>
                <c:ptCount val="1"/>
                <c:pt idx="0">
                  <c:v>Confections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'Q-10 Analysis'!$B$34:$B$38</c:f>
              <c:strCache>
                <c:ptCount val="4"/>
                <c:pt idx="0">
                  <c:v>Q1 Winter</c:v>
                </c:pt>
                <c:pt idx="1">
                  <c:v>Q2 Spring</c:v>
                </c:pt>
                <c:pt idx="2">
                  <c:v>Q3 Summer</c:v>
                </c:pt>
                <c:pt idx="3">
                  <c:v>Q4 Autumn</c:v>
                </c:pt>
              </c:strCache>
            </c:strRef>
          </c:cat>
          <c:val>
            <c:numRef>
              <c:f>'Q-10 Analysis'!$E$34:$E$38</c:f>
              <c:numCache>
                <c:formatCode>General</c:formatCode>
                <c:ptCount val="4"/>
                <c:pt idx="0">
                  <c:v>99</c:v>
                </c:pt>
                <c:pt idx="1">
                  <c:v>58</c:v>
                </c:pt>
                <c:pt idx="2">
                  <c:v>47</c:v>
                </c:pt>
                <c:pt idx="3">
                  <c:v>70</c:v>
                </c:pt>
              </c:numCache>
            </c:numRef>
          </c:val>
          <c:extLst>
            <c:ext xmlns:c16="http://schemas.microsoft.com/office/drawing/2014/chart" uri="{C3380CC4-5D6E-409C-BE32-E72D297353CC}">
              <c16:uniqueId val="{00000002-8246-F346-8832-252E300816D6}"/>
            </c:ext>
          </c:extLst>
        </c:ser>
        <c:ser>
          <c:idx val="3"/>
          <c:order val="3"/>
          <c:tx>
            <c:strRef>
              <c:f>'Q-10 Analysis'!$F$32:$F$33</c:f>
              <c:strCache>
                <c:ptCount val="1"/>
                <c:pt idx="0">
                  <c:v>Dairy Products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'Q-10 Analysis'!$B$34:$B$38</c:f>
              <c:strCache>
                <c:ptCount val="4"/>
                <c:pt idx="0">
                  <c:v>Q1 Winter</c:v>
                </c:pt>
                <c:pt idx="1">
                  <c:v>Q2 Spring</c:v>
                </c:pt>
                <c:pt idx="2">
                  <c:v>Q3 Summer</c:v>
                </c:pt>
                <c:pt idx="3">
                  <c:v>Q4 Autumn</c:v>
                </c:pt>
              </c:strCache>
            </c:strRef>
          </c:cat>
          <c:val>
            <c:numRef>
              <c:f>'Q-10 Analysis'!$F$34:$F$38</c:f>
              <c:numCache>
                <c:formatCode>General</c:formatCode>
                <c:ptCount val="4"/>
                <c:pt idx="0">
                  <c:v>84</c:v>
                </c:pt>
                <c:pt idx="1">
                  <c:v>64</c:v>
                </c:pt>
                <c:pt idx="2">
                  <c:v>52</c:v>
                </c:pt>
                <c:pt idx="3">
                  <c:v>72</c:v>
                </c:pt>
              </c:numCache>
            </c:numRef>
          </c:val>
          <c:extLst>
            <c:ext xmlns:c16="http://schemas.microsoft.com/office/drawing/2014/chart" uri="{C3380CC4-5D6E-409C-BE32-E72D297353CC}">
              <c16:uniqueId val="{00000003-8246-F346-8832-252E300816D6}"/>
            </c:ext>
          </c:extLst>
        </c:ser>
        <c:dLbls>
          <c:showLegendKey val="0"/>
          <c:showVal val="0"/>
          <c:showCatName val="0"/>
          <c:showSerName val="0"/>
          <c:showPercent val="0"/>
          <c:showBubbleSize val="0"/>
        </c:dLbls>
        <c:gapWidth val="219"/>
        <c:axId val="2024470528"/>
        <c:axId val="2035126656"/>
      </c:barChart>
      <c:lineChart>
        <c:grouping val="standard"/>
        <c:varyColors val="0"/>
        <c:ser>
          <c:idx val="4"/>
          <c:order val="4"/>
          <c:tx>
            <c:strRef>
              <c:f>'Q-10 Analysis'!$G$32:$G$33</c:f>
              <c:strCache>
                <c:ptCount val="1"/>
                <c:pt idx="0">
                  <c:v>Grains/Cereals</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'Q-10 Analysis'!$B$34:$B$38</c:f>
              <c:strCache>
                <c:ptCount val="4"/>
                <c:pt idx="0">
                  <c:v>Q1 Winter</c:v>
                </c:pt>
                <c:pt idx="1">
                  <c:v>Q2 Spring</c:v>
                </c:pt>
                <c:pt idx="2">
                  <c:v>Q3 Summer</c:v>
                </c:pt>
                <c:pt idx="3">
                  <c:v>Q4 Autumn</c:v>
                </c:pt>
              </c:strCache>
            </c:strRef>
          </c:cat>
          <c:val>
            <c:numRef>
              <c:f>'Q-10 Analysis'!$G$34:$G$38</c:f>
              <c:numCache>
                <c:formatCode>General</c:formatCode>
                <c:ptCount val="4"/>
                <c:pt idx="0">
                  <c:v>56</c:v>
                </c:pt>
                <c:pt idx="1">
                  <c:v>39</c:v>
                </c:pt>
                <c:pt idx="2">
                  <c:v>33</c:v>
                </c:pt>
                <c:pt idx="3">
                  <c:v>43</c:v>
                </c:pt>
              </c:numCache>
            </c:numRef>
          </c:val>
          <c:smooth val="0"/>
          <c:extLst>
            <c:ext xmlns:c16="http://schemas.microsoft.com/office/drawing/2014/chart" uri="{C3380CC4-5D6E-409C-BE32-E72D297353CC}">
              <c16:uniqueId val="{00000004-8246-F346-8832-252E300816D6}"/>
            </c:ext>
          </c:extLst>
        </c:ser>
        <c:ser>
          <c:idx val="5"/>
          <c:order val="5"/>
          <c:tx>
            <c:strRef>
              <c:f>'Q-10 Analysis'!$H$32:$H$33</c:f>
              <c:strCache>
                <c:ptCount val="1"/>
                <c:pt idx="0">
                  <c:v>Meat/Poultry</c:v>
                </c:pt>
              </c:strCache>
            </c:strRef>
          </c:tx>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cat>
            <c:strRef>
              <c:f>'Q-10 Analysis'!$B$34:$B$38</c:f>
              <c:strCache>
                <c:ptCount val="4"/>
                <c:pt idx="0">
                  <c:v>Q1 Winter</c:v>
                </c:pt>
                <c:pt idx="1">
                  <c:v>Q2 Spring</c:v>
                </c:pt>
                <c:pt idx="2">
                  <c:v>Q3 Summer</c:v>
                </c:pt>
                <c:pt idx="3">
                  <c:v>Q4 Autumn</c:v>
                </c:pt>
              </c:strCache>
            </c:strRef>
          </c:cat>
          <c:val>
            <c:numRef>
              <c:f>'Q-10 Analysis'!$H$34:$H$38</c:f>
              <c:numCache>
                <c:formatCode>General</c:formatCode>
                <c:ptCount val="4"/>
                <c:pt idx="0">
                  <c:v>57</c:v>
                </c:pt>
                <c:pt idx="1">
                  <c:v>32</c:v>
                </c:pt>
                <c:pt idx="2">
                  <c:v>25</c:v>
                </c:pt>
                <c:pt idx="3">
                  <c:v>37</c:v>
                </c:pt>
              </c:numCache>
            </c:numRef>
          </c:val>
          <c:smooth val="0"/>
          <c:extLst>
            <c:ext xmlns:c16="http://schemas.microsoft.com/office/drawing/2014/chart" uri="{C3380CC4-5D6E-409C-BE32-E72D297353CC}">
              <c16:uniqueId val="{00000005-8246-F346-8832-252E300816D6}"/>
            </c:ext>
          </c:extLst>
        </c:ser>
        <c:ser>
          <c:idx val="6"/>
          <c:order val="6"/>
          <c:tx>
            <c:strRef>
              <c:f>'Q-10 Analysis'!$I$32:$I$33</c:f>
              <c:strCache>
                <c:ptCount val="1"/>
                <c:pt idx="0">
                  <c:v>Produce</c:v>
                </c:pt>
              </c:strCache>
            </c:strRef>
          </c:tx>
          <c:spPr>
            <a:ln w="34925" cap="rnd">
              <a:solidFill>
                <a:schemeClr val="accent1">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w="9525">
                <a:solidFill>
                  <a:schemeClr val="accent1">
                    <a:lumMod val="60000"/>
                  </a:schemeClr>
                </a:solidFill>
                <a:round/>
              </a:ln>
              <a:effectLst>
                <a:outerShdw blurRad="57150" dist="19050" dir="5400000" algn="ctr" rotWithShape="0">
                  <a:srgbClr val="000000">
                    <a:alpha val="63000"/>
                  </a:srgbClr>
                </a:outerShdw>
              </a:effectLst>
            </c:spPr>
          </c:marker>
          <c:cat>
            <c:strRef>
              <c:f>'Q-10 Analysis'!$B$34:$B$38</c:f>
              <c:strCache>
                <c:ptCount val="4"/>
                <c:pt idx="0">
                  <c:v>Q1 Winter</c:v>
                </c:pt>
                <c:pt idx="1">
                  <c:v>Q2 Spring</c:v>
                </c:pt>
                <c:pt idx="2">
                  <c:v>Q3 Summer</c:v>
                </c:pt>
                <c:pt idx="3">
                  <c:v>Q4 Autumn</c:v>
                </c:pt>
              </c:strCache>
            </c:strRef>
          </c:cat>
          <c:val>
            <c:numRef>
              <c:f>'Q-10 Analysis'!$I$34:$I$38</c:f>
              <c:numCache>
                <c:formatCode>General</c:formatCode>
                <c:ptCount val="4"/>
                <c:pt idx="0">
                  <c:v>39</c:v>
                </c:pt>
                <c:pt idx="1">
                  <c:v>34</c:v>
                </c:pt>
                <c:pt idx="2">
                  <c:v>21</c:v>
                </c:pt>
                <c:pt idx="3">
                  <c:v>22</c:v>
                </c:pt>
              </c:numCache>
            </c:numRef>
          </c:val>
          <c:smooth val="0"/>
          <c:extLst>
            <c:ext xmlns:c16="http://schemas.microsoft.com/office/drawing/2014/chart" uri="{C3380CC4-5D6E-409C-BE32-E72D297353CC}">
              <c16:uniqueId val="{00000006-8246-F346-8832-252E300816D6}"/>
            </c:ext>
          </c:extLst>
        </c:ser>
        <c:ser>
          <c:idx val="7"/>
          <c:order val="7"/>
          <c:tx>
            <c:strRef>
              <c:f>'Q-10 Analysis'!$J$32:$J$33</c:f>
              <c:strCache>
                <c:ptCount val="1"/>
                <c:pt idx="0">
                  <c:v>Seafood</c:v>
                </c:pt>
              </c:strCache>
            </c:strRef>
          </c:tx>
          <c:spPr>
            <a:ln w="34925" cap="rnd">
              <a:solidFill>
                <a:schemeClr val="accent2">
                  <a:lumMod val="600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w="9525">
                <a:solidFill>
                  <a:schemeClr val="accent2">
                    <a:lumMod val="60000"/>
                  </a:schemeClr>
                </a:solidFill>
                <a:round/>
              </a:ln>
              <a:effectLst>
                <a:outerShdw blurRad="57150" dist="19050" dir="5400000" algn="ctr" rotWithShape="0">
                  <a:srgbClr val="000000">
                    <a:alpha val="63000"/>
                  </a:srgbClr>
                </a:outerShdw>
              </a:effectLst>
            </c:spPr>
          </c:marker>
          <c:cat>
            <c:strRef>
              <c:f>'Q-10 Analysis'!$B$34:$B$38</c:f>
              <c:strCache>
                <c:ptCount val="4"/>
                <c:pt idx="0">
                  <c:v>Q1 Winter</c:v>
                </c:pt>
                <c:pt idx="1">
                  <c:v>Q2 Spring</c:v>
                </c:pt>
                <c:pt idx="2">
                  <c:v>Q3 Summer</c:v>
                </c:pt>
                <c:pt idx="3">
                  <c:v>Q4 Autumn</c:v>
                </c:pt>
              </c:strCache>
            </c:strRef>
          </c:cat>
          <c:val>
            <c:numRef>
              <c:f>'Q-10 Analysis'!$J$34:$J$38</c:f>
              <c:numCache>
                <c:formatCode>General</c:formatCode>
                <c:ptCount val="4"/>
                <c:pt idx="0">
                  <c:v>84</c:v>
                </c:pt>
                <c:pt idx="1">
                  <c:v>68</c:v>
                </c:pt>
                <c:pt idx="2">
                  <c:v>46</c:v>
                </c:pt>
                <c:pt idx="3">
                  <c:v>68</c:v>
                </c:pt>
              </c:numCache>
            </c:numRef>
          </c:val>
          <c:smooth val="0"/>
          <c:extLst>
            <c:ext xmlns:c16="http://schemas.microsoft.com/office/drawing/2014/chart" uri="{C3380CC4-5D6E-409C-BE32-E72D297353CC}">
              <c16:uniqueId val="{00000007-8246-F346-8832-252E300816D6}"/>
            </c:ext>
          </c:extLst>
        </c:ser>
        <c:dLbls>
          <c:showLegendKey val="0"/>
          <c:showVal val="0"/>
          <c:showCatName val="0"/>
          <c:showSerName val="0"/>
          <c:showPercent val="0"/>
          <c:showBubbleSize val="0"/>
        </c:dLbls>
        <c:marker val="1"/>
        <c:smooth val="0"/>
        <c:axId val="2024470528"/>
        <c:axId val="2035126656"/>
      </c:lineChart>
      <c:catAx>
        <c:axId val="20244705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35126656"/>
        <c:crosses val="autoZero"/>
        <c:auto val="1"/>
        <c:lblAlgn val="ctr"/>
        <c:lblOffset val="100"/>
        <c:noMultiLvlLbl val="0"/>
      </c:catAx>
      <c:valAx>
        <c:axId val="203512665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24470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[PAVAN KUMAR MAGANDI_CAPSTONE PROJECT_SALES ANALYTICS.xlsx]Q-11 Analysis!PivotTable31</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rgbClr val="FFFFFF">
                    <a:lumMod val="95000"/>
                  </a:srgbClr>
                </a:solidFill>
                <a:effectLst>
                  <a:outerShdw blurRad="50800" dist="38100" dir="5400000" algn="t" rotWithShape="0">
                    <a:prstClr val="black">
                      <a:alpha val="40000"/>
                    </a:prstClr>
                  </a:outerShdw>
                </a:effectLst>
                <a:latin typeface="+mn-lt"/>
                <a:ea typeface="+mn-ea"/>
                <a:cs typeface="+mn-cs"/>
              </a:defRPr>
            </a:pPr>
            <a:r>
              <a:rPr lang="en-IN" b="1"/>
              <a:t>Anomaly Analysis by Product Category</a:t>
            </a: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rgbClr val="FFFFFF">
                  <a:lumMod val="95000"/>
                </a:srgb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'Q-11 Analysis'!$C$3:$C$4</c:f>
              <c:strCache>
                <c:ptCount val="1"/>
                <c:pt idx="0">
                  <c:v>Beverages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'Q-11 Analysis'!$B$5:$B$9</c:f>
              <c:strCache>
                <c:ptCount val="4"/>
                <c:pt idx="0">
                  <c:v>Discount Anomaly</c:v>
                </c:pt>
                <c:pt idx="1">
                  <c:v>Normal</c:v>
                </c:pt>
                <c:pt idx="2">
                  <c:v>Revenue Anomaly</c:v>
                </c:pt>
                <c:pt idx="3">
                  <c:v>Volume Anomaly</c:v>
                </c:pt>
              </c:strCache>
            </c:strRef>
          </c:cat>
          <c:val>
            <c:numRef>
              <c:f>'Q-11 Analysis'!$C$5:$C$9</c:f>
              <c:numCache>
                <c:formatCode>General</c:formatCode>
                <c:ptCount val="4"/>
                <c:pt idx="0">
                  <c:v>1057</c:v>
                </c:pt>
                <c:pt idx="1">
                  <c:v>7852</c:v>
                </c:pt>
                <c:pt idx="2">
                  <c:v>623</c:v>
                </c:pt>
              </c:numCache>
            </c:numRef>
          </c:val>
          <c:extLst>
            <c:ext xmlns:c16="http://schemas.microsoft.com/office/drawing/2014/chart" uri="{C3380CC4-5D6E-409C-BE32-E72D297353CC}">
              <c16:uniqueId val="{00000000-BAB1-284C-8F45-ADA1E58CDAE8}"/>
            </c:ext>
          </c:extLst>
        </c:ser>
        <c:ser>
          <c:idx val="1"/>
          <c:order val="1"/>
          <c:tx>
            <c:strRef>
              <c:f>'Q-11 Analysis'!$D$3:$D$4</c:f>
              <c:strCache>
                <c:ptCount val="1"/>
                <c:pt idx="0">
                  <c:v>Condiments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'Q-11 Analysis'!$B$5:$B$9</c:f>
              <c:strCache>
                <c:ptCount val="4"/>
                <c:pt idx="0">
                  <c:v>Discount Anomaly</c:v>
                </c:pt>
                <c:pt idx="1">
                  <c:v>Normal</c:v>
                </c:pt>
                <c:pt idx="2">
                  <c:v>Revenue Anomaly</c:v>
                </c:pt>
                <c:pt idx="3">
                  <c:v>Volume Anomaly</c:v>
                </c:pt>
              </c:strCache>
            </c:strRef>
          </c:cat>
          <c:val>
            <c:numRef>
              <c:f>'Q-11 Analysis'!$D$5:$D$9</c:f>
              <c:numCache>
                <c:formatCode>General</c:formatCode>
                <c:ptCount val="4"/>
                <c:pt idx="1">
                  <c:v>5298</c:v>
                </c:pt>
              </c:numCache>
            </c:numRef>
          </c:val>
          <c:extLst>
            <c:ext xmlns:c16="http://schemas.microsoft.com/office/drawing/2014/chart" uri="{C3380CC4-5D6E-409C-BE32-E72D297353CC}">
              <c16:uniqueId val="{00000001-BAB1-284C-8F45-ADA1E58CDAE8}"/>
            </c:ext>
          </c:extLst>
        </c:ser>
        <c:ser>
          <c:idx val="2"/>
          <c:order val="2"/>
          <c:tx>
            <c:strRef>
              <c:f>'Q-11 Analysis'!$E$3:$E$4</c:f>
              <c:strCache>
                <c:ptCount val="1"/>
                <c:pt idx="0">
                  <c:v>Confections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'Q-11 Analysis'!$B$5:$B$9</c:f>
              <c:strCache>
                <c:ptCount val="4"/>
                <c:pt idx="0">
                  <c:v>Discount Anomaly</c:v>
                </c:pt>
                <c:pt idx="1">
                  <c:v>Normal</c:v>
                </c:pt>
                <c:pt idx="2">
                  <c:v>Revenue Anomaly</c:v>
                </c:pt>
                <c:pt idx="3">
                  <c:v>Volume Anomaly</c:v>
                </c:pt>
              </c:strCache>
            </c:strRef>
          </c:cat>
          <c:val>
            <c:numRef>
              <c:f>'Q-11 Analysis'!$E$5:$E$9</c:f>
              <c:numCache>
                <c:formatCode>General</c:formatCode>
                <c:ptCount val="4"/>
                <c:pt idx="0">
                  <c:v>138</c:v>
                </c:pt>
                <c:pt idx="1">
                  <c:v>7768</c:v>
                </c:pt>
              </c:numCache>
            </c:numRef>
          </c:val>
          <c:extLst>
            <c:ext xmlns:c16="http://schemas.microsoft.com/office/drawing/2014/chart" uri="{C3380CC4-5D6E-409C-BE32-E72D297353CC}">
              <c16:uniqueId val="{00000002-BAB1-284C-8F45-ADA1E58CDAE8}"/>
            </c:ext>
          </c:extLst>
        </c:ser>
        <c:ser>
          <c:idx val="3"/>
          <c:order val="3"/>
          <c:tx>
            <c:strRef>
              <c:f>'Q-11 Analysis'!$F$3:$F$4</c:f>
              <c:strCache>
                <c:ptCount val="1"/>
                <c:pt idx="0">
                  <c:v>Dairy Products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'Q-11 Analysis'!$B$5:$B$9</c:f>
              <c:strCache>
                <c:ptCount val="4"/>
                <c:pt idx="0">
                  <c:v>Discount Anomaly</c:v>
                </c:pt>
                <c:pt idx="1">
                  <c:v>Normal</c:v>
                </c:pt>
                <c:pt idx="2">
                  <c:v>Revenue Anomaly</c:v>
                </c:pt>
                <c:pt idx="3">
                  <c:v>Volume Anomaly</c:v>
                </c:pt>
              </c:strCache>
            </c:strRef>
          </c:cat>
          <c:val>
            <c:numRef>
              <c:f>'Q-11 Analysis'!$F$5:$F$9</c:f>
              <c:numCache>
                <c:formatCode>General</c:formatCode>
                <c:ptCount val="4"/>
                <c:pt idx="1">
                  <c:v>4679</c:v>
                </c:pt>
                <c:pt idx="2">
                  <c:v>1496</c:v>
                </c:pt>
                <c:pt idx="3">
                  <c:v>2974</c:v>
                </c:pt>
              </c:numCache>
            </c:numRef>
          </c:val>
          <c:extLst>
            <c:ext xmlns:c16="http://schemas.microsoft.com/office/drawing/2014/chart" uri="{C3380CC4-5D6E-409C-BE32-E72D297353CC}">
              <c16:uniqueId val="{00000003-BAB1-284C-8F45-ADA1E58CDAE8}"/>
            </c:ext>
          </c:extLst>
        </c:ser>
        <c:ser>
          <c:idx val="4"/>
          <c:order val="4"/>
          <c:tx>
            <c:strRef>
              <c:f>'Q-11 Analysis'!$G$3:$G$4</c:f>
              <c:strCache>
                <c:ptCount val="1"/>
                <c:pt idx="0">
                  <c:v>Grains/Cereals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'Q-11 Analysis'!$B$5:$B$9</c:f>
              <c:strCache>
                <c:ptCount val="4"/>
                <c:pt idx="0">
                  <c:v>Discount Anomaly</c:v>
                </c:pt>
                <c:pt idx="1">
                  <c:v>Normal</c:v>
                </c:pt>
                <c:pt idx="2">
                  <c:v>Revenue Anomaly</c:v>
                </c:pt>
                <c:pt idx="3">
                  <c:v>Volume Anomaly</c:v>
                </c:pt>
              </c:strCache>
            </c:strRef>
          </c:cat>
          <c:val>
            <c:numRef>
              <c:f>'Q-11 Analysis'!$G$5:$G$9</c:f>
              <c:numCache>
                <c:formatCode>General</c:formatCode>
                <c:ptCount val="4"/>
                <c:pt idx="1">
                  <c:v>4562</c:v>
                </c:pt>
              </c:numCache>
            </c:numRef>
          </c:val>
          <c:extLst>
            <c:ext xmlns:c16="http://schemas.microsoft.com/office/drawing/2014/chart" uri="{C3380CC4-5D6E-409C-BE32-E72D297353CC}">
              <c16:uniqueId val="{00000004-BAB1-284C-8F45-ADA1E58CDAE8}"/>
            </c:ext>
          </c:extLst>
        </c:ser>
        <c:ser>
          <c:idx val="5"/>
          <c:order val="5"/>
          <c:tx>
            <c:strRef>
              <c:f>'Q-11 Analysis'!$H$3:$H$4</c:f>
              <c:strCache>
                <c:ptCount val="1"/>
                <c:pt idx="0">
                  <c:v>Meat/Poultry</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'Q-11 Analysis'!$B$5:$B$9</c:f>
              <c:strCache>
                <c:ptCount val="4"/>
                <c:pt idx="0">
                  <c:v>Discount Anomaly</c:v>
                </c:pt>
                <c:pt idx="1">
                  <c:v>Normal</c:v>
                </c:pt>
                <c:pt idx="2">
                  <c:v>Revenue Anomaly</c:v>
                </c:pt>
                <c:pt idx="3">
                  <c:v>Volume Anomaly</c:v>
                </c:pt>
              </c:strCache>
            </c:strRef>
          </c:cat>
          <c:val>
            <c:numRef>
              <c:f>'Q-11 Analysis'!$H$5:$H$9</c:f>
              <c:numCache>
                <c:formatCode>General</c:formatCode>
                <c:ptCount val="4"/>
                <c:pt idx="0">
                  <c:v>95</c:v>
                </c:pt>
                <c:pt idx="1">
                  <c:v>3358</c:v>
                </c:pt>
                <c:pt idx="2">
                  <c:v>746</c:v>
                </c:pt>
              </c:numCache>
            </c:numRef>
          </c:val>
          <c:extLst>
            <c:ext xmlns:c16="http://schemas.microsoft.com/office/drawing/2014/chart" uri="{C3380CC4-5D6E-409C-BE32-E72D297353CC}">
              <c16:uniqueId val="{00000005-BAB1-284C-8F45-ADA1E58CDAE8}"/>
            </c:ext>
          </c:extLst>
        </c:ser>
        <c:ser>
          <c:idx val="6"/>
          <c:order val="6"/>
          <c:tx>
            <c:strRef>
              <c:f>'Q-11 Analysis'!$I$3:$I$4</c:f>
              <c:strCache>
                <c:ptCount val="1"/>
                <c:pt idx="0">
                  <c:v>Produce</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'Q-11 Analysis'!$B$5:$B$9</c:f>
              <c:strCache>
                <c:ptCount val="4"/>
                <c:pt idx="0">
                  <c:v>Discount Anomaly</c:v>
                </c:pt>
                <c:pt idx="1">
                  <c:v>Normal</c:v>
                </c:pt>
                <c:pt idx="2">
                  <c:v>Revenue Anomaly</c:v>
                </c:pt>
                <c:pt idx="3">
                  <c:v>Volume Anomaly</c:v>
                </c:pt>
              </c:strCache>
            </c:strRef>
          </c:cat>
          <c:val>
            <c:numRef>
              <c:f>'Q-11 Analysis'!$I$5:$I$9</c:f>
              <c:numCache>
                <c:formatCode>General</c:formatCode>
                <c:ptCount val="4"/>
                <c:pt idx="1">
                  <c:v>2990</c:v>
                </c:pt>
              </c:numCache>
            </c:numRef>
          </c:val>
          <c:extLst>
            <c:ext xmlns:c16="http://schemas.microsoft.com/office/drawing/2014/chart" uri="{C3380CC4-5D6E-409C-BE32-E72D297353CC}">
              <c16:uniqueId val="{00000006-BAB1-284C-8F45-ADA1E58CDAE8}"/>
            </c:ext>
          </c:extLst>
        </c:ser>
        <c:ser>
          <c:idx val="7"/>
          <c:order val="7"/>
          <c:tx>
            <c:strRef>
              <c:f>'Q-11 Analysis'!$J$3:$J$4</c:f>
              <c:strCache>
                <c:ptCount val="1"/>
                <c:pt idx="0">
                  <c:v>Seafood</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'Q-11 Analysis'!$B$5:$B$9</c:f>
              <c:strCache>
                <c:ptCount val="4"/>
                <c:pt idx="0">
                  <c:v>Discount Anomaly</c:v>
                </c:pt>
                <c:pt idx="1">
                  <c:v>Normal</c:v>
                </c:pt>
                <c:pt idx="2">
                  <c:v>Revenue Anomaly</c:v>
                </c:pt>
                <c:pt idx="3">
                  <c:v>Volume Anomaly</c:v>
                </c:pt>
              </c:strCache>
            </c:strRef>
          </c:cat>
          <c:val>
            <c:numRef>
              <c:f>'Q-11 Analysis'!$J$5:$J$9</c:f>
              <c:numCache>
                <c:formatCode>General</c:formatCode>
                <c:ptCount val="4"/>
                <c:pt idx="0">
                  <c:v>534</c:v>
                </c:pt>
                <c:pt idx="1">
                  <c:v>7147</c:v>
                </c:pt>
              </c:numCache>
            </c:numRef>
          </c:val>
          <c:extLst>
            <c:ext xmlns:c16="http://schemas.microsoft.com/office/drawing/2014/chart" uri="{C3380CC4-5D6E-409C-BE32-E72D297353CC}">
              <c16:uniqueId val="{00000007-BAB1-284C-8F45-ADA1E58CDAE8}"/>
            </c:ext>
          </c:extLst>
        </c:ser>
        <c:dLbls>
          <c:showLegendKey val="0"/>
          <c:showVal val="0"/>
          <c:showCatName val="0"/>
          <c:showSerName val="0"/>
          <c:showPercent val="0"/>
          <c:showBubbleSize val="0"/>
        </c:dLbls>
        <c:gapWidth val="100"/>
        <c:overlap val="-24"/>
        <c:axId val="113221055"/>
        <c:axId val="2037922240"/>
      </c:barChart>
      <c:catAx>
        <c:axId val="11322105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37922240"/>
        <c:crosses val="autoZero"/>
        <c:auto val="1"/>
        <c:lblAlgn val="ctr"/>
        <c:lblOffset val="100"/>
        <c:noMultiLvlLbl val="0"/>
      </c:catAx>
      <c:valAx>
        <c:axId val="203792224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113221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[PAVAN KUMAR MAGANDI_CAPSTONE PROJECT_SALES ANALYTICS.xlsx]Q-11 Analysis!PivotTable32</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Sales and Anomaly Analysis by Product Category</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'Q-11 Analysis'!$C$26:$C$27</c:f>
              <c:strCache>
                <c:ptCount val="1"/>
                <c:pt idx="0">
                  <c:v>Beverages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'Q-11 Analysis'!$B$28:$B$32</c:f>
              <c:strCache>
                <c:ptCount val="4"/>
                <c:pt idx="0">
                  <c:v>Discount Anomaly</c:v>
                </c:pt>
                <c:pt idx="1">
                  <c:v>Normal</c:v>
                </c:pt>
                <c:pt idx="2">
                  <c:v>Revenue Anomaly</c:v>
                </c:pt>
                <c:pt idx="3">
                  <c:v>Volume Anomaly</c:v>
                </c:pt>
              </c:strCache>
            </c:strRef>
          </c:cat>
          <c:val>
            <c:numRef>
              <c:f>'Q-11 Analysis'!$C$28:$C$32</c:f>
              <c:numCache>
                <c:formatCode>General</c:formatCode>
                <c:ptCount val="4"/>
                <c:pt idx="0">
                  <c:v>16355.96</c:v>
                </c:pt>
                <c:pt idx="1">
                  <c:v>110115.48000000001</c:v>
                </c:pt>
                <c:pt idx="2">
                  <c:v>141396.73000000001</c:v>
                </c:pt>
              </c:numCache>
            </c:numRef>
          </c:val>
          <c:extLst>
            <c:ext xmlns:c16="http://schemas.microsoft.com/office/drawing/2014/chart" uri="{C3380CC4-5D6E-409C-BE32-E72D297353CC}">
              <c16:uniqueId val="{00000000-8E50-614F-9FFA-A291AA7090C2}"/>
            </c:ext>
          </c:extLst>
        </c:ser>
        <c:ser>
          <c:idx val="1"/>
          <c:order val="1"/>
          <c:tx>
            <c:strRef>
              <c:f>'Q-11 Analysis'!$D$26:$D$27</c:f>
              <c:strCache>
                <c:ptCount val="1"/>
                <c:pt idx="0">
                  <c:v>Condiments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'Q-11 Analysis'!$B$28:$B$32</c:f>
              <c:strCache>
                <c:ptCount val="4"/>
                <c:pt idx="0">
                  <c:v>Discount Anomaly</c:v>
                </c:pt>
                <c:pt idx="1">
                  <c:v>Normal</c:v>
                </c:pt>
                <c:pt idx="2">
                  <c:v>Revenue Anomaly</c:v>
                </c:pt>
                <c:pt idx="3">
                  <c:v>Volume Anomaly</c:v>
                </c:pt>
              </c:strCache>
            </c:strRef>
          </c:cat>
          <c:val>
            <c:numRef>
              <c:f>'Q-11 Analysis'!$D$28:$D$32</c:f>
              <c:numCache>
                <c:formatCode>General</c:formatCode>
                <c:ptCount val="4"/>
                <c:pt idx="1">
                  <c:v>106047.08000000002</c:v>
                </c:pt>
              </c:numCache>
            </c:numRef>
          </c:val>
          <c:extLst>
            <c:ext xmlns:c16="http://schemas.microsoft.com/office/drawing/2014/chart" uri="{C3380CC4-5D6E-409C-BE32-E72D297353CC}">
              <c16:uniqueId val="{00000001-8E50-614F-9FFA-A291AA7090C2}"/>
            </c:ext>
          </c:extLst>
        </c:ser>
        <c:ser>
          <c:idx val="2"/>
          <c:order val="2"/>
          <c:tx>
            <c:strRef>
              <c:f>'Q-11 Analysis'!$E$26:$E$27</c:f>
              <c:strCache>
                <c:ptCount val="1"/>
                <c:pt idx="0">
                  <c:v>Confections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'Q-11 Analysis'!$B$28:$B$32</c:f>
              <c:strCache>
                <c:ptCount val="4"/>
                <c:pt idx="0">
                  <c:v>Discount Anomaly</c:v>
                </c:pt>
                <c:pt idx="1">
                  <c:v>Normal</c:v>
                </c:pt>
                <c:pt idx="2">
                  <c:v>Revenue Anomaly</c:v>
                </c:pt>
                <c:pt idx="3">
                  <c:v>Volume Anomaly</c:v>
                </c:pt>
              </c:strCache>
            </c:strRef>
          </c:cat>
          <c:val>
            <c:numRef>
              <c:f>'Q-11 Analysis'!$E$28:$E$32</c:f>
              <c:numCache>
                <c:formatCode>General</c:formatCode>
                <c:ptCount val="4"/>
                <c:pt idx="0">
                  <c:v>1368.71</c:v>
                </c:pt>
                <c:pt idx="1">
                  <c:v>165988.52000000002</c:v>
                </c:pt>
              </c:numCache>
            </c:numRef>
          </c:val>
          <c:extLst>
            <c:ext xmlns:c16="http://schemas.microsoft.com/office/drawing/2014/chart" uri="{C3380CC4-5D6E-409C-BE32-E72D297353CC}">
              <c16:uniqueId val="{00000002-8E50-614F-9FFA-A291AA7090C2}"/>
            </c:ext>
          </c:extLst>
        </c:ser>
        <c:ser>
          <c:idx val="3"/>
          <c:order val="3"/>
          <c:tx>
            <c:strRef>
              <c:f>'Q-11 Analysis'!$F$26:$F$27</c:f>
              <c:strCache>
                <c:ptCount val="1"/>
                <c:pt idx="0">
                  <c:v>Dairy Products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'Q-11 Analysis'!$B$28:$B$32</c:f>
              <c:strCache>
                <c:ptCount val="4"/>
                <c:pt idx="0">
                  <c:v>Discount Anomaly</c:v>
                </c:pt>
                <c:pt idx="1">
                  <c:v>Normal</c:v>
                </c:pt>
                <c:pt idx="2">
                  <c:v>Revenue Anomaly</c:v>
                </c:pt>
                <c:pt idx="3">
                  <c:v>Volume Anomaly</c:v>
                </c:pt>
              </c:strCache>
            </c:strRef>
          </c:cat>
          <c:val>
            <c:numRef>
              <c:f>'Q-11 Analysis'!$F$28:$F$32</c:f>
              <c:numCache>
                <c:formatCode>General</c:formatCode>
                <c:ptCount val="4"/>
                <c:pt idx="1">
                  <c:v>101605.23000000001</c:v>
                </c:pt>
                <c:pt idx="2">
                  <c:v>71155.7</c:v>
                </c:pt>
                <c:pt idx="3">
                  <c:v>61746.36</c:v>
                </c:pt>
              </c:numCache>
            </c:numRef>
          </c:val>
          <c:extLst>
            <c:ext xmlns:c16="http://schemas.microsoft.com/office/drawing/2014/chart" uri="{C3380CC4-5D6E-409C-BE32-E72D297353CC}">
              <c16:uniqueId val="{00000003-8E50-614F-9FFA-A291AA7090C2}"/>
            </c:ext>
          </c:extLst>
        </c:ser>
        <c:ser>
          <c:idx val="4"/>
          <c:order val="4"/>
          <c:tx>
            <c:strRef>
              <c:f>'Q-11 Analysis'!$G$26:$G$27</c:f>
              <c:strCache>
                <c:ptCount val="1"/>
                <c:pt idx="0">
                  <c:v>Grains/Cereals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'Q-11 Analysis'!$B$28:$B$32</c:f>
              <c:strCache>
                <c:ptCount val="4"/>
                <c:pt idx="0">
                  <c:v>Discount Anomaly</c:v>
                </c:pt>
                <c:pt idx="1">
                  <c:v>Normal</c:v>
                </c:pt>
                <c:pt idx="2">
                  <c:v>Revenue Anomaly</c:v>
                </c:pt>
                <c:pt idx="3">
                  <c:v>Volume Anomaly</c:v>
                </c:pt>
              </c:strCache>
            </c:strRef>
          </c:cat>
          <c:val>
            <c:numRef>
              <c:f>'Q-11 Analysis'!$G$28:$G$32</c:f>
              <c:numCache>
                <c:formatCode>General</c:formatCode>
                <c:ptCount val="4"/>
                <c:pt idx="1">
                  <c:v>95744.59</c:v>
                </c:pt>
              </c:numCache>
            </c:numRef>
          </c:val>
          <c:extLst>
            <c:ext xmlns:c16="http://schemas.microsoft.com/office/drawing/2014/chart" uri="{C3380CC4-5D6E-409C-BE32-E72D297353CC}">
              <c16:uniqueId val="{00000004-8E50-614F-9FFA-A291AA7090C2}"/>
            </c:ext>
          </c:extLst>
        </c:ser>
        <c:ser>
          <c:idx val="5"/>
          <c:order val="5"/>
          <c:tx>
            <c:strRef>
              <c:f>'Q-11 Analysis'!$H$26:$H$27</c:f>
              <c:strCache>
                <c:ptCount val="1"/>
                <c:pt idx="0">
                  <c:v>Meat/Poultry</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'Q-11 Analysis'!$B$28:$B$32</c:f>
              <c:strCache>
                <c:ptCount val="4"/>
                <c:pt idx="0">
                  <c:v>Discount Anomaly</c:v>
                </c:pt>
                <c:pt idx="1">
                  <c:v>Normal</c:v>
                </c:pt>
                <c:pt idx="2">
                  <c:v>Revenue Anomaly</c:v>
                </c:pt>
                <c:pt idx="3">
                  <c:v>Volume Anomaly</c:v>
                </c:pt>
              </c:strCache>
            </c:strRef>
          </c:cat>
          <c:val>
            <c:numRef>
              <c:f>'Q-11 Analysis'!$H$28:$H$32</c:f>
              <c:numCache>
                <c:formatCode>General</c:formatCode>
                <c:ptCount val="4"/>
                <c:pt idx="0">
                  <c:v>7226.5</c:v>
                </c:pt>
                <c:pt idx="1">
                  <c:v>75427.19</c:v>
                </c:pt>
                <c:pt idx="2">
                  <c:v>80368.67</c:v>
                </c:pt>
              </c:numCache>
            </c:numRef>
          </c:val>
          <c:extLst>
            <c:ext xmlns:c16="http://schemas.microsoft.com/office/drawing/2014/chart" uri="{C3380CC4-5D6E-409C-BE32-E72D297353CC}">
              <c16:uniqueId val="{00000005-8E50-614F-9FFA-A291AA7090C2}"/>
            </c:ext>
          </c:extLst>
        </c:ser>
        <c:ser>
          <c:idx val="6"/>
          <c:order val="6"/>
          <c:tx>
            <c:strRef>
              <c:f>'Q-11 Analysis'!$I$26:$I$27</c:f>
              <c:strCache>
                <c:ptCount val="1"/>
                <c:pt idx="0">
                  <c:v>Produce</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'Q-11 Analysis'!$B$28:$B$32</c:f>
              <c:strCache>
                <c:ptCount val="4"/>
                <c:pt idx="0">
                  <c:v>Discount Anomaly</c:v>
                </c:pt>
                <c:pt idx="1">
                  <c:v>Normal</c:v>
                </c:pt>
                <c:pt idx="2">
                  <c:v>Revenue Anomaly</c:v>
                </c:pt>
                <c:pt idx="3">
                  <c:v>Volume Anomaly</c:v>
                </c:pt>
              </c:strCache>
            </c:strRef>
          </c:cat>
          <c:val>
            <c:numRef>
              <c:f>'Q-11 Analysis'!$I$28:$I$32</c:f>
              <c:numCache>
                <c:formatCode>General</c:formatCode>
                <c:ptCount val="4"/>
                <c:pt idx="1">
                  <c:v>99984.580000000016</c:v>
                </c:pt>
              </c:numCache>
            </c:numRef>
          </c:val>
          <c:extLst>
            <c:ext xmlns:c16="http://schemas.microsoft.com/office/drawing/2014/chart" uri="{C3380CC4-5D6E-409C-BE32-E72D297353CC}">
              <c16:uniqueId val="{00000006-8E50-614F-9FFA-A291AA7090C2}"/>
            </c:ext>
          </c:extLst>
        </c:ser>
        <c:ser>
          <c:idx val="7"/>
          <c:order val="7"/>
          <c:tx>
            <c:strRef>
              <c:f>'Q-11 Analysis'!$J$26:$J$27</c:f>
              <c:strCache>
                <c:ptCount val="1"/>
                <c:pt idx="0">
                  <c:v>Seafood</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'Q-11 Analysis'!$B$28:$B$32</c:f>
              <c:strCache>
                <c:ptCount val="4"/>
                <c:pt idx="0">
                  <c:v>Discount Anomaly</c:v>
                </c:pt>
                <c:pt idx="1">
                  <c:v>Normal</c:v>
                </c:pt>
                <c:pt idx="2">
                  <c:v>Revenue Anomaly</c:v>
                </c:pt>
                <c:pt idx="3">
                  <c:v>Volume Anomaly</c:v>
                </c:pt>
              </c:strCache>
            </c:strRef>
          </c:cat>
          <c:val>
            <c:numRef>
              <c:f>'Q-11 Analysis'!$J$28:$J$32</c:f>
              <c:numCache>
                <c:formatCode>General</c:formatCode>
                <c:ptCount val="4"/>
                <c:pt idx="0">
                  <c:v>5881.67</c:v>
                </c:pt>
                <c:pt idx="1">
                  <c:v>125380.06</c:v>
                </c:pt>
              </c:numCache>
            </c:numRef>
          </c:val>
          <c:extLst>
            <c:ext xmlns:c16="http://schemas.microsoft.com/office/drawing/2014/chart" uri="{C3380CC4-5D6E-409C-BE32-E72D297353CC}">
              <c16:uniqueId val="{00000007-8E50-614F-9FFA-A291AA7090C2}"/>
            </c:ext>
          </c:extLst>
        </c:ser>
        <c:dLbls>
          <c:showLegendKey val="0"/>
          <c:showVal val="0"/>
          <c:showCatName val="0"/>
          <c:showSerName val="0"/>
          <c:showPercent val="0"/>
          <c:showBubbleSize val="0"/>
        </c:dLbls>
        <c:gapWidth val="100"/>
        <c:overlap val="-24"/>
        <c:axId val="2017954880"/>
        <c:axId val="2017962048"/>
      </c:barChart>
      <c:catAx>
        <c:axId val="20179548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17962048"/>
        <c:crosses val="autoZero"/>
        <c:auto val="1"/>
        <c:lblAlgn val="ctr"/>
        <c:lblOffset val="100"/>
        <c:noMultiLvlLbl val="0"/>
      </c:catAx>
      <c:valAx>
        <c:axId val="201796204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179548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[PAVAN KUMAR MAGANDI_CAPSTONE PROJECT_SALES ANALYTICS.xlsx]Q-12 Analysis!PivotTable33</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City-wise Total Analysis with Peak Insights</a:t>
            </a:r>
            <a:endParaRPr lang="en-GB"/>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GB"/>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'Q-12 Analysis'!$C$3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'Q-12 Analysis'!$B$4:$B$33</c:f>
              <c:strCache>
                <c:ptCount val="29"/>
                <c:pt idx="0">
                  <c:v>Ann Arbor</c:v>
                </c:pt>
                <c:pt idx="1">
                  <c:v>Annecy</c:v>
                </c:pt>
                <c:pt idx="2">
                  <c:v>Bend</c:v>
                </c:pt>
                <c:pt idx="3">
                  <c:v>Berlin</c:v>
                </c:pt>
                <c:pt idx="4">
                  <c:v>Boston</c:v>
                </c:pt>
                <c:pt idx="5">
                  <c:v>Cuxhaven</c:v>
                </c:pt>
                <c:pt idx="6">
                  <c:v>Frankfurt</c:v>
                </c:pt>
                <c:pt idx="7">
                  <c:v>GÃ¶teborg</c:v>
                </c:pt>
                <c:pt idx="8">
                  <c:v>Lappeenranta</c:v>
                </c:pt>
                <c:pt idx="9">
                  <c:v>London</c:v>
                </c:pt>
                <c:pt idx="10">
                  <c:v>Lyngby</c:v>
                </c:pt>
                <c:pt idx="11">
                  <c:v>Manchester</c:v>
                </c:pt>
                <c:pt idx="12">
                  <c:v>Melbourne</c:v>
                </c:pt>
                <c:pt idx="13">
                  <c:v>Montceau</c:v>
                </c:pt>
                <c:pt idx="14">
                  <c:v>MontrÃ©al</c:v>
                </c:pt>
                <c:pt idx="15">
                  <c:v>New Orleans</c:v>
                </c:pt>
                <c:pt idx="16">
                  <c:v>Osaka</c:v>
                </c:pt>
                <c:pt idx="17">
                  <c:v>Oviedo</c:v>
                </c:pt>
                <c:pt idx="18">
                  <c:v>Paris</c:v>
                </c:pt>
                <c:pt idx="19">
                  <c:v>Ravenna</c:v>
                </c:pt>
                <c:pt idx="20">
                  <c:v>SÃ£o Paulo</c:v>
                </c:pt>
                <c:pt idx="21">
                  <c:v>Salerno</c:v>
                </c:pt>
                <c:pt idx="22">
                  <c:v>Sandvika</c:v>
                </c:pt>
                <c:pt idx="23">
                  <c:v>Singapore</c:v>
                </c:pt>
                <c:pt idx="24">
                  <c:v>Ste-Hyacinthe</c:v>
                </c:pt>
                <c:pt idx="25">
                  <c:v>Stockholm</c:v>
                </c:pt>
                <c:pt idx="26">
                  <c:v>Sydney</c:v>
                </c:pt>
                <c:pt idx="27">
                  <c:v>Tokyo</c:v>
                </c:pt>
                <c:pt idx="28">
                  <c:v>Zaandam</c:v>
                </c:pt>
              </c:strCache>
            </c:strRef>
          </c:cat>
          <c:val>
            <c:numRef>
              <c:f>'Q-12 Analysis'!$C$4:$C$33</c:f>
              <c:numCache>
                <c:formatCode>General</c:formatCode>
                <c:ptCount val="29"/>
                <c:pt idx="0">
                  <c:v>31.67</c:v>
                </c:pt>
                <c:pt idx="1">
                  <c:v>44.5</c:v>
                </c:pt>
                <c:pt idx="2">
                  <c:v>15.33</c:v>
                </c:pt>
                <c:pt idx="3">
                  <c:v>29.71</c:v>
                </c:pt>
                <c:pt idx="4">
                  <c:v>14.02</c:v>
                </c:pt>
                <c:pt idx="5">
                  <c:v>25.89</c:v>
                </c:pt>
                <c:pt idx="6">
                  <c:v>44.68</c:v>
                </c:pt>
                <c:pt idx="7">
                  <c:v>15</c:v>
                </c:pt>
                <c:pt idx="8">
                  <c:v>18.079999999999998</c:v>
                </c:pt>
                <c:pt idx="9">
                  <c:v>15.67</c:v>
                </c:pt>
                <c:pt idx="10">
                  <c:v>10.75</c:v>
                </c:pt>
                <c:pt idx="11">
                  <c:v>28.18</c:v>
                </c:pt>
                <c:pt idx="12">
                  <c:v>35.57</c:v>
                </c:pt>
                <c:pt idx="13">
                  <c:v>13.25</c:v>
                </c:pt>
                <c:pt idx="14">
                  <c:v>15.72</c:v>
                </c:pt>
                <c:pt idx="15">
                  <c:v>20.350000000000001</c:v>
                </c:pt>
                <c:pt idx="16">
                  <c:v>14.92</c:v>
                </c:pt>
                <c:pt idx="17">
                  <c:v>29.5</c:v>
                </c:pt>
                <c:pt idx="18">
                  <c:v>140.75</c:v>
                </c:pt>
                <c:pt idx="19">
                  <c:v>26.43</c:v>
                </c:pt>
                <c:pt idx="20">
                  <c:v>4.5</c:v>
                </c:pt>
                <c:pt idx="21">
                  <c:v>28.75</c:v>
                </c:pt>
                <c:pt idx="22">
                  <c:v>20</c:v>
                </c:pt>
                <c:pt idx="23">
                  <c:v>26.48</c:v>
                </c:pt>
                <c:pt idx="24">
                  <c:v>38.9</c:v>
                </c:pt>
                <c:pt idx="25">
                  <c:v>20</c:v>
                </c:pt>
                <c:pt idx="26">
                  <c:v>30.93</c:v>
                </c:pt>
                <c:pt idx="27">
                  <c:v>46</c:v>
                </c:pt>
                <c:pt idx="28">
                  <c:v>11.12</c:v>
                </c:pt>
              </c:numCache>
            </c:numRef>
          </c:val>
          <c:smooth val="0"/>
          <c:extLst>
            <c:ext xmlns:c16="http://schemas.microsoft.com/office/drawing/2014/chart" uri="{C3380CC4-5D6E-409C-BE32-E72D297353CC}">
              <c16:uniqueId val="{00000000-8A91-0747-A4B8-E663647DC2A7}"/>
            </c:ext>
          </c:extLst>
        </c:ser>
        <c:dLbls>
          <c:dLblPos val="ctr"/>
          <c:showLegendKey val="0"/>
          <c:showVal val="1"/>
          <c:showCatName val="0"/>
          <c:showSerName val="0"/>
          <c:showPercent val="0"/>
          <c:showBubbleSize val="0"/>
        </c:dLbls>
        <c:marker val="1"/>
        <c:smooth val="0"/>
        <c:axId val="2028988928"/>
        <c:axId val="2028987136"/>
      </c:lineChart>
      <c:catAx>
        <c:axId val="202898892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28987136"/>
        <c:crosses val="autoZero"/>
        <c:auto val="1"/>
        <c:lblAlgn val="ctr"/>
        <c:lblOffset val="100"/>
        <c:noMultiLvlLbl val="0"/>
      </c:catAx>
      <c:valAx>
        <c:axId val="202898713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28988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[PAVAN KUMAR MAGANDI_CAPSTONE PROJECT_SALES ANALYTICS.xlsx]Q-12 Analysis!PivotTable34</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rgbClr val="FFFFFF">
                    <a:lumMod val="95000"/>
                  </a:srgbClr>
                </a:solidFill>
                <a:effectLst>
                  <a:outerShdw blurRad="50800" dist="38100" dir="5400000" algn="t" rotWithShape="0">
                    <a:prstClr val="black">
                      <a:alpha val="40000"/>
                    </a:prstClr>
                  </a:outerShdw>
                </a:effectLst>
                <a:latin typeface="+mn-lt"/>
                <a:ea typeface="+mn-ea"/>
                <a:cs typeface="+mn-cs"/>
              </a:defRPr>
            </a:pPr>
            <a:r>
              <a:rPr lang="en-IN" b="1"/>
              <a:t>Supplier, Product &amp; Inventory Analysis by Country</a:t>
            </a: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rgbClr val="FFFFFF">
                  <a:lumMod val="95000"/>
                </a:srgb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'Q-12 Analysis'!$C$40</c:f>
              <c:strCache>
                <c:ptCount val="1"/>
                <c:pt idx="0">
                  <c:v>Total Supplier Count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'Q-12 Analysis'!$B$41:$B$57</c:f>
              <c:strCache>
                <c:ptCount val="16"/>
                <c:pt idx="0">
                  <c:v>Australia</c:v>
                </c:pt>
                <c:pt idx="1">
                  <c:v>Brazil</c:v>
                </c:pt>
                <c:pt idx="2">
                  <c:v>Canada</c:v>
                </c:pt>
                <c:pt idx="3">
                  <c:v>Denmark</c:v>
                </c:pt>
                <c:pt idx="4">
                  <c:v>Finland</c:v>
                </c:pt>
                <c:pt idx="5">
                  <c:v>France</c:v>
                </c:pt>
                <c:pt idx="6">
                  <c:v>Germany</c:v>
                </c:pt>
                <c:pt idx="7">
                  <c:v>Italy</c:v>
                </c:pt>
                <c:pt idx="8">
                  <c:v>Japan</c:v>
                </c:pt>
                <c:pt idx="9">
                  <c:v>Netherlands</c:v>
                </c:pt>
                <c:pt idx="10">
                  <c:v>Norway</c:v>
                </c:pt>
                <c:pt idx="11">
                  <c:v>Singapore</c:v>
                </c:pt>
                <c:pt idx="12">
                  <c:v>Spain</c:v>
                </c:pt>
                <c:pt idx="13">
                  <c:v>Sweden</c:v>
                </c:pt>
                <c:pt idx="14">
                  <c:v>UK</c:v>
                </c:pt>
                <c:pt idx="15">
                  <c:v>USA</c:v>
                </c:pt>
              </c:strCache>
            </c:strRef>
          </c:cat>
          <c:val>
            <c:numRef>
              <c:f>'Q-12 Analysis'!$C$41:$C$57</c:f>
              <c:numCache>
                <c:formatCode>General</c:formatCode>
                <c:ptCount val="16"/>
                <c:pt idx="0">
                  <c:v>2</c:v>
                </c:pt>
                <c:pt idx="1">
                  <c:v>1</c:v>
                </c:pt>
                <c:pt idx="2">
                  <c:v>2</c:v>
                </c:pt>
                <c:pt idx="3">
                  <c:v>1</c:v>
                </c:pt>
                <c:pt idx="4">
                  <c:v>1</c:v>
                </c:pt>
                <c:pt idx="5">
                  <c:v>3</c:v>
                </c:pt>
                <c:pt idx="6">
                  <c:v>3</c:v>
                </c:pt>
                <c:pt idx="7">
                  <c:v>2</c:v>
                </c:pt>
                <c:pt idx="8">
                  <c:v>2</c:v>
                </c:pt>
                <c:pt idx="9">
                  <c:v>1</c:v>
                </c:pt>
                <c:pt idx="10">
                  <c:v>1</c:v>
                </c:pt>
                <c:pt idx="11">
                  <c:v>1</c:v>
                </c:pt>
                <c:pt idx="12">
                  <c:v>1</c:v>
                </c:pt>
                <c:pt idx="13">
                  <c:v>2</c:v>
                </c:pt>
                <c:pt idx="14">
                  <c:v>2</c:v>
                </c:pt>
                <c:pt idx="15">
                  <c:v>4</c:v>
                </c:pt>
              </c:numCache>
            </c:numRef>
          </c:val>
          <c:extLst>
            <c:ext xmlns:c16="http://schemas.microsoft.com/office/drawing/2014/chart" uri="{C3380CC4-5D6E-409C-BE32-E72D297353CC}">
              <c16:uniqueId val="{00000000-9435-1E40-AA8F-449C218D8685}"/>
            </c:ext>
          </c:extLst>
        </c:ser>
        <c:ser>
          <c:idx val="1"/>
          <c:order val="1"/>
          <c:tx>
            <c:strRef>
              <c:f>'Q-12 Analysis'!$D$40</c:f>
              <c:strCache>
                <c:ptCount val="1"/>
                <c:pt idx="0">
                  <c:v>Total Product Count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'Q-12 Analysis'!$B$41:$B$57</c:f>
              <c:strCache>
                <c:ptCount val="16"/>
                <c:pt idx="0">
                  <c:v>Australia</c:v>
                </c:pt>
                <c:pt idx="1">
                  <c:v>Brazil</c:v>
                </c:pt>
                <c:pt idx="2">
                  <c:v>Canada</c:v>
                </c:pt>
                <c:pt idx="3">
                  <c:v>Denmark</c:v>
                </c:pt>
                <c:pt idx="4">
                  <c:v>Finland</c:v>
                </c:pt>
                <c:pt idx="5">
                  <c:v>France</c:v>
                </c:pt>
                <c:pt idx="6">
                  <c:v>Germany</c:v>
                </c:pt>
                <c:pt idx="7">
                  <c:v>Italy</c:v>
                </c:pt>
                <c:pt idx="8">
                  <c:v>Japan</c:v>
                </c:pt>
                <c:pt idx="9">
                  <c:v>Netherlands</c:v>
                </c:pt>
                <c:pt idx="10">
                  <c:v>Norway</c:v>
                </c:pt>
                <c:pt idx="11">
                  <c:v>Singapore</c:v>
                </c:pt>
                <c:pt idx="12">
                  <c:v>Spain</c:v>
                </c:pt>
                <c:pt idx="13">
                  <c:v>Sweden</c:v>
                </c:pt>
                <c:pt idx="14">
                  <c:v>UK</c:v>
                </c:pt>
                <c:pt idx="15">
                  <c:v>USA</c:v>
                </c:pt>
              </c:strCache>
            </c:strRef>
          </c:cat>
          <c:val>
            <c:numRef>
              <c:f>'Q-12 Analysis'!$D$41:$D$57</c:f>
              <c:numCache>
                <c:formatCode>General</c:formatCode>
                <c:ptCount val="16"/>
                <c:pt idx="0">
                  <c:v>8</c:v>
                </c:pt>
                <c:pt idx="1">
                  <c:v>1</c:v>
                </c:pt>
                <c:pt idx="2">
                  <c:v>4</c:v>
                </c:pt>
                <c:pt idx="3">
                  <c:v>2</c:v>
                </c:pt>
                <c:pt idx="4">
                  <c:v>3</c:v>
                </c:pt>
                <c:pt idx="5">
                  <c:v>5</c:v>
                </c:pt>
                <c:pt idx="6">
                  <c:v>9</c:v>
                </c:pt>
                <c:pt idx="7">
                  <c:v>5</c:v>
                </c:pt>
                <c:pt idx="8">
                  <c:v>6</c:v>
                </c:pt>
                <c:pt idx="9">
                  <c:v>2</c:v>
                </c:pt>
                <c:pt idx="10">
                  <c:v>3</c:v>
                </c:pt>
                <c:pt idx="11">
                  <c:v>3</c:v>
                </c:pt>
                <c:pt idx="12">
                  <c:v>2</c:v>
                </c:pt>
                <c:pt idx="13">
                  <c:v>5</c:v>
                </c:pt>
                <c:pt idx="14">
                  <c:v>7</c:v>
                </c:pt>
                <c:pt idx="15">
                  <c:v>12</c:v>
                </c:pt>
              </c:numCache>
            </c:numRef>
          </c:val>
          <c:extLst>
            <c:ext xmlns:c16="http://schemas.microsoft.com/office/drawing/2014/chart" uri="{C3380CC4-5D6E-409C-BE32-E72D297353CC}">
              <c16:uniqueId val="{00000001-9435-1E40-AA8F-449C218D8685}"/>
            </c:ext>
          </c:extLst>
        </c:ser>
        <c:dLbls>
          <c:showLegendKey val="0"/>
          <c:showVal val="0"/>
          <c:showCatName val="0"/>
          <c:showSerName val="0"/>
          <c:showPercent val="0"/>
          <c:showBubbleSize val="0"/>
        </c:dLbls>
        <c:gapWidth val="219"/>
        <c:axId val="2017631232"/>
        <c:axId val="2018250688"/>
      </c:barChart>
      <c:lineChart>
        <c:grouping val="standard"/>
        <c:varyColors val="0"/>
        <c:ser>
          <c:idx val="2"/>
          <c:order val="2"/>
          <c:tx>
            <c:strRef>
              <c:f>'Q-12 Analysis'!$E$40</c:f>
              <c:strCache>
                <c:ptCount val="1"/>
                <c:pt idx="0">
                  <c:v>Total Inventory Value</c:v>
                </c:pt>
              </c:strCache>
            </c:strRef>
          </c:tx>
          <c:spPr>
            <a:ln w="34925" cap="rnd">
              <a:solidFill>
                <a:schemeClr val="accent3"/>
              </a:solidFill>
              <a:round/>
            </a:ln>
            <a:effectLst>
              <a:outerShdw blurRad="57150" dist="19050" dir="5400000" algn="ctr" rotWithShape="0">
                <a:srgbClr val="000000">
                  <a:alpha val="63000"/>
                </a:srgbClr>
              </a:outerShdw>
            </a:effectLst>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cat>
            <c:strRef>
              <c:f>'Q-12 Analysis'!$B$41:$B$57</c:f>
              <c:strCache>
                <c:ptCount val="16"/>
                <c:pt idx="0">
                  <c:v>Australia</c:v>
                </c:pt>
                <c:pt idx="1">
                  <c:v>Brazil</c:v>
                </c:pt>
                <c:pt idx="2">
                  <c:v>Canada</c:v>
                </c:pt>
                <c:pt idx="3">
                  <c:v>Denmark</c:v>
                </c:pt>
                <c:pt idx="4">
                  <c:v>Finland</c:v>
                </c:pt>
                <c:pt idx="5">
                  <c:v>France</c:v>
                </c:pt>
                <c:pt idx="6">
                  <c:v>Germany</c:v>
                </c:pt>
                <c:pt idx="7">
                  <c:v>Italy</c:v>
                </c:pt>
                <c:pt idx="8">
                  <c:v>Japan</c:v>
                </c:pt>
                <c:pt idx="9">
                  <c:v>Netherlands</c:v>
                </c:pt>
                <c:pt idx="10">
                  <c:v>Norway</c:v>
                </c:pt>
                <c:pt idx="11">
                  <c:v>Singapore</c:v>
                </c:pt>
                <c:pt idx="12">
                  <c:v>Spain</c:v>
                </c:pt>
                <c:pt idx="13">
                  <c:v>Sweden</c:v>
                </c:pt>
                <c:pt idx="14">
                  <c:v>UK</c:v>
                </c:pt>
                <c:pt idx="15">
                  <c:v>USA</c:v>
                </c:pt>
              </c:strCache>
            </c:strRef>
          </c:cat>
          <c:val>
            <c:numRef>
              <c:f>'Q-12 Analysis'!$E$41:$E$57</c:f>
              <c:numCache>
                <c:formatCode>General</c:formatCode>
                <c:ptCount val="16"/>
                <c:pt idx="0">
                  <c:v>5735.65</c:v>
                </c:pt>
                <c:pt idx="1">
                  <c:v>90</c:v>
                </c:pt>
                <c:pt idx="2">
                  <c:v>6975.05</c:v>
                </c:pt>
                <c:pt idx="3">
                  <c:v>1187.5</c:v>
                </c:pt>
                <c:pt idx="4">
                  <c:v>2282.25</c:v>
                </c:pt>
                <c:pt idx="5">
                  <c:v>11534</c:v>
                </c:pt>
                <c:pt idx="6">
                  <c:v>7244.3</c:v>
                </c:pt>
                <c:pt idx="7">
                  <c:v>2275.1999999999998</c:v>
                </c:pt>
                <c:pt idx="8">
                  <c:v>5376.25</c:v>
                </c:pt>
                <c:pt idx="9">
                  <c:v>533.25</c:v>
                </c:pt>
                <c:pt idx="10">
                  <c:v>1775</c:v>
                </c:pt>
                <c:pt idx="11">
                  <c:v>1671.15</c:v>
                </c:pt>
                <c:pt idx="12">
                  <c:v>3730</c:v>
                </c:pt>
                <c:pt idx="13">
                  <c:v>6662</c:v>
                </c:pt>
                <c:pt idx="14">
                  <c:v>4730</c:v>
                </c:pt>
                <c:pt idx="15">
                  <c:v>12249.25</c:v>
                </c:pt>
              </c:numCache>
            </c:numRef>
          </c:val>
          <c:smooth val="0"/>
          <c:extLst>
            <c:ext xmlns:c16="http://schemas.microsoft.com/office/drawing/2014/chart" uri="{C3380CC4-5D6E-409C-BE32-E72D297353CC}">
              <c16:uniqueId val="{00000002-9435-1E40-AA8F-449C218D8685}"/>
            </c:ext>
          </c:extLst>
        </c:ser>
        <c:dLbls>
          <c:showLegendKey val="0"/>
          <c:showVal val="0"/>
          <c:showCatName val="0"/>
          <c:showSerName val="0"/>
          <c:showPercent val="0"/>
          <c:showBubbleSize val="0"/>
        </c:dLbls>
        <c:marker val="1"/>
        <c:smooth val="0"/>
        <c:axId val="2024136128"/>
        <c:axId val="2024658176"/>
      </c:lineChart>
      <c:catAx>
        <c:axId val="201763123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18250688"/>
        <c:crosses val="autoZero"/>
        <c:auto val="1"/>
        <c:lblAlgn val="ctr"/>
        <c:lblOffset val="100"/>
        <c:noMultiLvlLbl val="0"/>
      </c:catAx>
      <c:valAx>
        <c:axId val="201825068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17631232"/>
        <c:crosses val="autoZero"/>
        <c:crossBetween val="between"/>
      </c:valAx>
      <c:valAx>
        <c:axId val="2024658176"/>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24136128"/>
        <c:crosses val="max"/>
        <c:crossBetween val="between"/>
      </c:valAx>
      <c:catAx>
        <c:axId val="2024136128"/>
        <c:scaling>
          <c:orientation val="minMax"/>
        </c:scaling>
        <c:delete val="1"/>
        <c:axPos val="b"/>
        <c:numFmt formatCode="General" sourceLinked="1"/>
        <c:majorTickMark val="none"/>
        <c:minorTickMark val="none"/>
        <c:tickLblPos val="nextTo"/>
        <c:crossAx val="202465817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[PAVAN KUMAR MAGANDI_CAPSTONE PROJECT_SALES ANALYTICS.xlsx]Q-12 Analysis!PivotTable35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600" b="1" i="0" u="none" strike="noStrike" baseline="0">
                <a:effectLst>
                  <a:outerShdw blurRad="50800" dist="38100" dir="5400000" algn="t" rotWithShape="0">
                    <a:prstClr val="black">
                      <a:alpha val="40000"/>
                    </a:prstClr>
                  </a:outerShdw>
                </a:effectLst>
              </a:rPr>
              <a:t>Total by City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'Q-12 Analysis'!$C$65</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'Q-12 Analysis'!$B$66:$B$95</c:f>
              <c:strCache>
                <c:ptCount val="29"/>
                <c:pt idx="0">
                  <c:v>Ann Arbor</c:v>
                </c:pt>
                <c:pt idx="1">
                  <c:v>Annecy</c:v>
                </c:pt>
                <c:pt idx="2">
                  <c:v>Bend</c:v>
                </c:pt>
                <c:pt idx="3">
                  <c:v>Berlin</c:v>
                </c:pt>
                <c:pt idx="4">
                  <c:v>Boston</c:v>
                </c:pt>
                <c:pt idx="5">
                  <c:v>Cuxhaven</c:v>
                </c:pt>
                <c:pt idx="6">
                  <c:v>Frankfurt</c:v>
                </c:pt>
                <c:pt idx="7">
                  <c:v>GÃ¶teborg</c:v>
                </c:pt>
                <c:pt idx="8">
                  <c:v>Lappeenranta</c:v>
                </c:pt>
                <c:pt idx="9">
                  <c:v>London</c:v>
                </c:pt>
                <c:pt idx="10">
                  <c:v>Lyngby</c:v>
                </c:pt>
                <c:pt idx="11">
                  <c:v>Manchester</c:v>
                </c:pt>
                <c:pt idx="12">
                  <c:v>Melbourne</c:v>
                </c:pt>
                <c:pt idx="13">
                  <c:v>Montceau</c:v>
                </c:pt>
                <c:pt idx="14">
                  <c:v>MontrÃ©al</c:v>
                </c:pt>
                <c:pt idx="15">
                  <c:v>New Orleans</c:v>
                </c:pt>
                <c:pt idx="16">
                  <c:v>Osaka</c:v>
                </c:pt>
                <c:pt idx="17">
                  <c:v>Oviedo</c:v>
                </c:pt>
                <c:pt idx="18">
                  <c:v>Paris</c:v>
                </c:pt>
                <c:pt idx="19">
                  <c:v>Ravenna</c:v>
                </c:pt>
                <c:pt idx="20">
                  <c:v>SÃ£o Paulo</c:v>
                </c:pt>
                <c:pt idx="21">
                  <c:v>Salerno</c:v>
                </c:pt>
                <c:pt idx="22">
                  <c:v>Sandvika</c:v>
                </c:pt>
                <c:pt idx="23">
                  <c:v>Singapore</c:v>
                </c:pt>
                <c:pt idx="24">
                  <c:v>Ste-Hyacinthe</c:v>
                </c:pt>
                <c:pt idx="25">
                  <c:v>Stockholm</c:v>
                </c:pt>
                <c:pt idx="26">
                  <c:v>Sydney</c:v>
                </c:pt>
                <c:pt idx="27">
                  <c:v>Tokyo</c:v>
                </c:pt>
                <c:pt idx="28">
                  <c:v>Zaandam</c:v>
                </c:pt>
              </c:strCache>
            </c:strRef>
          </c:cat>
          <c:val>
            <c:numRef>
              <c:f>'Q-12 Analysis'!$C$66:$C$95</c:f>
              <c:numCache>
                <c:formatCode>General</c:formatCode>
                <c:ptCount val="29"/>
                <c:pt idx="0">
                  <c:v>31.67</c:v>
                </c:pt>
                <c:pt idx="1">
                  <c:v>44.5</c:v>
                </c:pt>
                <c:pt idx="2">
                  <c:v>15.33</c:v>
                </c:pt>
                <c:pt idx="3">
                  <c:v>29.71</c:v>
                </c:pt>
                <c:pt idx="4">
                  <c:v>14.02</c:v>
                </c:pt>
                <c:pt idx="5">
                  <c:v>25.89</c:v>
                </c:pt>
                <c:pt idx="6">
                  <c:v>44.68</c:v>
                </c:pt>
                <c:pt idx="7">
                  <c:v>15</c:v>
                </c:pt>
                <c:pt idx="8">
                  <c:v>18.079999999999998</c:v>
                </c:pt>
                <c:pt idx="9">
                  <c:v>15.67</c:v>
                </c:pt>
                <c:pt idx="10">
                  <c:v>10.75</c:v>
                </c:pt>
                <c:pt idx="11">
                  <c:v>28.18</c:v>
                </c:pt>
                <c:pt idx="12">
                  <c:v>35.57</c:v>
                </c:pt>
                <c:pt idx="13">
                  <c:v>13.25</c:v>
                </c:pt>
                <c:pt idx="14">
                  <c:v>15.72</c:v>
                </c:pt>
                <c:pt idx="15">
                  <c:v>20.350000000000001</c:v>
                </c:pt>
                <c:pt idx="16">
                  <c:v>14.92</c:v>
                </c:pt>
                <c:pt idx="17">
                  <c:v>29.5</c:v>
                </c:pt>
                <c:pt idx="18">
                  <c:v>140.75</c:v>
                </c:pt>
                <c:pt idx="19">
                  <c:v>26.43</c:v>
                </c:pt>
                <c:pt idx="20">
                  <c:v>4.5</c:v>
                </c:pt>
                <c:pt idx="21">
                  <c:v>28.75</c:v>
                </c:pt>
                <c:pt idx="22">
                  <c:v>20</c:v>
                </c:pt>
                <c:pt idx="23">
                  <c:v>26.48</c:v>
                </c:pt>
                <c:pt idx="24">
                  <c:v>38.9</c:v>
                </c:pt>
                <c:pt idx="25">
                  <c:v>20</c:v>
                </c:pt>
                <c:pt idx="26">
                  <c:v>30.93</c:v>
                </c:pt>
                <c:pt idx="27">
                  <c:v>46</c:v>
                </c:pt>
                <c:pt idx="28">
                  <c:v>11.12</c:v>
                </c:pt>
              </c:numCache>
            </c:numRef>
          </c:val>
          <c:extLst>
            <c:ext xmlns:c16="http://schemas.microsoft.com/office/drawing/2014/chart" uri="{C3380CC4-5D6E-409C-BE32-E72D297353CC}">
              <c16:uniqueId val="{00000000-AA5C-C345-A783-EA012C170D91}"/>
            </c:ext>
          </c:extLst>
        </c:ser>
        <c:dLbls>
          <c:showLegendKey val="0"/>
          <c:showVal val="0"/>
          <c:showCatName val="0"/>
          <c:showSerName val="0"/>
          <c:showPercent val="0"/>
          <c:showBubbleSize val="0"/>
        </c:dLbls>
        <c:gapWidth val="100"/>
        <c:overlap val="-24"/>
        <c:axId val="2025599680"/>
        <c:axId val="2025587136"/>
      </c:barChart>
      <c:catAx>
        <c:axId val="20255996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25587136"/>
        <c:crosses val="autoZero"/>
        <c:auto val="1"/>
        <c:lblAlgn val="ctr"/>
        <c:lblOffset val="100"/>
        <c:noMultiLvlLbl val="0"/>
      </c:catAx>
      <c:valAx>
        <c:axId val="202558713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255996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[PAVAN KUMAR MAGANDI_CAPSTONE PROJECT_SALES ANALYTICS.xlsx]Q-13 Analysis!PivotTable36</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rgbClr val="FFFFFF">
                    <a:lumMod val="95000"/>
                  </a:srgbClr>
                </a:solidFill>
                <a:effectLst>
                  <a:outerShdw blurRad="50800" dist="38100" dir="5400000" algn="t" rotWithShape="0">
                    <a:prstClr val="black">
                      <a:alpha val="40000"/>
                    </a:prstClr>
                  </a:outerShdw>
                </a:effectLst>
                <a:latin typeface="+mn-lt"/>
                <a:ea typeface="+mn-ea"/>
                <a:cs typeface="+mn-cs"/>
              </a:defRPr>
            </a:pPr>
            <a:r>
              <a:rPr lang="en-IN" b="1"/>
              <a:t>Product Category Distribution by Country</a:t>
            </a: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rgbClr val="FFFFFF">
                  <a:lumMod val="95000"/>
                </a:srgb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'Q-13 Analysis'!$C$3:$C$4</c:f>
              <c:strCache>
                <c:ptCount val="1"/>
                <c:pt idx="0">
                  <c:v>Beverages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'Q-13 Analysis'!$B$5:$B$21</c:f>
              <c:strCache>
                <c:ptCount val="16"/>
                <c:pt idx="0">
                  <c:v>Australia</c:v>
                </c:pt>
                <c:pt idx="1">
                  <c:v>Brazil</c:v>
                </c:pt>
                <c:pt idx="2">
                  <c:v>Canada</c:v>
                </c:pt>
                <c:pt idx="3">
                  <c:v>Denmark</c:v>
                </c:pt>
                <c:pt idx="4">
                  <c:v>Finland</c:v>
                </c:pt>
                <c:pt idx="5">
                  <c:v>France</c:v>
                </c:pt>
                <c:pt idx="6">
                  <c:v>Germany</c:v>
                </c:pt>
                <c:pt idx="7">
                  <c:v>Italy</c:v>
                </c:pt>
                <c:pt idx="8">
                  <c:v>Japan</c:v>
                </c:pt>
                <c:pt idx="9">
                  <c:v>Netherlands</c:v>
                </c:pt>
                <c:pt idx="10">
                  <c:v>Norway</c:v>
                </c:pt>
                <c:pt idx="11">
                  <c:v>Singapore</c:v>
                </c:pt>
                <c:pt idx="12">
                  <c:v>Spain</c:v>
                </c:pt>
                <c:pt idx="13">
                  <c:v>Sweden</c:v>
                </c:pt>
                <c:pt idx="14">
                  <c:v>UK</c:v>
                </c:pt>
                <c:pt idx="15">
                  <c:v>USA</c:v>
                </c:pt>
              </c:strCache>
            </c:strRef>
          </c:cat>
          <c:val>
            <c:numRef>
              <c:f>'Q-13 Analysis'!$C$5:$C$21</c:f>
              <c:numCache>
                <c:formatCode>General</c:formatCode>
                <c:ptCount val="16"/>
                <c:pt idx="0">
                  <c:v>1</c:v>
                </c:pt>
                <c:pt idx="1">
                  <c:v>1</c:v>
                </c:pt>
                <c:pt idx="4">
                  <c:v>1</c:v>
                </c:pt>
                <c:pt idx="5">
                  <c:v>1</c:v>
                </c:pt>
                <c:pt idx="6">
                  <c:v>1</c:v>
                </c:pt>
                <c:pt idx="11">
                  <c:v>1</c:v>
                </c:pt>
                <c:pt idx="14">
                  <c:v>1</c:v>
                </c:pt>
                <c:pt idx="15">
                  <c:v>1</c:v>
                </c:pt>
              </c:numCache>
            </c:numRef>
          </c:val>
          <c:extLst>
            <c:ext xmlns:c16="http://schemas.microsoft.com/office/drawing/2014/chart" uri="{C3380CC4-5D6E-409C-BE32-E72D297353CC}">
              <c16:uniqueId val="{00000000-F44C-E84D-91A7-61A6347ADB36}"/>
            </c:ext>
          </c:extLst>
        </c:ser>
        <c:ser>
          <c:idx val="1"/>
          <c:order val="1"/>
          <c:tx>
            <c:strRef>
              <c:f>'Q-13 Analysis'!$D$3:$D$4</c:f>
              <c:strCache>
                <c:ptCount val="1"/>
                <c:pt idx="0">
                  <c:v>Condiments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'Q-13 Analysis'!$B$5:$B$21</c:f>
              <c:strCache>
                <c:ptCount val="16"/>
                <c:pt idx="0">
                  <c:v>Australia</c:v>
                </c:pt>
                <c:pt idx="1">
                  <c:v>Brazil</c:v>
                </c:pt>
                <c:pt idx="2">
                  <c:v>Canada</c:v>
                </c:pt>
                <c:pt idx="3">
                  <c:v>Denmark</c:v>
                </c:pt>
                <c:pt idx="4">
                  <c:v>Finland</c:v>
                </c:pt>
                <c:pt idx="5">
                  <c:v>France</c:v>
                </c:pt>
                <c:pt idx="6">
                  <c:v>Germany</c:v>
                </c:pt>
                <c:pt idx="7">
                  <c:v>Italy</c:v>
                </c:pt>
                <c:pt idx="8">
                  <c:v>Japan</c:v>
                </c:pt>
                <c:pt idx="9">
                  <c:v>Netherlands</c:v>
                </c:pt>
                <c:pt idx="10">
                  <c:v>Norway</c:v>
                </c:pt>
                <c:pt idx="11">
                  <c:v>Singapore</c:v>
                </c:pt>
                <c:pt idx="12">
                  <c:v>Spain</c:v>
                </c:pt>
                <c:pt idx="13">
                  <c:v>Sweden</c:v>
                </c:pt>
                <c:pt idx="14">
                  <c:v>UK</c:v>
                </c:pt>
                <c:pt idx="15">
                  <c:v>USA</c:v>
                </c:pt>
              </c:strCache>
            </c:strRef>
          </c:cat>
          <c:val>
            <c:numRef>
              <c:f>'Q-13 Analysis'!$D$5:$D$21</c:f>
              <c:numCache>
                <c:formatCode>General</c:formatCode>
                <c:ptCount val="16"/>
                <c:pt idx="0">
                  <c:v>1</c:v>
                </c:pt>
                <c:pt idx="2">
                  <c:v>1</c:v>
                </c:pt>
                <c:pt idx="6">
                  <c:v>1</c:v>
                </c:pt>
                <c:pt idx="8">
                  <c:v>1</c:v>
                </c:pt>
                <c:pt idx="11">
                  <c:v>1</c:v>
                </c:pt>
                <c:pt idx="14">
                  <c:v>1</c:v>
                </c:pt>
                <c:pt idx="15">
                  <c:v>2</c:v>
                </c:pt>
              </c:numCache>
            </c:numRef>
          </c:val>
          <c:extLst>
            <c:ext xmlns:c16="http://schemas.microsoft.com/office/drawing/2014/chart" uri="{C3380CC4-5D6E-409C-BE32-E72D297353CC}">
              <c16:uniqueId val="{00000001-F44C-E84D-91A7-61A6347ADB36}"/>
            </c:ext>
          </c:extLst>
        </c:ser>
        <c:ser>
          <c:idx val="2"/>
          <c:order val="2"/>
          <c:tx>
            <c:strRef>
              <c:f>'Q-13 Analysis'!$E$3:$E$4</c:f>
              <c:strCache>
                <c:ptCount val="1"/>
                <c:pt idx="0">
                  <c:v>Confections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'Q-13 Analysis'!$B$5:$B$21</c:f>
              <c:strCache>
                <c:ptCount val="16"/>
                <c:pt idx="0">
                  <c:v>Australia</c:v>
                </c:pt>
                <c:pt idx="1">
                  <c:v>Brazil</c:v>
                </c:pt>
                <c:pt idx="2">
                  <c:v>Canada</c:v>
                </c:pt>
                <c:pt idx="3">
                  <c:v>Denmark</c:v>
                </c:pt>
                <c:pt idx="4">
                  <c:v>Finland</c:v>
                </c:pt>
                <c:pt idx="5">
                  <c:v>France</c:v>
                </c:pt>
                <c:pt idx="6">
                  <c:v>Germany</c:v>
                </c:pt>
                <c:pt idx="7">
                  <c:v>Italy</c:v>
                </c:pt>
                <c:pt idx="8">
                  <c:v>Japan</c:v>
                </c:pt>
                <c:pt idx="9">
                  <c:v>Netherlands</c:v>
                </c:pt>
                <c:pt idx="10">
                  <c:v>Norway</c:v>
                </c:pt>
                <c:pt idx="11">
                  <c:v>Singapore</c:v>
                </c:pt>
                <c:pt idx="12">
                  <c:v>Spain</c:v>
                </c:pt>
                <c:pt idx="13">
                  <c:v>Sweden</c:v>
                </c:pt>
                <c:pt idx="14">
                  <c:v>UK</c:v>
                </c:pt>
                <c:pt idx="15">
                  <c:v>USA</c:v>
                </c:pt>
              </c:strCache>
            </c:strRef>
          </c:cat>
          <c:val>
            <c:numRef>
              <c:f>'Q-13 Analysis'!$E$5:$E$21</c:f>
              <c:numCache>
                <c:formatCode>General</c:formatCode>
                <c:ptCount val="16"/>
                <c:pt idx="0">
                  <c:v>1</c:v>
                </c:pt>
                <c:pt idx="2">
                  <c:v>1</c:v>
                </c:pt>
                <c:pt idx="4">
                  <c:v>1</c:v>
                </c:pt>
                <c:pt idx="6">
                  <c:v>1</c:v>
                </c:pt>
                <c:pt idx="9">
                  <c:v>1</c:v>
                </c:pt>
                <c:pt idx="14">
                  <c:v>1</c:v>
                </c:pt>
              </c:numCache>
            </c:numRef>
          </c:val>
          <c:extLst>
            <c:ext xmlns:c16="http://schemas.microsoft.com/office/drawing/2014/chart" uri="{C3380CC4-5D6E-409C-BE32-E72D297353CC}">
              <c16:uniqueId val="{00000002-F44C-E84D-91A7-61A6347ADB36}"/>
            </c:ext>
          </c:extLst>
        </c:ser>
        <c:ser>
          <c:idx val="3"/>
          <c:order val="3"/>
          <c:tx>
            <c:strRef>
              <c:f>'Q-13 Analysis'!$F$3:$F$4</c:f>
              <c:strCache>
                <c:ptCount val="1"/>
                <c:pt idx="0">
                  <c:v>Dairy Products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'Q-13 Analysis'!$B$5:$B$21</c:f>
              <c:strCache>
                <c:ptCount val="16"/>
                <c:pt idx="0">
                  <c:v>Australia</c:v>
                </c:pt>
                <c:pt idx="1">
                  <c:v>Brazil</c:v>
                </c:pt>
                <c:pt idx="2">
                  <c:v>Canada</c:v>
                </c:pt>
                <c:pt idx="3">
                  <c:v>Denmark</c:v>
                </c:pt>
                <c:pt idx="4">
                  <c:v>Finland</c:v>
                </c:pt>
                <c:pt idx="5">
                  <c:v>France</c:v>
                </c:pt>
                <c:pt idx="6">
                  <c:v>Germany</c:v>
                </c:pt>
                <c:pt idx="7">
                  <c:v>Italy</c:v>
                </c:pt>
                <c:pt idx="8">
                  <c:v>Japan</c:v>
                </c:pt>
                <c:pt idx="9">
                  <c:v>Netherlands</c:v>
                </c:pt>
                <c:pt idx="10">
                  <c:v>Norway</c:v>
                </c:pt>
                <c:pt idx="11">
                  <c:v>Singapore</c:v>
                </c:pt>
                <c:pt idx="12">
                  <c:v>Spain</c:v>
                </c:pt>
                <c:pt idx="13">
                  <c:v>Sweden</c:v>
                </c:pt>
                <c:pt idx="14">
                  <c:v>UK</c:v>
                </c:pt>
                <c:pt idx="15">
                  <c:v>USA</c:v>
                </c:pt>
              </c:strCache>
            </c:strRef>
          </c:cat>
          <c:val>
            <c:numRef>
              <c:f>'Q-13 Analysis'!$F$5:$F$21</c:f>
              <c:numCache>
                <c:formatCode>General</c:formatCode>
                <c:ptCount val="16"/>
                <c:pt idx="5">
                  <c:v>1</c:v>
                </c:pt>
                <c:pt idx="7">
                  <c:v>1</c:v>
                </c:pt>
                <c:pt idx="10">
                  <c:v>1</c:v>
                </c:pt>
                <c:pt idx="12">
                  <c:v>1</c:v>
                </c:pt>
              </c:numCache>
            </c:numRef>
          </c:val>
          <c:extLst>
            <c:ext xmlns:c16="http://schemas.microsoft.com/office/drawing/2014/chart" uri="{C3380CC4-5D6E-409C-BE32-E72D297353CC}">
              <c16:uniqueId val="{00000003-F44C-E84D-91A7-61A6347ADB36}"/>
            </c:ext>
          </c:extLst>
        </c:ser>
        <c:ser>
          <c:idx val="4"/>
          <c:order val="4"/>
          <c:tx>
            <c:strRef>
              <c:f>'Q-13 Analysis'!$G$3:$G$4</c:f>
              <c:strCache>
                <c:ptCount val="1"/>
                <c:pt idx="0">
                  <c:v>Grains/Cereals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'Q-13 Analysis'!$B$5:$B$21</c:f>
              <c:strCache>
                <c:ptCount val="16"/>
                <c:pt idx="0">
                  <c:v>Australia</c:v>
                </c:pt>
                <c:pt idx="1">
                  <c:v>Brazil</c:v>
                </c:pt>
                <c:pt idx="2">
                  <c:v>Canada</c:v>
                </c:pt>
                <c:pt idx="3">
                  <c:v>Denmark</c:v>
                </c:pt>
                <c:pt idx="4">
                  <c:v>Finland</c:v>
                </c:pt>
                <c:pt idx="5">
                  <c:v>France</c:v>
                </c:pt>
                <c:pt idx="6">
                  <c:v>Germany</c:v>
                </c:pt>
                <c:pt idx="7">
                  <c:v>Italy</c:v>
                </c:pt>
                <c:pt idx="8">
                  <c:v>Japan</c:v>
                </c:pt>
                <c:pt idx="9">
                  <c:v>Netherlands</c:v>
                </c:pt>
                <c:pt idx="10">
                  <c:v>Norway</c:v>
                </c:pt>
                <c:pt idx="11">
                  <c:v>Singapore</c:v>
                </c:pt>
                <c:pt idx="12">
                  <c:v>Spain</c:v>
                </c:pt>
                <c:pt idx="13">
                  <c:v>Sweden</c:v>
                </c:pt>
                <c:pt idx="14">
                  <c:v>UK</c:v>
                </c:pt>
                <c:pt idx="15">
                  <c:v>USA</c:v>
                </c:pt>
              </c:strCache>
            </c:strRef>
          </c:cat>
          <c:val>
            <c:numRef>
              <c:f>'Q-13 Analysis'!$G$5:$G$21</c:f>
              <c:numCache>
                <c:formatCode>General</c:formatCode>
                <c:ptCount val="16"/>
                <c:pt idx="0">
                  <c:v>1</c:v>
                </c:pt>
                <c:pt idx="6">
                  <c:v>1</c:v>
                </c:pt>
                <c:pt idx="7">
                  <c:v>1</c:v>
                </c:pt>
                <c:pt idx="11">
                  <c:v>1</c:v>
                </c:pt>
                <c:pt idx="13">
                  <c:v>1</c:v>
                </c:pt>
              </c:numCache>
            </c:numRef>
          </c:val>
          <c:extLst>
            <c:ext xmlns:c16="http://schemas.microsoft.com/office/drawing/2014/chart" uri="{C3380CC4-5D6E-409C-BE32-E72D297353CC}">
              <c16:uniqueId val="{00000004-F44C-E84D-91A7-61A6347ADB36}"/>
            </c:ext>
          </c:extLst>
        </c:ser>
        <c:ser>
          <c:idx val="5"/>
          <c:order val="5"/>
          <c:tx>
            <c:strRef>
              <c:f>'Q-13 Analysis'!$H$3:$H$4</c:f>
              <c:strCache>
                <c:ptCount val="1"/>
                <c:pt idx="0">
                  <c:v>Meat/Poultry</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'Q-13 Analysis'!$B$5:$B$21</c:f>
              <c:strCache>
                <c:ptCount val="16"/>
                <c:pt idx="0">
                  <c:v>Australia</c:v>
                </c:pt>
                <c:pt idx="1">
                  <c:v>Brazil</c:v>
                </c:pt>
                <c:pt idx="2">
                  <c:v>Canada</c:v>
                </c:pt>
                <c:pt idx="3">
                  <c:v>Denmark</c:v>
                </c:pt>
                <c:pt idx="4">
                  <c:v>Finland</c:v>
                </c:pt>
                <c:pt idx="5">
                  <c:v>France</c:v>
                </c:pt>
                <c:pt idx="6">
                  <c:v>Germany</c:v>
                </c:pt>
                <c:pt idx="7">
                  <c:v>Italy</c:v>
                </c:pt>
                <c:pt idx="8">
                  <c:v>Japan</c:v>
                </c:pt>
                <c:pt idx="9">
                  <c:v>Netherlands</c:v>
                </c:pt>
                <c:pt idx="10">
                  <c:v>Norway</c:v>
                </c:pt>
                <c:pt idx="11">
                  <c:v>Singapore</c:v>
                </c:pt>
                <c:pt idx="12">
                  <c:v>Spain</c:v>
                </c:pt>
                <c:pt idx="13">
                  <c:v>Sweden</c:v>
                </c:pt>
                <c:pt idx="14">
                  <c:v>UK</c:v>
                </c:pt>
                <c:pt idx="15">
                  <c:v>USA</c:v>
                </c:pt>
              </c:strCache>
            </c:strRef>
          </c:cat>
          <c:val>
            <c:numRef>
              <c:f>'Q-13 Analysis'!$H$5:$H$21</c:f>
              <c:numCache>
                <c:formatCode>General</c:formatCode>
                <c:ptCount val="16"/>
                <c:pt idx="0">
                  <c:v>2</c:v>
                </c:pt>
                <c:pt idx="2">
                  <c:v>1</c:v>
                </c:pt>
                <c:pt idx="6">
                  <c:v>1</c:v>
                </c:pt>
                <c:pt idx="8">
                  <c:v>1</c:v>
                </c:pt>
              </c:numCache>
            </c:numRef>
          </c:val>
          <c:extLst>
            <c:ext xmlns:c16="http://schemas.microsoft.com/office/drawing/2014/chart" uri="{C3380CC4-5D6E-409C-BE32-E72D297353CC}">
              <c16:uniqueId val="{00000005-F44C-E84D-91A7-61A6347ADB36}"/>
            </c:ext>
          </c:extLst>
        </c:ser>
        <c:ser>
          <c:idx val="6"/>
          <c:order val="6"/>
          <c:tx>
            <c:strRef>
              <c:f>'Q-13 Analysis'!$I$3:$I$4</c:f>
              <c:strCache>
                <c:ptCount val="1"/>
                <c:pt idx="0">
                  <c:v>Produce</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'Q-13 Analysis'!$B$5:$B$21</c:f>
              <c:strCache>
                <c:ptCount val="16"/>
                <c:pt idx="0">
                  <c:v>Australia</c:v>
                </c:pt>
                <c:pt idx="1">
                  <c:v>Brazil</c:v>
                </c:pt>
                <c:pt idx="2">
                  <c:v>Canada</c:v>
                </c:pt>
                <c:pt idx="3">
                  <c:v>Denmark</c:v>
                </c:pt>
                <c:pt idx="4">
                  <c:v>Finland</c:v>
                </c:pt>
                <c:pt idx="5">
                  <c:v>France</c:v>
                </c:pt>
                <c:pt idx="6">
                  <c:v>Germany</c:v>
                </c:pt>
                <c:pt idx="7">
                  <c:v>Italy</c:v>
                </c:pt>
                <c:pt idx="8">
                  <c:v>Japan</c:v>
                </c:pt>
                <c:pt idx="9">
                  <c:v>Netherlands</c:v>
                </c:pt>
                <c:pt idx="10">
                  <c:v>Norway</c:v>
                </c:pt>
                <c:pt idx="11">
                  <c:v>Singapore</c:v>
                </c:pt>
                <c:pt idx="12">
                  <c:v>Spain</c:v>
                </c:pt>
                <c:pt idx="13">
                  <c:v>Sweden</c:v>
                </c:pt>
                <c:pt idx="14">
                  <c:v>UK</c:v>
                </c:pt>
                <c:pt idx="15">
                  <c:v>USA</c:v>
                </c:pt>
              </c:strCache>
            </c:strRef>
          </c:cat>
          <c:val>
            <c:numRef>
              <c:f>'Q-13 Analysis'!$I$5:$I$21</c:f>
              <c:numCache>
                <c:formatCode>General</c:formatCode>
                <c:ptCount val="16"/>
                <c:pt idx="0">
                  <c:v>1</c:v>
                </c:pt>
                <c:pt idx="6">
                  <c:v>1</c:v>
                </c:pt>
                <c:pt idx="8">
                  <c:v>2</c:v>
                </c:pt>
                <c:pt idx="15">
                  <c:v>1</c:v>
                </c:pt>
              </c:numCache>
            </c:numRef>
          </c:val>
          <c:extLst>
            <c:ext xmlns:c16="http://schemas.microsoft.com/office/drawing/2014/chart" uri="{C3380CC4-5D6E-409C-BE32-E72D297353CC}">
              <c16:uniqueId val="{00000006-F44C-E84D-91A7-61A6347ADB36}"/>
            </c:ext>
          </c:extLst>
        </c:ser>
        <c:ser>
          <c:idx val="7"/>
          <c:order val="7"/>
          <c:tx>
            <c:strRef>
              <c:f>'Q-13 Analysis'!$J$3:$J$4</c:f>
              <c:strCache>
                <c:ptCount val="1"/>
                <c:pt idx="0">
                  <c:v>Seafood</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'Q-13 Analysis'!$B$5:$B$21</c:f>
              <c:strCache>
                <c:ptCount val="16"/>
                <c:pt idx="0">
                  <c:v>Australia</c:v>
                </c:pt>
                <c:pt idx="1">
                  <c:v>Brazil</c:v>
                </c:pt>
                <c:pt idx="2">
                  <c:v>Canada</c:v>
                </c:pt>
                <c:pt idx="3">
                  <c:v>Denmark</c:v>
                </c:pt>
                <c:pt idx="4">
                  <c:v>Finland</c:v>
                </c:pt>
                <c:pt idx="5">
                  <c:v>France</c:v>
                </c:pt>
                <c:pt idx="6">
                  <c:v>Germany</c:v>
                </c:pt>
                <c:pt idx="7">
                  <c:v>Italy</c:v>
                </c:pt>
                <c:pt idx="8">
                  <c:v>Japan</c:v>
                </c:pt>
                <c:pt idx="9">
                  <c:v>Netherlands</c:v>
                </c:pt>
                <c:pt idx="10">
                  <c:v>Norway</c:v>
                </c:pt>
                <c:pt idx="11">
                  <c:v>Singapore</c:v>
                </c:pt>
                <c:pt idx="12">
                  <c:v>Spain</c:v>
                </c:pt>
                <c:pt idx="13">
                  <c:v>Sweden</c:v>
                </c:pt>
                <c:pt idx="14">
                  <c:v>UK</c:v>
                </c:pt>
                <c:pt idx="15">
                  <c:v>USA</c:v>
                </c:pt>
              </c:strCache>
            </c:strRef>
          </c:cat>
          <c:val>
            <c:numRef>
              <c:f>'Q-13 Analysis'!$J$5:$J$21</c:f>
              <c:numCache>
                <c:formatCode>General</c:formatCode>
                <c:ptCount val="16"/>
                <c:pt idx="0">
                  <c:v>1</c:v>
                </c:pt>
                <c:pt idx="3">
                  <c:v>1</c:v>
                </c:pt>
                <c:pt idx="5">
                  <c:v>1</c:v>
                </c:pt>
                <c:pt idx="6">
                  <c:v>1</c:v>
                </c:pt>
                <c:pt idx="8">
                  <c:v>2</c:v>
                </c:pt>
                <c:pt idx="13">
                  <c:v>1</c:v>
                </c:pt>
                <c:pt idx="15">
                  <c:v>1</c:v>
                </c:pt>
              </c:numCache>
            </c:numRef>
          </c:val>
          <c:extLst>
            <c:ext xmlns:c16="http://schemas.microsoft.com/office/drawing/2014/chart" uri="{C3380CC4-5D6E-409C-BE32-E72D297353CC}">
              <c16:uniqueId val="{00000007-F44C-E84D-91A7-61A6347ADB36}"/>
            </c:ext>
          </c:extLst>
        </c:ser>
        <c:dLbls>
          <c:showLegendKey val="0"/>
          <c:showVal val="0"/>
          <c:showCatName val="0"/>
          <c:showSerName val="0"/>
          <c:showPercent val="0"/>
          <c:showBubbleSize val="0"/>
        </c:dLbls>
        <c:gapWidth val="100"/>
        <c:overlap val="-24"/>
        <c:axId val="2011004224"/>
        <c:axId val="2025591168"/>
      </c:barChart>
      <c:catAx>
        <c:axId val="201100422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25591168"/>
        <c:crosses val="autoZero"/>
        <c:auto val="1"/>
        <c:lblAlgn val="ctr"/>
        <c:lblOffset val="100"/>
        <c:noMultiLvlLbl val="0"/>
      </c:catAx>
      <c:valAx>
        <c:axId val="202559116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11004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[PAVAN KUMAR MAGANDI_CAPSTONE PROJECT_SALES ANALYTICS.xlsx]Q-13 Analysis!PivotTable37</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rgbClr val="FFFFFF">
                    <a:lumMod val="95000"/>
                  </a:srgbClr>
                </a:solidFill>
                <a:effectLst>
                  <a:outerShdw blurRad="50800" dist="38100" dir="5400000" algn="t" rotWithShape="0">
                    <a:prstClr val="black">
                      <a:alpha val="40000"/>
                    </a:prstClr>
                  </a:outerShdw>
                </a:effectLst>
                <a:latin typeface="+mn-lt"/>
                <a:ea typeface="+mn-ea"/>
                <a:cs typeface="+mn-cs"/>
              </a:defRPr>
            </a:pPr>
            <a:r>
              <a:rPr lang="en-IN" b="1"/>
              <a:t>Supplier vs Product Count by Category</a:t>
            </a: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rgbClr val="FFFFFF">
                  <a:lumMod val="95000"/>
                </a:srgb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'Q-13 Analysis'!$C$28</c:f>
              <c:strCache>
                <c:ptCount val="1"/>
                <c:pt idx="0">
                  <c:v>Supplier Count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'Q-13 Analysis'!$B$29:$B$37</c:f>
              <c:strCache>
                <c:ptCount val="8"/>
                <c:pt idx="0">
                  <c:v>Beverages</c:v>
                </c:pt>
                <c:pt idx="1">
                  <c:v>Condiments</c:v>
                </c:pt>
                <c:pt idx="2">
                  <c:v>Confections</c:v>
                </c:pt>
                <c:pt idx="3">
                  <c:v>Dairy Products</c:v>
                </c:pt>
                <c:pt idx="4">
                  <c:v>Grains/Cereals</c:v>
                </c:pt>
                <c:pt idx="5">
                  <c:v>Meat/Poultry</c:v>
                </c:pt>
                <c:pt idx="6">
                  <c:v>Produce</c:v>
                </c:pt>
                <c:pt idx="7">
                  <c:v>Seafood</c:v>
                </c:pt>
              </c:strCache>
            </c:strRef>
          </c:cat>
          <c:val>
            <c:numRef>
              <c:f>'Q-13 Analysis'!$C$29:$C$37</c:f>
              <c:numCache>
                <c:formatCode>General</c:formatCode>
                <c:ptCount val="8"/>
                <c:pt idx="0">
                  <c:v>8</c:v>
                </c:pt>
                <c:pt idx="1">
                  <c:v>8</c:v>
                </c:pt>
                <c:pt idx="2">
                  <c:v>6</c:v>
                </c:pt>
                <c:pt idx="3">
                  <c:v>4</c:v>
                </c:pt>
                <c:pt idx="4">
                  <c:v>5</c:v>
                </c:pt>
                <c:pt idx="5">
                  <c:v>5</c:v>
                </c:pt>
                <c:pt idx="6">
                  <c:v>5</c:v>
                </c:pt>
                <c:pt idx="7">
                  <c:v>8</c:v>
                </c:pt>
              </c:numCache>
            </c:numRef>
          </c:val>
          <c:extLst>
            <c:ext xmlns:c16="http://schemas.microsoft.com/office/drawing/2014/chart" uri="{C3380CC4-5D6E-409C-BE32-E72D297353CC}">
              <c16:uniqueId val="{00000000-8E01-364E-B38D-1CD96725AB2A}"/>
            </c:ext>
          </c:extLst>
        </c:ser>
        <c:ser>
          <c:idx val="1"/>
          <c:order val="1"/>
          <c:tx>
            <c:strRef>
              <c:f>'Q-13 Analysis'!$D$28</c:f>
              <c:strCache>
                <c:ptCount val="1"/>
                <c:pt idx="0">
                  <c:v>Product Count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'Q-13 Analysis'!$B$29:$B$37</c:f>
              <c:strCache>
                <c:ptCount val="8"/>
                <c:pt idx="0">
                  <c:v>Beverages</c:v>
                </c:pt>
                <c:pt idx="1">
                  <c:v>Condiments</c:v>
                </c:pt>
                <c:pt idx="2">
                  <c:v>Confections</c:v>
                </c:pt>
                <c:pt idx="3">
                  <c:v>Dairy Products</c:v>
                </c:pt>
                <c:pt idx="4">
                  <c:v>Grains/Cereals</c:v>
                </c:pt>
                <c:pt idx="5">
                  <c:v>Meat/Poultry</c:v>
                </c:pt>
                <c:pt idx="6">
                  <c:v>Produce</c:v>
                </c:pt>
                <c:pt idx="7">
                  <c:v>Seafood</c:v>
                </c:pt>
              </c:strCache>
            </c:strRef>
          </c:cat>
          <c:val>
            <c:numRef>
              <c:f>'Q-13 Analysis'!$D$29:$D$37</c:f>
              <c:numCache>
                <c:formatCode>General</c:formatCode>
                <c:ptCount val="8"/>
                <c:pt idx="0">
                  <c:v>12</c:v>
                </c:pt>
                <c:pt idx="1">
                  <c:v>12</c:v>
                </c:pt>
                <c:pt idx="2">
                  <c:v>13</c:v>
                </c:pt>
                <c:pt idx="3">
                  <c:v>10</c:v>
                </c:pt>
                <c:pt idx="4">
                  <c:v>7</c:v>
                </c:pt>
                <c:pt idx="5">
                  <c:v>6</c:v>
                </c:pt>
                <c:pt idx="6">
                  <c:v>5</c:v>
                </c:pt>
                <c:pt idx="7">
                  <c:v>12</c:v>
                </c:pt>
              </c:numCache>
            </c:numRef>
          </c:val>
          <c:extLst>
            <c:ext xmlns:c16="http://schemas.microsoft.com/office/drawing/2014/chart" uri="{C3380CC4-5D6E-409C-BE32-E72D297353CC}">
              <c16:uniqueId val="{00000001-8E01-364E-B38D-1CD96725AB2A}"/>
            </c:ext>
          </c:extLst>
        </c:ser>
        <c:dLbls>
          <c:showLegendKey val="0"/>
          <c:showVal val="0"/>
          <c:showCatName val="0"/>
          <c:showSerName val="0"/>
          <c:showPercent val="0"/>
          <c:showBubbleSize val="0"/>
        </c:dLbls>
        <c:gapWidth val="100"/>
        <c:overlap val="-24"/>
        <c:axId val="2011163584"/>
        <c:axId val="2011165376"/>
      </c:barChart>
      <c:catAx>
        <c:axId val="201116358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11165376"/>
        <c:crosses val="autoZero"/>
        <c:auto val="1"/>
        <c:lblAlgn val="ctr"/>
        <c:lblOffset val="100"/>
        <c:noMultiLvlLbl val="0"/>
      </c:catAx>
      <c:valAx>
        <c:axId val="201116537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11163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[PAVAN KUMAR MAGANDI_CAPSTONE PROJECT_SALES ANALYTICS.xlsx]Q-14 Analysis!PivotTable38</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Product Category Distribution by Region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dLbl>
          <c:idx val="0"/>
          <c:showLegendKey val="0"/>
          <c:showVal val="0"/>
          <c:showCatName val="0"/>
          <c:showSerName val="0"/>
          <c:showPercent val="0"/>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
        <c:idx val="22"/>
        <c:dLbl>
          <c:idx val="0"/>
          <c:showLegendKey val="0"/>
          <c:showVal val="0"/>
          <c:showCatName val="0"/>
          <c:showSerName val="0"/>
          <c:showPercent val="0"/>
          <c:showBubbleSize val="0"/>
          <c:extLst>
            <c:ext xmlns:c15="http://schemas.microsoft.com/office/drawing/2012/chart" uri="{CE6537A1-D6FC-4f65-9D91-7224C49458BB}"/>
          </c:extLst>
        </c:dLbl>
      </c:pivotFmt>
      <c:pivotFmt>
        <c:idx val="23"/>
        <c:dLbl>
          <c:idx val="0"/>
          <c:showLegendKey val="0"/>
          <c:showVal val="0"/>
          <c:showCatName val="0"/>
          <c:showSerName val="0"/>
          <c:showPercent val="0"/>
          <c:showBubbleSize val="0"/>
          <c:extLst>
            <c:ext xmlns:c15="http://schemas.microsoft.com/office/drawing/2012/chart" uri="{CE6537A1-D6FC-4f65-9D91-7224C49458BB}"/>
          </c:extLst>
        </c:dLbl>
      </c:pivotFmt>
      <c:pivotFmt>
        <c:idx val="24"/>
        <c:dLbl>
          <c:idx val="0"/>
          <c:showLegendKey val="0"/>
          <c:showVal val="0"/>
          <c:showCatName val="0"/>
          <c:showSerName val="0"/>
          <c:showPercent val="0"/>
          <c:showBubbleSize val="0"/>
          <c:extLst>
            <c:ext xmlns:c15="http://schemas.microsoft.com/office/drawing/2012/chart" uri="{CE6537A1-D6FC-4f65-9D91-7224C49458BB}"/>
          </c:extLst>
        </c:dLbl>
      </c:pivotFmt>
      <c:pivotFmt>
        <c:idx val="25"/>
        <c:dLbl>
          <c:idx val="0"/>
          <c:showLegendKey val="0"/>
          <c:showVal val="0"/>
          <c:showCatName val="0"/>
          <c:showSerName val="0"/>
          <c:showPercent val="0"/>
          <c:showBubbleSize val="0"/>
          <c:extLst>
            <c:ext xmlns:c15="http://schemas.microsoft.com/office/drawing/2012/chart" uri="{CE6537A1-D6FC-4f65-9D91-7224C49458BB}"/>
          </c:extLst>
        </c:dLbl>
      </c:pivotFmt>
      <c:pivotFmt>
        <c:idx val="26"/>
        <c:dLbl>
          <c:idx val="0"/>
          <c:showLegendKey val="0"/>
          <c:showVal val="0"/>
          <c:showCatName val="0"/>
          <c:showSerName val="0"/>
          <c:showPercent val="0"/>
          <c:showBubbleSize val="0"/>
          <c:extLst>
            <c:ext xmlns:c15="http://schemas.microsoft.com/office/drawing/2012/chart" uri="{CE6537A1-D6FC-4f65-9D91-7224C49458BB}"/>
          </c:extLst>
        </c:dLbl>
      </c:pivotFmt>
      <c:pivotFmt>
        <c:idx val="27"/>
        <c:dLbl>
          <c:idx val="0"/>
          <c:showLegendKey val="0"/>
          <c:showVal val="0"/>
          <c:showCatName val="0"/>
          <c:showSerName val="0"/>
          <c:showPercent val="0"/>
          <c:showBubbleSize val="0"/>
          <c:extLst>
            <c:ext xmlns:c15="http://schemas.microsoft.com/office/drawing/2012/chart" uri="{CE6537A1-D6FC-4f65-9D91-7224C49458BB}"/>
          </c:extLst>
        </c:dLbl>
      </c:pivotFmt>
      <c:pivotFmt>
        <c:idx val="28"/>
        <c:dLbl>
          <c:idx val="0"/>
          <c:showLegendKey val="0"/>
          <c:showVal val="0"/>
          <c:showCatName val="0"/>
          <c:showSerName val="0"/>
          <c:showPercent val="0"/>
          <c:showBubbleSize val="0"/>
          <c:extLst>
            <c:ext xmlns:c15="http://schemas.microsoft.com/office/drawing/2012/chart" uri="{CE6537A1-D6FC-4f65-9D91-7224C49458BB}"/>
          </c:extLst>
        </c:dLbl>
      </c:pivotFmt>
      <c:pivotFmt>
        <c:idx val="29"/>
        <c:dLbl>
          <c:idx val="0"/>
          <c:showLegendKey val="0"/>
          <c:showVal val="0"/>
          <c:showCatName val="0"/>
          <c:showSerName val="0"/>
          <c:showPercent val="0"/>
          <c:showBubbleSize val="0"/>
          <c:extLst>
            <c:ext xmlns:c15="http://schemas.microsoft.com/office/drawing/2012/chart" uri="{CE6537A1-D6FC-4f65-9D91-7224C49458BB}"/>
          </c:extLst>
        </c:dLbl>
      </c:pivotFmt>
      <c:pivotFmt>
        <c:idx val="30"/>
        <c:dLbl>
          <c:idx val="0"/>
          <c:showLegendKey val="0"/>
          <c:showVal val="0"/>
          <c:showCatName val="0"/>
          <c:showSerName val="0"/>
          <c:showPercent val="0"/>
          <c:showBubbleSize val="0"/>
          <c:extLst>
            <c:ext xmlns:c15="http://schemas.microsoft.com/office/drawing/2012/chart" uri="{CE6537A1-D6FC-4f65-9D91-7224C49458BB}"/>
          </c:extLst>
        </c:dLbl>
      </c:pivotFmt>
      <c:pivotFmt>
        <c:idx val="31"/>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'Q-14 Analysis'!$C$3:$C$4</c:f>
              <c:strCache>
                <c:ptCount val="1"/>
                <c:pt idx="0">
                  <c:v>Beverages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'Q-14 Analysis'!$B$5:$B$14</c:f>
              <c:strCache>
                <c:ptCount val="9"/>
                <c:pt idx="1">
                  <c:v>Asturias</c:v>
                </c:pt>
                <c:pt idx="2">
                  <c:v>LA</c:v>
                </c:pt>
                <c:pt idx="3">
                  <c:v>MA</c:v>
                </c:pt>
                <c:pt idx="4">
                  <c:v>MI</c:v>
                </c:pt>
                <c:pt idx="5">
                  <c:v>NSW</c:v>
                </c:pt>
                <c:pt idx="6">
                  <c:v>OR</c:v>
                </c:pt>
                <c:pt idx="7">
                  <c:v>QuÃ©bec</c:v>
                </c:pt>
                <c:pt idx="8">
                  <c:v>Victoria</c:v>
                </c:pt>
              </c:strCache>
            </c:strRef>
          </c:cat>
          <c:val>
            <c:numRef>
              <c:f>'Q-14 Analysis'!$C$5:$C$14</c:f>
              <c:numCache>
                <c:formatCode>General</c:formatCode>
                <c:ptCount val="9"/>
                <c:pt idx="0">
                  <c:v>221.9</c:v>
                </c:pt>
                <c:pt idx="6">
                  <c:v>16.22</c:v>
                </c:pt>
                <c:pt idx="8">
                  <c:v>15</c:v>
                </c:pt>
              </c:numCache>
            </c:numRef>
          </c:val>
          <c:extLst>
            <c:ext xmlns:c16="http://schemas.microsoft.com/office/drawing/2014/chart" uri="{C3380CC4-5D6E-409C-BE32-E72D297353CC}">
              <c16:uniqueId val="{00000001-60CA-174B-9B13-841DA53F201F}"/>
            </c:ext>
          </c:extLst>
        </c:ser>
        <c:ser>
          <c:idx val="1"/>
          <c:order val="1"/>
          <c:tx>
            <c:strRef>
              <c:f>'Q-14 Analysis'!$D$3:$D$4</c:f>
              <c:strCache>
                <c:ptCount val="1"/>
                <c:pt idx="0">
                  <c:v>Condiments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'Q-14 Analysis'!$B$5:$B$14</c:f>
              <c:strCache>
                <c:ptCount val="9"/>
                <c:pt idx="1">
                  <c:v>Asturias</c:v>
                </c:pt>
                <c:pt idx="2">
                  <c:v>LA</c:v>
                </c:pt>
                <c:pt idx="3">
                  <c:v>MA</c:v>
                </c:pt>
                <c:pt idx="4">
                  <c:v>MI</c:v>
                </c:pt>
                <c:pt idx="5">
                  <c:v>NSW</c:v>
                </c:pt>
                <c:pt idx="6">
                  <c:v>OR</c:v>
                </c:pt>
                <c:pt idx="7">
                  <c:v>QuÃ©bec</c:v>
                </c:pt>
                <c:pt idx="8">
                  <c:v>Victoria</c:v>
                </c:pt>
              </c:strCache>
            </c:strRef>
          </c:cat>
          <c:val>
            <c:numRef>
              <c:f>'Q-14 Analysis'!$D$5:$D$14</c:f>
              <c:numCache>
                <c:formatCode>General</c:formatCode>
                <c:ptCount val="9"/>
                <c:pt idx="0">
                  <c:v>57.95</c:v>
                </c:pt>
                <c:pt idx="2">
                  <c:v>20.9</c:v>
                </c:pt>
                <c:pt idx="4">
                  <c:v>32.799999999999997</c:v>
                </c:pt>
                <c:pt idx="7">
                  <c:v>28.5</c:v>
                </c:pt>
                <c:pt idx="8">
                  <c:v>43.9</c:v>
                </c:pt>
              </c:numCache>
            </c:numRef>
          </c:val>
          <c:extLst>
            <c:ext xmlns:c16="http://schemas.microsoft.com/office/drawing/2014/chart" uri="{C3380CC4-5D6E-409C-BE32-E72D297353CC}">
              <c16:uniqueId val="{00000003-60CA-174B-9B13-841DA53F201F}"/>
            </c:ext>
          </c:extLst>
        </c:ser>
        <c:ser>
          <c:idx val="2"/>
          <c:order val="2"/>
          <c:tx>
            <c:strRef>
              <c:f>'Q-14 Analysis'!$E$3:$E$4</c:f>
              <c:strCache>
                <c:ptCount val="1"/>
                <c:pt idx="0">
                  <c:v>Confections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'Q-14 Analysis'!$B$5:$B$14</c:f>
              <c:strCache>
                <c:ptCount val="9"/>
                <c:pt idx="1">
                  <c:v>Asturias</c:v>
                </c:pt>
                <c:pt idx="2">
                  <c:v>LA</c:v>
                </c:pt>
                <c:pt idx="3">
                  <c:v>MA</c:v>
                </c:pt>
                <c:pt idx="4">
                  <c:v>MI</c:v>
                </c:pt>
                <c:pt idx="5">
                  <c:v>NSW</c:v>
                </c:pt>
                <c:pt idx="6">
                  <c:v>OR</c:v>
                </c:pt>
                <c:pt idx="7">
                  <c:v>QuÃ©bec</c:v>
                </c:pt>
                <c:pt idx="8">
                  <c:v>Victoria</c:v>
                </c:pt>
              </c:strCache>
            </c:strRef>
          </c:cat>
          <c:val>
            <c:numRef>
              <c:f>'Q-14 Analysis'!$E$5:$E$14</c:f>
              <c:numCache>
                <c:formatCode>General</c:formatCode>
                <c:ptCount val="9"/>
                <c:pt idx="0">
                  <c:v>76.38</c:v>
                </c:pt>
                <c:pt idx="7">
                  <c:v>49.3</c:v>
                </c:pt>
                <c:pt idx="8">
                  <c:v>17.45</c:v>
                </c:pt>
              </c:numCache>
            </c:numRef>
          </c:val>
          <c:extLst>
            <c:ext xmlns:c16="http://schemas.microsoft.com/office/drawing/2014/chart" uri="{C3380CC4-5D6E-409C-BE32-E72D297353CC}">
              <c16:uniqueId val="{00000005-60CA-174B-9B13-841DA53F201F}"/>
            </c:ext>
          </c:extLst>
        </c:ser>
        <c:ser>
          <c:idx val="3"/>
          <c:order val="3"/>
          <c:tx>
            <c:strRef>
              <c:f>'Q-14 Analysis'!$F$3:$F$4</c:f>
              <c:strCache>
                <c:ptCount val="1"/>
                <c:pt idx="0">
                  <c:v>Dairy Products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'Q-14 Analysis'!$B$5:$B$14</c:f>
              <c:strCache>
                <c:ptCount val="9"/>
                <c:pt idx="1">
                  <c:v>Asturias</c:v>
                </c:pt>
                <c:pt idx="2">
                  <c:v>LA</c:v>
                </c:pt>
                <c:pt idx="3">
                  <c:v>MA</c:v>
                </c:pt>
                <c:pt idx="4">
                  <c:v>MI</c:v>
                </c:pt>
                <c:pt idx="5">
                  <c:v>NSW</c:v>
                </c:pt>
                <c:pt idx="6">
                  <c:v>OR</c:v>
                </c:pt>
                <c:pt idx="7">
                  <c:v>QuÃ©bec</c:v>
                </c:pt>
                <c:pt idx="8">
                  <c:v>Victoria</c:v>
                </c:pt>
              </c:strCache>
            </c:strRef>
          </c:cat>
          <c:val>
            <c:numRef>
              <c:f>'Q-14 Analysis'!$F$5:$F$14</c:f>
              <c:numCache>
                <c:formatCode>General</c:formatCode>
                <c:ptCount val="9"/>
                <c:pt idx="0">
                  <c:v>88.249999999999986</c:v>
                </c:pt>
                <c:pt idx="1">
                  <c:v>25.58</c:v>
                </c:pt>
              </c:numCache>
            </c:numRef>
          </c:val>
          <c:extLst>
            <c:ext xmlns:c16="http://schemas.microsoft.com/office/drawing/2014/chart" uri="{C3380CC4-5D6E-409C-BE32-E72D297353CC}">
              <c16:uniqueId val="{00000007-60CA-174B-9B13-841DA53F201F}"/>
            </c:ext>
          </c:extLst>
        </c:ser>
        <c:ser>
          <c:idx val="4"/>
          <c:order val="4"/>
          <c:tx>
            <c:strRef>
              <c:f>'Q-14 Analysis'!$G$3:$G$4</c:f>
              <c:strCache>
                <c:ptCount val="1"/>
                <c:pt idx="0">
                  <c:v>Grains/Cereals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'Q-14 Analysis'!$B$5:$B$14</c:f>
              <c:strCache>
                <c:ptCount val="9"/>
                <c:pt idx="1">
                  <c:v>Asturias</c:v>
                </c:pt>
                <c:pt idx="2">
                  <c:v>LA</c:v>
                </c:pt>
                <c:pt idx="3">
                  <c:v>MA</c:v>
                </c:pt>
                <c:pt idx="4">
                  <c:v>MI</c:v>
                </c:pt>
                <c:pt idx="5">
                  <c:v>NSW</c:v>
                </c:pt>
                <c:pt idx="6">
                  <c:v>OR</c:v>
                </c:pt>
                <c:pt idx="7">
                  <c:v>QuÃ©bec</c:v>
                </c:pt>
                <c:pt idx="8">
                  <c:v>Victoria</c:v>
                </c:pt>
              </c:strCache>
            </c:strRef>
          </c:cat>
          <c:val>
            <c:numRef>
              <c:f>'Q-14 Analysis'!$G$5:$G$14</c:f>
              <c:numCache>
                <c:formatCode>General</c:formatCode>
                <c:ptCount val="9"/>
                <c:pt idx="0">
                  <c:v>93.36</c:v>
                </c:pt>
                <c:pt idx="5">
                  <c:v>7</c:v>
                </c:pt>
              </c:numCache>
            </c:numRef>
          </c:val>
          <c:extLst>
            <c:ext xmlns:c16="http://schemas.microsoft.com/office/drawing/2014/chart" uri="{C3380CC4-5D6E-409C-BE32-E72D297353CC}">
              <c16:uniqueId val="{00000009-60CA-174B-9B13-841DA53F201F}"/>
            </c:ext>
          </c:extLst>
        </c:ser>
        <c:ser>
          <c:idx val="5"/>
          <c:order val="5"/>
          <c:tx>
            <c:strRef>
              <c:f>'Q-14 Analysis'!$H$3:$H$4</c:f>
              <c:strCache>
                <c:ptCount val="1"/>
                <c:pt idx="0">
                  <c:v>Meat/Poultry</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'Q-14 Analysis'!$B$5:$B$14</c:f>
              <c:strCache>
                <c:ptCount val="9"/>
                <c:pt idx="1">
                  <c:v>Asturias</c:v>
                </c:pt>
                <c:pt idx="2">
                  <c:v>LA</c:v>
                </c:pt>
                <c:pt idx="3">
                  <c:v>MA</c:v>
                </c:pt>
                <c:pt idx="4">
                  <c:v>MI</c:v>
                </c:pt>
                <c:pt idx="5">
                  <c:v>NSW</c:v>
                </c:pt>
                <c:pt idx="6">
                  <c:v>OR</c:v>
                </c:pt>
                <c:pt idx="7">
                  <c:v>QuÃ©bec</c:v>
                </c:pt>
                <c:pt idx="8">
                  <c:v>Victoria</c:v>
                </c:pt>
              </c:strCache>
            </c:strRef>
          </c:cat>
          <c:val>
            <c:numRef>
              <c:f>'Q-14 Analysis'!$H$5:$H$14</c:f>
              <c:numCache>
                <c:formatCode>General</c:formatCode>
                <c:ptCount val="9"/>
                <c:pt idx="0">
                  <c:v>220.79000000000002</c:v>
                </c:pt>
                <c:pt idx="5">
                  <c:v>32.799999999999997</c:v>
                </c:pt>
                <c:pt idx="7">
                  <c:v>15.37</c:v>
                </c:pt>
                <c:pt idx="8">
                  <c:v>39</c:v>
                </c:pt>
              </c:numCache>
            </c:numRef>
          </c:val>
          <c:extLst>
            <c:ext xmlns:c16="http://schemas.microsoft.com/office/drawing/2014/chart" uri="{C3380CC4-5D6E-409C-BE32-E72D297353CC}">
              <c16:uniqueId val="{0000000B-60CA-174B-9B13-841DA53F201F}"/>
            </c:ext>
          </c:extLst>
        </c:ser>
        <c:ser>
          <c:idx val="6"/>
          <c:order val="6"/>
          <c:tx>
            <c:strRef>
              <c:f>'Q-14 Analysis'!$I$3:$I$4</c:f>
              <c:strCache>
                <c:ptCount val="1"/>
                <c:pt idx="0">
                  <c:v>Produce</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'Q-14 Analysis'!$B$5:$B$14</c:f>
              <c:strCache>
                <c:ptCount val="9"/>
                <c:pt idx="1">
                  <c:v>Asturias</c:v>
                </c:pt>
                <c:pt idx="2">
                  <c:v>LA</c:v>
                </c:pt>
                <c:pt idx="3">
                  <c:v>MA</c:v>
                </c:pt>
                <c:pt idx="4">
                  <c:v>MI</c:v>
                </c:pt>
                <c:pt idx="5">
                  <c:v>NSW</c:v>
                </c:pt>
                <c:pt idx="6">
                  <c:v>OR</c:v>
                </c:pt>
                <c:pt idx="7">
                  <c:v>QuÃ©bec</c:v>
                </c:pt>
                <c:pt idx="8">
                  <c:v>Victoria</c:v>
                </c:pt>
              </c:strCache>
            </c:strRef>
          </c:cat>
          <c:val>
            <c:numRef>
              <c:f>'Q-14 Analysis'!$I$5:$I$14</c:f>
              <c:numCache>
                <c:formatCode>General</c:formatCode>
                <c:ptCount val="9"/>
                <c:pt idx="0">
                  <c:v>63.93</c:v>
                </c:pt>
                <c:pt idx="4">
                  <c:v>30</c:v>
                </c:pt>
                <c:pt idx="5">
                  <c:v>53</c:v>
                </c:pt>
              </c:numCache>
            </c:numRef>
          </c:val>
          <c:extLst>
            <c:ext xmlns:c16="http://schemas.microsoft.com/office/drawing/2014/chart" uri="{C3380CC4-5D6E-409C-BE32-E72D297353CC}">
              <c16:uniqueId val="{0000000D-60CA-174B-9B13-841DA53F201F}"/>
            </c:ext>
          </c:extLst>
        </c:ser>
        <c:ser>
          <c:idx val="7"/>
          <c:order val="7"/>
          <c:tx>
            <c:strRef>
              <c:f>'Q-14 Analysis'!$J$3:$J$4</c:f>
              <c:strCache>
                <c:ptCount val="1"/>
                <c:pt idx="0">
                  <c:v>Seafood</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'Q-14 Analysis'!$B$5:$B$14</c:f>
              <c:strCache>
                <c:ptCount val="9"/>
                <c:pt idx="1">
                  <c:v>Asturias</c:v>
                </c:pt>
                <c:pt idx="2">
                  <c:v>LA</c:v>
                </c:pt>
                <c:pt idx="3">
                  <c:v>MA</c:v>
                </c:pt>
                <c:pt idx="4">
                  <c:v>MI</c:v>
                </c:pt>
                <c:pt idx="5">
                  <c:v>NSW</c:v>
                </c:pt>
                <c:pt idx="6">
                  <c:v>OR</c:v>
                </c:pt>
                <c:pt idx="7">
                  <c:v>QuÃ©bec</c:v>
                </c:pt>
                <c:pt idx="8">
                  <c:v>Victoria</c:v>
                </c:pt>
              </c:strCache>
            </c:strRef>
          </c:cat>
          <c:val>
            <c:numRef>
              <c:f>'Q-14 Analysis'!$J$5:$J$14</c:f>
              <c:numCache>
                <c:formatCode>General</c:formatCode>
                <c:ptCount val="9"/>
                <c:pt idx="0">
                  <c:v>86.320000000000007</c:v>
                </c:pt>
                <c:pt idx="3">
                  <c:v>13.73</c:v>
                </c:pt>
                <c:pt idx="8">
                  <c:v>62.5</c:v>
                </c:pt>
              </c:numCache>
            </c:numRef>
          </c:val>
          <c:extLst>
            <c:ext xmlns:c16="http://schemas.microsoft.com/office/drawing/2014/chart" uri="{C3380CC4-5D6E-409C-BE32-E72D297353CC}">
              <c16:uniqueId val="{0000000F-60CA-174B-9B13-841DA53F201F}"/>
            </c:ext>
          </c:extLst>
        </c:ser>
        <c:dLbls>
          <c:showLegendKey val="0"/>
          <c:showVal val="0"/>
          <c:showCatName val="0"/>
          <c:showSerName val="0"/>
          <c:showPercent val="0"/>
          <c:showBubbleSize val="0"/>
        </c:dLbls>
        <c:gapWidth val="100"/>
        <c:overlap val="-24"/>
        <c:axId val="2011438080"/>
        <c:axId val="2011437184"/>
      </c:barChart>
      <c:catAx>
        <c:axId val="201143808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11437184"/>
        <c:crosses val="autoZero"/>
        <c:auto val="1"/>
        <c:lblAlgn val="ctr"/>
        <c:lblOffset val="100"/>
        <c:noMultiLvlLbl val="0"/>
      </c:catAx>
      <c:valAx>
        <c:axId val="2011437184"/>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114380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[PAVAN KUMAR MAGANDI_CAPSTONE PROJECT_SALES ANALYTICS.xlsx]Q-14 Analysis!PivotTable39</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b="1"/>
              <a:t>Product Category Performance by Country</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'Q-14 Analysis'!$C$27:$C$28</c:f>
              <c:strCache>
                <c:ptCount val="1"/>
                <c:pt idx="0">
                  <c:v>Beverages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'Q-14 Analysis'!$B$29:$B$45</c:f>
              <c:strCache>
                <c:ptCount val="16"/>
                <c:pt idx="0">
                  <c:v>Australia</c:v>
                </c:pt>
                <c:pt idx="1">
                  <c:v>Brazil</c:v>
                </c:pt>
                <c:pt idx="2">
                  <c:v>Canada</c:v>
                </c:pt>
                <c:pt idx="3">
                  <c:v>Denmark</c:v>
                </c:pt>
                <c:pt idx="4">
                  <c:v>Finland</c:v>
                </c:pt>
                <c:pt idx="5">
                  <c:v>France</c:v>
                </c:pt>
                <c:pt idx="6">
                  <c:v>Germany</c:v>
                </c:pt>
                <c:pt idx="7">
                  <c:v>Italy</c:v>
                </c:pt>
                <c:pt idx="8">
                  <c:v>Japan</c:v>
                </c:pt>
                <c:pt idx="9">
                  <c:v>Netherlands</c:v>
                </c:pt>
                <c:pt idx="10">
                  <c:v>Norway</c:v>
                </c:pt>
                <c:pt idx="11">
                  <c:v>Singapore</c:v>
                </c:pt>
                <c:pt idx="12">
                  <c:v>Spain</c:v>
                </c:pt>
                <c:pt idx="13">
                  <c:v>Sweden</c:v>
                </c:pt>
                <c:pt idx="14">
                  <c:v>UK</c:v>
                </c:pt>
                <c:pt idx="15">
                  <c:v>USA</c:v>
                </c:pt>
              </c:strCache>
            </c:strRef>
          </c:cat>
          <c:val>
            <c:numRef>
              <c:f>'Q-14 Analysis'!$C$29:$C$45</c:f>
              <c:numCache>
                <c:formatCode>General</c:formatCode>
                <c:ptCount val="16"/>
                <c:pt idx="0">
                  <c:v>15</c:v>
                </c:pt>
                <c:pt idx="1">
                  <c:v>4.5</c:v>
                </c:pt>
                <c:pt idx="4">
                  <c:v>18</c:v>
                </c:pt>
                <c:pt idx="5">
                  <c:v>127.11</c:v>
                </c:pt>
                <c:pt idx="6">
                  <c:v>7.75</c:v>
                </c:pt>
                <c:pt idx="11">
                  <c:v>46</c:v>
                </c:pt>
                <c:pt idx="14">
                  <c:v>18.54</c:v>
                </c:pt>
                <c:pt idx="15">
                  <c:v>16.22</c:v>
                </c:pt>
              </c:numCache>
            </c:numRef>
          </c:val>
          <c:extLst>
            <c:ext xmlns:c16="http://schemas.microsoft.com/office/drawing/2014/chart" uri="{C3380CC4-5D6E-409C-BE32-E72D297353CC}">
              <c16:uniqueId val="{00000000-4771-EB4E-B26B-5A14F3842268}"/>
            </c:ext>
          </c:extLst>
        </c:ser>
        <c:ser>
          <c:idx val="1"/>
          <c:order val="1"/>
          <c:tx>
            <c:strRef>
              <c:f>'Q-14 Analysis'!$D$27:$D$28</c:f>
              <c:strCache>
                <c:ptCount val="1"/>
                <c:pt idx="0">
                  <c:v>Condiments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'Q-14 Analysis'!$B$29:$B$45</c:f>
              <c:strCache>
                <c:ptCount val="16"/>
                <c:pt idx="0">
                  <c:v>Australia</c:v>
                </c:pt>
                <c:pt idx="1">
                  <c:v>Brazil</c:v>
                </c:pt>
                <c:pt idx="2">
                  <c:v>Canada</c:v>
                </c:pt>
                <c:pt idx="3">
                  <c:v>Denmark</c:v>
                </c:pt>
                <c:pt idx="4">
                  <c:v>Finland</c:v>
                </c:pt>
                <c:pt idx="5">
                  <c:v>France</c:v>
                </c:pt>
                <c:pt idx="6">
                  <c:v>Germany</c:v>
                </c:pt>
                <c:pt idx="7">
                  <c:v>Italy</c:v>
                </c:pt>
                <c:pt idx="8">
                  <c:v>Japan</c:v>
                </c:pt>
                <c:pt idx="9">
                  <c:v>Netherlands</c:v>
                </c:pt>
                <c:pt idx="10">
                  <c:v>Norway</c:v>
                </c:pt>
                <c:pt idx="11">
                  <c:v>Singapore</c:v>
                </c:pt>
                <c:pt idx="12">
                  <c:v>Spain</c:v>
                </c:pt>
                <c:pt idx="13">
                  <c:v>Sweden</c:v>
                </c:pt>
                <c:pt idx="14">
                  <c:v>UK</c:v>
                </c:pt>
                <c:pt idx="15">
                  <c:v>USA</c:v>
                </c:pt>
              </c:strCache>
            </c:strRef>
          </c:cat>
          <c:val>
            <c:numRef>
              <c:f>'Q-14 Analysis'!$D$29:$D$45</c:f>
              <c:numCache>
                <c:formatCode>General</c:formatCode>
                <c:ptCount val="16"/>
                <c:pt idx="0">
                  <c:v>43.9</c:v>
                </c:pt>
                <c:pt idx="2">
                  <c:v>28.5</c:v>
                </c:pt>
                <c:pt idx="6">
                  <c:v>13</c:v>
                </c:pt>
                <c:pt idx="8">
                  <c:v>15.5</c:v>
                </c:pt>
                <c:pt idx="11">
                  <c:v>19.45</c:v>
                </c:pt>
                <c:pt idx="14">
                  <c:v>10</c:v>
                </c:pt>
                <c:pt idx="15">
                  <c:v>53.699999999999996</c:v>
                </c:pt>
              </c:numCache>
            </c:numRef>
          </c:val>
          <c:extLst>
            <c:ext xmlns:c16="http://schemas.microsoft.com/office/drawing/2014/chart" uri="{C3380CC4-5D6E-409C-BE32-E72D297353CC}">
              <c16:uniqueId val="{00000001-4771-EB4E-B26B-5A14F3842268}"/>
            </c:ext>
          </c:extLst>
        </c:ser>
        <c:ser>
          <c:idx val="2"/>
          <c:order val="2"/>
          <c:tx>
            <c:strRef>
              <c:f>'Q-14 Analysis'!$E$27:$E$28</c:f>
              <c:strCache>
                <c:ptCount val="1"/>
                <c:pt idx="0">
                  <c:v>Confections</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'Q-14 Analysis'!$B$29:$B$45</c:f>
              <c:strCache>
                <c:ptCount val="16"/>
                <c:pt idx="0">
                  <c:v>Australia</c:v>
                </c:pt>
                <c:pt idx="1">
                  <c:v>Brazil</c:v>
                </c:pt>
                <c:pt idx="2">
                  <c:v>Canada</c:v>
                </c:pt>
                <c:pt idx="3">
                  <c:v>Denmark</c:v>
                </c:pt>
                <c:pt idx="4">
                  <c:v>Finland</c:v>
                </c:pt>
                <c:pt idx="5">
                  <c:v>France</c:v>
                </c:pt>
                <c:pt idx="6">
                  <c:v>Germany</c:v>
                </c:pt>
                <c:pt idx="7">
                  <c:v>Italy</c:v>
                </c:pt>
                <c:pt idx="8">
                  <c:v>Japan</c:v>
                </c:pt>
                <c:pt idx="9">
                  <c:v>Netherlands</c:v>
                </c:pt>
                <c:pt idx="10">
                  <c:v>Norway</c:v>
                </c:pt>
                <c:pt idx="11">
                  <c:v>Singapore</c:v>
                </c:pt>
                <c:pt idx="12">
                  <c:v>Spain</c:v>
                </c:pt>
                <c:pt idx="13">
                  <c:v>Sweden</c:v>
                </c:pt>
                <c:pt idx="14">
                  <c:v>UK</c:v>
                </c:pt>
                <c:pt idx="15">
                  <c:v>USA</c:v>
                </c:pt>
              </c:strCache>
            </c:strRef>
          </c:cat>
          <c:val>
            <c:numRef>
              <c:f>'Q-14 Analysis'!$E$29:$E$45</c:f>
              <c:numCache>
                <c:formatCode>General</c:formatCode>
                <c:ptCount val="16"/>
                <c:pt idx="0">
                  <c:v>17.45</c:v>
                </c:pt>
                <c:pt idx="2">
                  <c:v>49.3</c:v>
                </c:pt>
                <c:pt idx="4">
                  <c:v>18.79</c:v>
                </c:pt>
                <c:pt idx="6">
                  <c:v>27.91</c:v>
                </c:pt>
                <c:pt idx="9">
                  <c:v>10.220000000000001</c:v>
                </c:pt>
                <c:pt idx="14">
                  <c:v>19.46</c:v>
                </c:pt>
              </c:numCache>
            </c:numRef>
          </c:val>
          <c:extLst>
            <c:ext xmlns:c16="http://schemas.microsoft.com/office/drawing/2014/chart" uri="{C3380CC4-5D6E-409C-BE32-E72D297353CC}">
              <c16:uniqueId val="{00000002-4771-EB4E-B26B-5A14F3842268}"/>
            </c:ext>
          </c:extLst>
        </c:ser>
        <c:ser>
          <c:idx val="3"/>
          <c:order val="3"/>
          <c:tx>
            <c:strRef>
              <c:f>'Q-14 Analysis'!$F$27:$F$28</c:f>
              <c:strCache>
                <c:ptCount val="1"/>
                <c:pt idx="0">
                  <c:v>Dairy Products</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'Q-14 Analysis'!$B$29:$B$45</c:f>
              <c:strCache>
                <c:ptCount val="16"/>
                <c:pt idx="0">
                  <c:v>Australia</c:v>
                </c:pt>
                <c:pt idx="1">
                  <c:v>Brazil</c:v>
                </c:pt>
                <c:pt idx="2">
                  <c:v>Canada</c:v>
                </c:pt>
                <c:pt idx="3">
                  <c:v>Denmark</c:v>
                </c:pt>
                <c:pt idx="4">
                  <c:v>Finland</c:v>
                </c:pt>
                <c:pt idx="5">
                  <c:v>France</c:v>
                </c:pt>
                <c:pt idx="6">
                  <c:v>Germany</c:v>
                </c:pt>
                <c:pt idx="7">
                  <c:v>Italy</c:v>
                </c:pt>
                <c:pt idx="8">
                  <c:v>Japan</c:v>
                </c:pt>
                <c:pt idx="9">
                  <c:v>Netherlands</c:v>
                </c:pt>
                <c:pt idx="10">
                  <c:v>Norway</c:v>
                </c:pt>
                <c:pt idx="11">
                  <c:v>Singapore</c:v>
                </c:pt>
                <c:pt idx="12">
                  <c:v>Spain</c:v>
                </c:pt>
                <c:pt idx="13">
                  <c:v>Sweden</c:v>
                </c:pt>
                <c:pt idx="14">
                  <c:v>UK</c:v>
                </c:pt>
                <c:pt idx="15">
                  <c:v>USA</c:v>
                </c:pt>
              </c:strCache>
            </c:strRef>
          </c:cat>
          <c:val>
            <c:numRef>
              <c:f>'Q-14 Analysis'!$F$29:$F$45</c:f>
              <c:numCache>
                <c:formatCode>General</c:formatCode>
                <c:ptCount val="16"/>
                <c:pt idx="5">
                  <c:v>44.8</c:v>
                </c:pt>
                <c:pt idx="7">
                  <c:v>23.46</c:v>
                </c:pt>
                <c:pt idx="10">
                  <c:v>19.989999999999998</c:v>
                </c:pt>
                <c:pt idx="12">
                  <c:v>25.58</c:v>
                </c:pt>
              </c:numCache>
            </c:numRef>
          </c:val>
          <c:extLst>
            <c:ext xmlns:c16="http://schemas.microsoft.com/office/drawing/2014/chart" uri="{C3380CC4-5D6E-409C-BE32-E72D297353CC}">
              <c16:uniqueId val="{00000003-4771-EB4E-B26B-5A14F3842268}"/>
            </c:ext>
          </c:extLst>
        </c:ser>
        <c:ser>
          <c:idx val="4"/>
          <c:order val="4"/>
          <c:tx>
            <c:strRef>
              <c:f>'Q-14 Analysis'!$G$27:$G$28</c:f>
              <c:strCache>
                <c:ptCount val="1"/>
                <c:pt idx="0">
                  <c:v>Grains/Cereals</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'Q-14 Analysis'!$B$29:$B$45</c:f>
              <c:strCache>
                <c:ptCount val="16"/>
                <c:pt idx="0">
                  <c:v>Australia</c:v>
                </c:pt>
                <c:pt idx="1">
                  <c:v>Brazil</c:v>
                </c:pt>
                <c:pt idx="2">
                  <c:v>Canada</c:v>
                </c:pt>
                <c:pt idx="3">
                  <c:v>Denmark</c:v>
                </c:pt>
                <c:pt idx="4">
                  <c:v>Finland</c:v>
                </c:pt>
                <c:pt idx="5">
                  <c:v>France</c:v>
                </c:pt>
                <c:pt idx="6">
                  <c:v>Germany</c:v>
                </c:pt>
                <c:pt idx="7">
                  <c:v>Italy</c:v>
                </c:pt>
                <c:pt idx="8">
                  <c:v>Japan</c:v>
                </c:pt>
                <c:pt idx="9">
                  <c:v>Netherlands</c:v>
                </c:pt>
                <c:pt idx="10">
                  <c:v>Norway</c:v>
                </c:pt>
                <c:pt idx="11">
                  <c:v>Singapore</c:v>
                </c:pt>
                <c:pt idx="12">
                  <c:v>Spain</c:v>
                </c:pt>
                <c:pt idx="13">
                  <c:v>Sweden</c:v>
                </c:pt>
                <c:pt idx="14">
                  <c:v>UK</c:v>
                </c:pt>
                <c:pt idx="15">
                  <c:v>USA</c:v>
                </c:pt>
              </c:strCache>
            </c:strRef>
          </c:cat>
          <c:val>
            <c:numRef>
              <c:f>'Q-14 Analysis'!$G$29:$G$45</c:f>
              <c:numCache>
                <c:formatCode>General</c:formatCode>
                <c:ptCount val="16"/>
                <c:pt idx="0">
                  <c:v>7</c:v>
                </c:pt>
                <c:pt idx="6">
                  <c:v>33.25</c:v>
                </c:pt>
                <c:pt idx="7">
                  <c:v>32.17</c:v>
                </c:pt>
                <c:pt idx="11">
                  <c:v>14</c:v>
                </c:pt>
                <c:pt idx="13">
                  <c:v>13.94</c:v>
                </c:pt>
              </c:numCache>
            </c:numRef>
          </c:val>
          <c:extLst>
            <c:ext xmlns:c16="http://schemas.microsoft.com/office/drawing/2014/chart" uri="{C3380CC4-5D6E-409C-BE32-E72D297353CC}">
              <c16:uniqueId val="{00000004-4771-EB4E-B26B-5A14F3842268}"/>
            </c:ext>
          </c:extLst>
        </c:ser>
        <c:ser>
          <c:idx val="5"/>
          <c:order val="5"/>
          <c:tx>
            <c:strRef>
              <c:f>'Q-14 Analysis'!$H$27:$H$28</c:f>
              <c:strCache>
                <c:ptCount val="1"/>
                <c:pt idx="0">
                  <c:v>Meat/Poultry</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'Q-14 Analysis'!$B$29:$B$45</c:f>
              <c:strCache>
                <c:ptCount val="16"/>
                <c:pt idx="0">
                  <c:v>Australia</c:v>
                </c:pt>
                <c:pt idx="1">
                  <c:v>Brazil</c:v>
                </c:pt>
                <c:pt idx="2">
                  <c:v>Canada</c:v>
                </c:pt>
                <c:pt idx="3">
                  <c:v>Denmark</c:v>
                </c:pt>
                <c:pt idx="4">
                  <c:v>Finland</c:v>
                </c:pt>
                <c:pt idx="5">
                  <c:v>France</c:v>
                </c:pt>
                <c:pt idx="6">
                  <c:v>Germany</c:v>
                </c:pt>
                <c:pt idx="7">
                  <c:v>Italy</c:v>
                </c:pt>
                <c:pt idx="8">
                  <c:v>Japan</c:v>
                </c:pt>
                <c:pt idx="9">
                  <c:v>Netherlands</c:v>
                </c:pt>
                <c:pt idx="10">
                  <c:v>Norway</c:v>
                </c:pt>
                <c:pt idx="11">
                  <c:v>Singapore</c:v>
                </c:pt>
                <c:pt idx="12">
                  <c:v>Spain</c:v>
                </c:pt>
                <c:pt idx="13">
                  <c:v>Sweden</c:v>
                </c:pt>
                <c:pt idx="14">
                  <c:v>UK</c:v>
                </c:pt>
                <c:pt idx="15">
                  <c:v>USA</c:v>
                </c:pt>
              </c:strCache>
            </c:strRef>
          </c:cat>
          <c:val>
            <c:numRef>
              <c:f>'Q-14 Analysis'!$H$29:$H$45</c:f>
              <c:numCache>
                <c:formatCode>General</c:formatCode>
                <c:ptCount val="16"/>
                <c:pt idx="0">
                  <c:v>71.8</c:v>
                </c:pt>
                <c:pt idx="2">
                  <c:v>15.37</c:v>
                </c:pt>
                <c:pt idx="6">
                  <c:v>123.79</c:v>
                </c:pt>
                <c:pt idx="8">
                  <c:v>97</c:v>
                </c:pt>
              </c:numCache>
            </c:numRef>
          </c:val>
          <c:extLst>
            <c:ext xmlns:c16="http://schemas.microsoft.com/office/drawing/2014/chart" uri="{C3380CC4-5D6E-409C-BE32-E72D297353CC}">
              <c16:uniqueId val="{00000005-4771-EB4E-B26B-5A14F3842268}"/>
            </c:ext>
          </c:extLst>
        </c:ser>
        <c:ser>
          <c:idx val="6"/>
          <c:order val="6"/>
          <c:tx>
            <c:strRef>
              <c:f>'Q-14 Analysis'!$I$27:$I$28</c:f>
              <c:strCache>
                <c:ptCount val="1"/>
                <c:pt idx="0">
                  <c:v>Produce</c:v>
                </c:pt>
              </c:strCache>
            </c:strRef>
          </c:tx>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'Q-14 Analysis'!$B$29:$B$45</c:f>
              <c:strCache>
                <c:ptCount val="16"/>
                <c:pt idx="0">
                  <c:v>Australia</c:v>
                </c:pt>
                <c:pt idx="1">
                  <c:v>Brazil</c:v>
                </c:pt>
                <c:pt idx="2">
                  <c:v>Canada</c:v>
                </c:pt>
                <c:pt idx="3">
                  <c:v>Denmark</c:v>
                </c:pt>
                <c:pt idx="4">
                  <c:v>Finland</c:v>
                </c:pt>
                <c:pt idx="5">
                  <c:v>France</c:v>
                </c:pt>
                <c:pt idx="6">
                  <c:v>Germany</c:v>
                </c:pt>
                <c:pt idx="7">
                  <c:v>Italy</c:v>
                </c:pt>
                <c:pt idx="8">
                  <c:v>Japan</c:v>
                </c:pt>
                <c:pt idx="9">
                  <c:v>Netherlands</c:v>
                </c:pt>
                <c:pt idx="10">
                  <c:v>Norway</c:v>
                </c:pt>
                <c:pt idx="11">
                  <c:v>Singapore</c:v>
                </c:pt>
                <c:pt idx="12">
                  <c:v>Spain</c:v>
                </c:pt>
                <c:pt idx="13">
                  <c:v>Sweden</c:v>
                </c:pt>
                <c:pt idx="14">
                  <c:v>UK</c:v>
                </c:pt>
                <c:pt idx="15">
                  <c:v>USA</c:v>
                </c:pt>
              </c:strCache>
            </c:strRef>
          </c:cat>
          <c:val>
            <c:numRef>
              <c:f>'Q-14 Analysis'!$I$29:$I$45</c:f>
              <c:numCache>
                <c:formatCode>General</c:formatCode>
                <c:ptCount val="16"/>
                <c:pt idx="0">
                  <c:v>53</c:v>
                </c:pt>
                <c:pt idx="6">
                  <c:v>45.6</c:v>
                </c:pt>
                <c:pt idx="8">
                  <c:v>18.329999999999998</c:v>
                </c:pt>
                <c:pt idx="15">
                  <c:v>30</c:v>
                </c:pt>
              </c:numCache>
            </c:numRef>
          </c:val>
          <c:extLst>
            <c:ext xmlns:c16="http://schemas.microsoft.com/office/drawing/2014/chart" uri="{C3380CC4-5D6E-409C-BE32-E72D297353CC}">
              <c16:uniqueId val="{00000006-4771-EB4E-B26B-5A14F3842268}"/>
            </c:ext>
          </c:extLst>
        </c:ser>
        <c:ser>
          <c:idx val="7"/>
          <c:order val="7"/>
          <c:tx>
            <c:strRef>
              <c:f>'Q-14 Analysis'!$J$27:$J$28</c:f>
              <c:strCache>
                <c:ptCount val="1"/>
                <c:pt idx="0">
                  <c:v>Seafood</c:v>
                </c:pt>
              </c:strCache>
            </c:strRef>
          </c:tx>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'Q-14 Analysis'!$B$29:$B$45</c:f>
              <c:strCache>
                <c:ptCount val="16"/>
                <c:pt idx="0">
                  <c:v>Australia</c:v>
                </c:pt>
                <c:pt idx="1">
                  <c:v>Brazil</c:v>
                </c:pt>
                <c:pt idx="2">
                  <c:v>Canada</c:v>
                </c:pt>
                <c:pt idx="3">
                  <c:v>Denmark</c:v>
                </c:pt>
                <c:pt idx="4">
                  <c:v>Finland</c:v>
                </c:pt>
                <c:pt idx="5">
                  <c:v>France</c:v>
                </c:pt>
                <c:pt idx="6">
                  <c:v>Germany</c:v>
                </c:pt>
                <c:pt idx="7">
                  <c:v>Italy</c:v>
                </c:pt>
                <c:pt idx="8">
                  <c:v>Japan</c:v>
                </c:pt>
                <c:pt idx="9">
                  <c:v>Netherlands</c:v>
                </c:pt>
                <c:pt idx="10">
                  <c:v>Norway</c:v>
                </c:pt>
                <c:pt idx="11">
                  <c:v>Singapore</c:v>
                </c:pt>
                <c:pt idx="12">
                  <c:v>Spain</c:v>
                </c:pt>
                <c:pt idx="13">
                  <c:v>Sweden</c:v>
                </c:pt>
                <c:pt idx="14">
                  <c:v>UK</c:v>
                </c:pt>
                <c:pt idx="15">
                  <c:v>USA</c:v>
                </c:pt>
              </c:strCache>
            </c:strRef>
          </c:cat>
          <c:val>
            <c:numRef>
              <c:f>'Q-14 Analysis'!$J$29:$J$45</c:f>
              <c:numCache>
                <c:formatCode>General</c:formatCode>
                <c:ptCount val="16"/>
                <c:pt idx="0">
                  <c:v>62.5</c:v>
                </c:pt>
                <c:pt idx="3">
                  <c:v>11.15</c:v>
                </c:pt>
                <c:pt idx="5">
                  <c:v>13.25</c:v>
                </c:pt>
                <c:pt idx="6">
                  <c:v>25.89</c:v>
                </c:pt>
                <c:pt idx="8">
                  <c:v>17.3</c:v>
                </c:pt>
                <c:pt idx="13">
                  <c:v>18.73</c:v>
                </c:pt>
                <c:pt idx="15">
                  <c:v>13.73</c:v>
                </c:pt>
              </c:numCache>
            </c:numRef>
          </c:val>
          <c:extLst>
            <c:ext xmlns:c16="http://schemas.microsoft.com/office/drawing/2014/chart" uri="{C3380CC4-5D6E-409C-BE32-E72D297353CC}">
              <c16:uniqueId val="{00000007-4771-EB4E-B26B-5A14F3842268}"/>
            </c:ext>
          </c:extLst>
        </c:ser>
        <c:dLbls>
          <c:showLegendKey val="0"/>
          <c:showVal val="0"/>
          <c:showCatName val="0"/>
          <c:showSerName val="0"/>
          <c:showPercent val="0"/>
          <c:showBubbleSize val="0"/>
        </c:dLbls>
        <c:gapWidth val="100"/>
        <c:overlap val="-24"/>
        <c:axId val="2011433152"/>
        <c:axId val="2011432256"/>
      </c:barChart>
      <c:catAx>
        <c:axId val="201143315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11432256"/>
        <c:crosses val="autoZero"/>
        <c:auto val="1"/>
        <c:lblAlgn val="ctr"/>
        <c:lblOffset val="100"/>
        <c:noMultiLvlLbl val="0"/>
      </c:catAx>
      <c:valAx>
        <c:axId val="201143225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crossAx val="2011433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title pos="t" align="ctr" overlay="0">
      <cx:tx>
        <cx:rich>
          <a:bodyPr spcFirstLastPara="1" vertOverflow="ellipsis" horzOverflow="overflow" wrap="square" lIns="0" tIns="0" rIns="0" bIns="0"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a:pPr>
            <a:r>
              <a:rPr lang="en-IN" b="1"/>
              <a:t>Order Distribution by Product Category</a:t>
            </a:r>
            <a:endParaRPr lang="en-IN"/>
          </a:p>
        </cx:rich>
      </cx:tx>
    </cx:title>
    <cx:plotArea>
      <cx:plotAreaRegion>
        <cx:series layoutId="treemap" uniqueId="{63C357AA-FA07-3344-B094-67988E03244B}">
          <cx:tx>
            <cx:txData>
              <cx:f>_xlchart.v1.1</cx:f>
              <cx:v>Order Count</cx:v>
            </cx:txData>
          </cx:tx>
          <cx:dataLabels pos="inEnd">
            <cx:txPr>
              <a:bodyPr spcFirstLastPara="1" vertOverflow="ellipsis" horzOverflow="overflow" wrap="square" lIns="0" tIns="0" rIns="0" bIns="0" anchor="ctr" anchorCtr="1"/>
              <a:lstStyle/>
              <a:p>
                <a:pPr algn="ctr" rtl="0">
                  <a:defRPr b="1"/>
                </a:pPr>
                <a:endParaRPr lang="en-GB" sz="900" b="1" i="0" u="none" strike="noStrike" baseline="0">
                  <a:solidFill>
                    <a:srgbClr val="FFFFFF">
                      <a:lumMod val="95000"/>
                    </a:srgbClr>
                  </a:solidFill>
                  <a:latin typeface="Arial"/>
                  <a:cs typeface="Arial"/>
                </a:endParaRPr>
              </a:p>
            </cx:txPr>
            <cx:visibility seriesName="0" categoryName="1" value="0"/>
          </cx:dataLabels>
          <cx:dataId val="0"/>
          <cx:layoutPr>
            <cx:parentLabelLayout val="overlapping"/>
          </cx:layoutPr>
        </cx:series>
      </cx:plotAreaRegion>
    </cx:plotArea>
    <cx:legend pos="b" align="ctr" overlay="0">
      <cx:txPr>
        <a:bodyPr spcFirstLastPara="1" vertOverflow="ellipsis" horzOverflow="overflow" wrap="square" lIns="0" tIns="0" rIns="0" bIns="0" anchor="ctr" anchorCtr="1"/>
        <a:lstStyle/>
        <a:p>
          <a:pPr algn="ctr" rtl="0">
            <a:defRPr b="1"/>
          </a:pPr>
          <a:endParaRPr lang="en-GB" sz="900" b="1" i="0" u="none" strike="noStrike" baseline="0">
            <a:solidFill>
              <a:srgbClr val="FFFFFF">
                <a:lumMod val="95000"/>
              </a:srgbClr>
            </a:solidFill>
            <a:latin typeface="Arial"/>
            <a:cs typeface="Arial"/>
          </a:endParaRPr>
        </a:p>
      </cx:txPr>
    </cx:legend>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title pos="t" align="ctr" overlay="0">
      <cx:tx>
        <cx:rich>
          <a:bodyPr rot="0" spcFirstLastPara="1" vertOverflow="ellipsis" vert="horz" wrap="square" lIns="38100" tIns="19050" rIns="38100" bIns="19050" anchor="ctr" anchorCtr="1" compatLnSpc="0"/>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baseline="0">
                <a:solidFill>
                  <a:srgbClr val="000000">
                    <a:lumMod val="65000"/>
                    <a:lumOff val="35000"/>
                  </a:srgbClr>
                </a:solidFill>
                <a:latin typeface="+mn-lt"/>
                <a:ea typeface="+mn-ea"/>
                <a:cs typeface="+mn-cs"/>
              </a:defRPr>
            </a:pPr>
            <a:r>
              <a:rPr lang="en-IN" sz="1400" b="1" i="0" u="none" strike="noStrike" spc="100" baseline="0">
                <a:solidFill>
                  <a:srgbClr val="FFFFFF">
                    <a:lumMod val="95000"/>
                  </a:srgbClr>
                </a:solidFill>
                <a:effectLst>
                  <a:outerShdw blurRad="50800" dist="38100" dir="5400000" algn="t" rotWithShape="0">
                    <a:prstClr val="black">
                      <a:alpha val="40000"/>
                    </a:prstClr>
                  </a:outerShdw>
                </a:effectLst>
                <a:latin typeface="Arial"/>
                <a:ea typeface="Arial"/>
                <a:cs typeface="Arial"/>
              </a:rPr>
              <a:t>Order Distribution by Country</a:t>
            </a:r>
            <a:endParaRPr lang="en-IN" sz="1400" b="0" i="0" u="none" strike="noStrike" spc="100" baseline="0">
              <a:solidFill>
                <a:srgbClr val="FFFFFF">
                  <a:lumMod val="95000"/>
                </a:srgbClr>
              </a:solidFill>
              <a:effectLst>
                <a:outerShdw blurRad="50800" dist="38100" dir="5400000" algn="t" rotWithShape="0">
                  <a:prstClr val="black">
                    <a:alpha val="40000"/>
                  </a:prstClr>
                </a:outerShdw>
              </a:effectLst>
              <a:latin typeface="Arial"/>
              <a:ea typeface="Arial"/>
              <a:cs typeface="Arial"/>
            </a:endParaRPr>
          </a:p>
        </cx:rich>
      </cx:tx>
    </cx:title>
    <cx:plotArea>
      <cx:plotAreaRegion>
        <cx:series layoutId="treemap" uniqueId="{CD3D57CD-1C56-7446-AB8D-FC8967357197}">
          <cx:tx>
            <cx:txData>
              <cx:f>_xlchart.v1.4</cx:f>
              <cx:v>Order Count</cx:v>
            </cx:txData>
          </cx:tx>
          <cx:dataLabels pos="inEnd">
            <cx:txPr>
              <a:bodyPr spcFirstLastPara="1" vertOverflow="ellipsis" horzOverflow="overflow" wrap="square" lIns="0" tIns="0" rIns="0" bIns="0" anchor="ctr" anchorCtr="1"/>
              <a:lstStyle/>
              <a:p>
                <a:pPr algn="ctr" rtl="0">
                  <a:defRPr b="1"/>
                </a:pPr>
                <a:endParaRPr lang="en-GB" sz="900" b="1" i="0" u="none" strike="noStrike" baseline="0">
                  <a:solidFill>
                    <a:srgbClr val="FFFFFF">
                      <a:lumMod val="95000"/>
                    </a:srgbClr>
                  </a:solidFill>
                  <a:latin typeface="Arial"/>
                  <a:cs typeface="Arial"/>
                </a:endParaRPr>
              </a:p>
            </cx:txPr>
            <cx:visibility seriesName="0" categoryName="1" value="0"/>
          </cx:dataLabels>
          <cx:dataId val="0"/>
          <cx:layoutPr>
            <cx:parentLabelLayout val="overlapping"/>
          </cx:layoutPr>
        </cx:series>
      </cx:plotAreaRegion>
    </cx:plotArea>
    <cx:legend pos="b" align="ctr" overlay="0">
      <cx:txPr>
        <a:bodyPr spcFirstLastPara="1" vertOverflow="ellipsis" horzOverflow="overflow" wrap="square" lIns="0" tIns="0" rIns="0" bIns="0" anchor="ctr" anchorCtr="1"/>
        <a:lstStyle/>
        <a:p>
          <a:pPr algn="ctr" rtl="0">
            <a:defRPr b="1"/>
          </a:pPr>
          <a:endParaRPr lang="en-GB" sz="900" b="1" i="0" u="none" strike="noStrike" baseline="0">
            <a:solidFill>
              <a:srgbClr val="FFFFFF">
                <a:lumMod val="95000"/>
              </a:srgbClr>
            </a:solidFill>
            <a:latin typeface="Arial"/>
            <a:cs typeface="Arial"/>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2.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3.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7.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9.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0.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_rels/drawing5.xml.rels><?xml version="1.0" encoding="UTF-8" standalone="yes"?>
<Relationships xmlns="http://schemas.openxmlformats.org/package/2006/relationships"><Relationship Id="rId3" Type="http://schemas.microsoft.com/office/2014/relationships/chartEx" Target="../charts/chartEx2.xml"/><Relationship Id="rId2" Type="http://schemas.microsoft.com/office/2014/relationships/chartEx" Target="../charts/chartEx1.xml"/><Relationship Id="rId1" Type="http://schemas.openxmlformats.org/officeDocument/2006/relationships/chart" Target="../charts/chart8.xml"/><Relationship Id="rId4"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2" Type="http://schemas.openxmlformats.org/officeDocument/2006/relationships/chart" Target="../charts/chart12.xml"/><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6.xml"/><Relationship Id="rId1" Type="http://schemas.openxmlformats.org/officeDocument/2006/relationships/chart" Target="../charts/chart15.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s>
</file>

<file path=xl/drawings/_rels/drawing11.xml.rels><?xml version="1.0" encoding="UTF-8" standalone="yes"?>
<Relationships xmlns="http://schemas.openxmlformats.org/package/2006/relationships"><Relationship Id="rId2" Type="http://schemas.openxmlformats.org/officeDocument/2006/relationships/chart" Target="../charts/chart21.xml"/><Relationship Id="rId1" Type="http://schemas.openxmlformats.org/officeDocument/2006/relationships/chart" Target="../charts/chart20.xml"/></Relationships>
</file>

<file path=xl/drawings/_rels/drawing12.xml.rels><?xml version="1.0" encoding="UTF-8" standalone="yes"?>
<Relationships xmlns="http://schemas.openxmlformats.org/package/2006/relationships"><Relationship Id="rId2" Type="http://schemas.openxmlformats.org/officeDocument/2006/relationships/chart" Target="../charts/chart23.xml"/><Relationship Id="rId1" Type="http://schemas.openxmlformats.org/officeDocument/2006/relationships/chart" Target="../charts/chart22.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26.xml"/><Relationship Id="rId2" Type="http://schemas.openxmlformats.org/officeDocument/2006/relationships/chart" Target="../charts/chart25.xml"/><Relationship Id="rId1" Type="http://schemas.openxmlformats.org/officeDocument/2006/relationships/chart" Target="../charts/chart24.xml"/></Relationships>
</file>

<file path=xl/drawings/_rels/drawing14.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15.xml.rels><?xml version="1.0" encoding="UTF-8" standalone="yes"?>
<Relationships xmlns="http://schemas.openxmlformats.org/package/2006/relationships"><Relationship Id="rId2" Type="http://schemas.openxmlformats.org/officeDocument/2006/relationships/chart" Target="../charts/chart30.xml"/><Relationship Id="rId1" Type="http://schemas.openxmlformats.org/officeDocument/2006/relationships/chart" Target="../charts/chart29.xml"/></Relationships>
</file>

<file path=xl/drawings/drawing1.xml><?xml version="1.0" encoding="utf-8"?>
<xdr:wsDr xmlns:xdr="http://schemas.openxmlformats.org/drawingml/2006/spreadsheetDrawing" xmlns:a="http://schemas.openxmlformats.org/drawingml/2006/main">
  <xdr:twoCellAnchor>
    <xdr:from>
      <xdr:col>0</xdr:col>
      <xdr:colOff>812800</xdr:colOff>
      <xdr:row>30</xdr:row>
      <xdr:rowOff>82550</xdr:rowOff>
    </xdr:from>
    <xdr:to>
      <xdr:col>5</xdr:col>
      <xdr:colOff>101600</xdr:colOff>
      <xdr:row>47</xdr:row>
      <xdr:rowOff>19050</xdr:rowOff>
    </xdr:to>
    <xdr:graphicFrame macro="">
      <xdr:nvGraphicFramePr>
        <xdr:cNvPr id="2" name="Chart 1">
          <a:extLst>
            <a:ext uri="{FF2B5EF4-FFF2-40B4-BE49-F238E27FC236}">
              <a16:creationId xmlns:a16="http://schemas.microsoft.com/office/drawing/2014/main" id="{8AFB71C7-9E83-1041-8B71-76547F2043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31750</xdr:colOff>
      <xdr:row>12</xdr:row>
      <xdr:rowOff>44450</xdr:rowOff>
    </xdr:from>
    <xdr:to>
      <xdr:col>8</xdr:col>
      <xdr:colOff>628650</xdr:colOff>
      <xdr:row>28</xdr:row>
      <xdr:rowOff>146050</xdr:rowOff>
    </xdr:to>
    <xdr:graphicFrame macro="">
      <xdr:nvGraphicFramePr>
        <xdr:cNvPr id="5" name="Chart 4">
          <a:extLst>
            <a:ext uri="{FF2B5EF4-FFF2-40B4-BE49-F238E27FC236}">
              <a16:creationId xmlns:a16="http://schemas.microsoft.com/office/drawing/2014/main" id="{A75675D8-3F9B-D30B-31C3-6D3C8E7799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xdr:col>
      <xdr:colOff>19050</xdr:colOff>
      <xdr:row>27</xdr:row>
      <xdr:rowOff>31750</xdr:rowOff>
    </xdr:from>
    <xdr:to>
      <xdr:col>7</xdr:col>
      <xdr:colOff>406400</xdr:colOff>
      <xdr:row>50</xdr:row>
      <xdr:rowOff>50800</xdr:rowOff>
    </xdr:to>
    <xdr:graphicFrame macro="">
      <xdr:nvGraphicFramePr>
        <xdr:cNvPr id="2" name="Chart 1">
          <a:extLst>
            <a:ext uri="{FF2B5EF4-FFF2-40B4-BE49-F238E27FC236}">
              <a16:creationId xmlns:a16="http://schemas.microsoft.com/office/drawing/2014/main" id="{E7A27EE1-CF30-178C-8AD7-F5EF5F2F41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615950</xdr:colOff>
      <xdr:row>15</xdr:row>
      <xdr:rowOff>158750</xdr:rowOff>
    </xdr:from>
    <xdr:to>
      <xdr:col>15</xdr:col>
      <xdr:colOff>698500</xdr:colOff>
      <xdr:row>39</xdr:row>
      <xdr:rowOff>63500</xdr:rowOff>
    </xdr:to>
    <xdr:graphicFrame macro="">
      <xdr:nvGraphicFramePr>
        <xdr:cNvPr id="3" name="Chart 2">
          <a:extLst>
            <a:ext uri="{FF2B5EF4-FFF2-40B4-BE49-F238E27FC236}">
              <a16:creationId xmlns:a16="http://schemas.microsoft.com/office/drawing/2014/main" id="{6C970D10-5DD4-23DD-CA06-D172B54CC4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819150</xdr:colOff>
      <xdr:row>13</xdr:row>
      <xdr:rowOff>44450</xdr:rowOff>
    </xdr:from>
    <xdr:to>
      <xdr:col>8</xdr:col>
      <xdr:colOff>533400</xdr:colOff>
      <xdr:row>43</xdr:row>
      <xdr:rowOff>38100</xdr:rowOff>
    </xdr:to>
    <xdr:graphicFrame macro="">
      <xdr:nvGraphicFramePr>
        <xdr:cNvPr id="2" name="Chart 1">
          <a:extLst>
            <a:ext uri="{FF2B5EF4-FFF2-40B4-BE49-F238E27FC236}">
              <a16:creationId xmlns:a16="http://schemas.microsoft.com/office/drawing/2014/main" id="{960E014D-AA80-2C70-CF85-E5B6F878BAC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171450</xdr:colOff>
      <xdr:row>16</xdr:row>
      <xdr:rowOff>25400</xdr:rowOff>
    </xdr:from>
    <xdr:to>
      <xdr:col>6</xdr:col>
      <xdr:colOff>215900</xdr:colOff>
      <xdr:row>38</xdr:row>
      <xdr:rowOff>139700</xdr:rowOff>
    </xdr:to>
    <xdr:graphicFrame macro="">
      <xdr:nvGraphicFramePr>
        <xdr:cNvPr id="2" name="Chart 1">
          <a:extLst>
            <a:ext uri="{FF2B5EF4-FFF2-40B4-BE49-F238E27FC236}">
              <a16:creationId xmlns:a16="http://schemas.microsoft.com/office/drawing/2014/main" id="{FB579C88-F8CD-6892-BB12-FDDA98D697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488950</xdr:colOff>
      <xdr:row>16</xdr:row>
      <xdr:rowOff>31750</xdr:rowOff>
    </xdr:from>
    <xdr:to>
      <xdr:col>14</xdr:col>
      <xdr:colOff>88900</xdr:colOff>
      <xdr:row>38</xdr:row>
      <xdr:rowOff>152400</xdr:rowOff>
    </xdr:to>
    <xdr:graphicFrame macro="">
      <xdr:nvGraphicFramePr>
        <xdr:cNvPr id="3" name="Chart 2">
          <a:extLst>
            <a:ext uri="{FF2B5EF4-FFF2-40B4-BE49-F238E27FC236}">
              <a16:creationId xmlns:a16="http://schemas.microsoft.com/office/drawing/2014/main" id="{8E380F1B-45C3-4199-0583-E376272A90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508000</xdr:colOff>
      <xdr:row>1</xdr:row>
      <xdr:rowOff>120650</xdr:rowOff>
    </xdr:from>
    <xdr:to>
      <xdr:col>17</xdr:col>
      <xdr:colOff>762000</xdr:colOff>
      <xdr:row>29</xdr:row>
      <xdr:rowOff>25400</xdr:rowOff>
    </xdr:to>
    <xdr:graphicFrame macro="">
      <xdr:nvGraphicFramePr>
        <xdr:cNvPr id="4" name="Chart 3">
          <a:extLst>
            <a:ext uri="{FF2B5EF4-FFF2-40B4-BE49-F238E27FC236}">
              <a16:creationId xmlns:a16="http://schemas.microsoft.com/office/drawing/2014/main" id="{021682ED-A427-A6B6-03D1-05D4C272E6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529167</xdr:colOff>
      <xdr:row>31</xdr:row>
      <xdr:rowOff>112183</xdr:rowOff>
    </xdr:from>
    <xdr:to>
      <xdr:col>28</xdr:col>
      <xdr:colOff>152400</xdr:colOff>
      <xdr:row>57</xdr:row>
      <xdr:rowOff>105834</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A8315D28-7B4B-FF0F-93CA-16DC57E86BD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5705667" y="5344583"/>
              <a:ext cx="7878233" cy="4286251"/>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18</xdr:col>
      <xdr:colOff>508001</xdr:colOff>
      <xdr:row>2</xdr:row>
      <xdr:rowOff>33866</xdr:rowOff>
    </xdr:from>
    <xdr:to>
      <xdr:col>28</xdr:col>
      <xdr:colOff>33868</xdr:colOff>
      <xdr:row>29</xdr:row>
      <xdr:rowOff>103716</xdr:rowOff>
    </xdr:to>
    <mc:AlternateContent xmlns:mc="http://schemas.openxmlformats.org/markup-compatibility/2006">
      <mc:Choice xmlns:cx1="http://schemas.microsoft.com/office/drawing/2015/9/8/chartex" Requires="cx1">
        <xdr:graphicFrame macro="">
          <xdr:nvGraphicFramePr>
            <xdr:cNvPr id="6" name="Chart 5">
              <a:extLst>
                <a:ext uri="{FF2B5EF4-FFF2-40B4-BE49-F238E27FC236}">
                  <a16:creationId xmlns:a16="http://schemas.microsoft.com/office/drawing/2014/main" id="{EED84F69-EBBD-1346-BB20-9BFD7894C1EE}"/>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5684501" y="478366"/>
              <a:ext cx="7780867" cy="452755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575733</xdr:colOff>
      <xdr:row>32</xdr:row>
      <xdr:rowOff>0</xdr:rowOff>
    </xdr:from>
    <xdr:to>
      <xdr:col>17</xdr:col>
      <xdr:colOff>745066</xdr:colOff>
      <xdr:row>57</xdr:row>
      <xdr:rowOff>162982</xdr:rowOff>
    </xdr:to>
    <xdr:graphicFrame macro="">
      <xdr:nvGraphicFramePr>
        <xdr:cNvPr id="7" name="Chart 6">
          <a:extLst>
            <a:ext uri="{FF2B5EF4-FFF2-40B4-BE49-F238E27FC236}">
              <a16:creationId xmlns:a16="http://schemas.microsoft.com/office/drawing/2014/main" id="{D9CF4BE0-CEF7-AD4C-9C44-03099BAF0F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819150</xdr:colOff>
      <xdr:row>9</xdr:row>
      <xdr:rowOff>44450</xdr:rowOff>
    </xdr:from>
    <xdr:to>
      <xdr:col>9</xdr:col>
      <xdr:colOff>406400</xdr:colOff>
      <xdr:row>37</xdr:row>
      <xdr:rowOff>152400</xdr:rowOff>
    </xdr:to>
    <xdr:graphicFrame macro="">
      <xdr:nvGraphicFramePr>
        <xdr:cNvPr id="3" name="Chart 2">
          <a:extLst>
            <a:ext uri="{FF2B5EF4-FFF2-40B4-BE49-F238E27FC236}">
              <a16:creationId xmlns:a16="http://schemas.microsoft.com/office/drawing/2014/main" id="{69B4AFF0-744B-BD5C-A833-C473C2CF8D1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6</xdr:col>
      <xdr:colOff>527050</xdr:colOff>
      <xdr:row>1</xdr:row>
      <xdr:rowOff>31750</xdr:rowOff>
    </xdr:from>
    <xdr:to>
      <xdr:col>15</xdr:col>
      <xdr:colOff>774700</xdr:colOff>
      <xdr:row>21</xdr:row>
      <xdr:rowOff>114300</xdr:rowOff>
    </xdr:to>
    <xdr:graphicFrame macro="">
      <xdr:nvGraphicFramePr>
        <xdr:cNvPr id="2" name="Chart 1">
          <a:extLst>
            <a:ext uri="{FF2B5EF4-FFF2-40B4-BE49-F238E27FC236}">
              <a16:creationId xmlns:a16="http://schemas.microsoft.com/office/drawing/2014/main" id="{36FC7BBC-535C-7F28-0637-0EF61C56DE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806450</xdr:colOff>
      <xdr:row>28</xdr:row>
      <xdr:rowOff>146050</xdr:rowOff>
    </xdr:from>
    <xdr:to>
      <xdr:col>9</xdr:col>
      <xdr:colOff>431800</xdr:colOff>
      <xdr:row>50</xdr:row>
      <xdr:rowOff>63500</xdr:rowOff>
    </xdr:to>
    <xdr:graphicFrame macro="">
      <xdr:nvGraphicFramePr>
        <xdr:cNvPr id="4" name="Chart 3">
          <a:extLst>
            <a:ext uri="{FF2B5EF4-FFF2-40B4-BE49-F238E27FC236}">
              <a16:creationId xmlns:a16="http://schemas.microsoft.com/office/drawing/2014/main" id="{E4499D2C-7FD7-FC32-9DB8-C785CA3A9A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6</xdr:col>
      <xdr:colOff>336550</xdr:colOff>
      <xdr:row>2</xdr:row>
      <xdr:rowOff>44450</xdr:rowOff>
    </xdr:from>
    <xdr:to>
      <xdr:col>12</xdr:col>
      <xdr:colOff>355600</xdr:colOff>
      <xdr:row>23</xdr:row>
      <xdr:rowOff>114300</xdr:rowOff>
    </xdr:to>
    <xdr:graphicFrame macro="">
      <xdr:nvGraphicFramePr>
        <xdr:cNvPr id="2" name="Chart 1">
          <a:extLst>
            <a:ext uri="{FF2B5EF4-FFF2-40B4-BE49-F238E27FC236}">
              <a16:creationId xmlns:a16="http://schemas.microsoft.com/office/drawing/2014/main" id="{29418F4E-AF16-FC8C-8F51-C9D07291AC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819150</xdr:colOff>
      <xdr:row>27</xdr:row>
      <xdr:rowOff>69850</xdr:rowOff>
    </xdr:from>
    <xdr:to>
      <xdr:col>7</xdr:col>
      <xdr:colOff>863600</xdr:colOff>
      <xdr:row>49</xdr:row>
      <xdr:rowOff>139700</xdr:rowOff>
    </xdr:to>
    <xdr:graphicFrame macro="">
      <xdr:nvGraphicFramePr>
        <xdr:cNvPr id="3" name="Chart 2">
          <a:extLst>
            <a:ext uri="{FF2B5EF4-FFF2-40B4-BE49-F238E27FC236}">
              <a16:creationId xmlns:a16="http://schemas.microsoft.com/office/drawing/2014/main" id="{39E19099-6226-2F1A-EE1D-E7E871AE04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xdr:col>
      <xdr:colOff>44450</xdr:colOff>
      <xdr:row>10</xdr:row>
      <xdr:rowOff>31750</xdr:rowOff>
    </xdr:from>
    <xdr:to>
      <xdr:col>7</xdr:col>
      <xdr:colOff>12700</xdr:colOff>
      <xdr:row>26</xdr:row>
      <xdr:rowOff>133350</xdr:rowOff>
    </xdr:to>
    <xdr:graphicFrame macro="">
      <xdr:nvGraphicFramePr>
        <xdr:cNvPr id="5" name="Chart 4">
          <a:extLst>
            <a:ext uri="{FF2B5EF4-FFF2-40B4-BE49-F238E27FC236}">
              <a16:creationId xmlns:a16="http://schemas.microsoft.com/office/drawing/2014/main" id="{CDF9617C-0183-33C8-C68D-EE97C3F1870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44450</xdr:colOff>
      <xdr:row>36</xdr:row>
      <xdr:rowOff>6350</xdr:rowOff>
    </xdr:from>
    <xdr:to>
      <xdr:col>7</xdr:col>
      <xdr:colOff>12700</xdr:colOff>
      <xdr:row>52</xdr:row>
      <xdr:rowOff>107950</xdr:rowOff>
    </xdr:to>
    <xdr:graphicFrame macro="">
      <xdr:nvGraphicFramePr>
        <xdr:cNvPr id="6" name="Chart 5">
          <a:extLst>
            <a:ext uri="{FF2B5EF4-FFF2-40B4-BE49-F238E27FC236}">
              <a16:creationId xmlns:a16="http://schemas.microsoft.com/office/drawing/2014/main" id="{E5D494EB-F8E2-E55D-85E1-B69A5F9EC0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4</xdr:col>
      <xdr:colOff>438319</xdr:colOff>
      <xdr:row>1</xdr:row>
      <xdr:rowOff>133349</xdr:rowOff>
    </xdr:from>
    <xdr:to>
      <xdr:col>12</xdr:col>
      <xdr:colOff>146106</xdr:colOff>
      <xdr:row>22</xdr:row>
      <xdr:rowOff>56194</xdr:rowOff>
    </xdr:to>
    <xdr:graphicFrame macro="">
      <xdr:nvGraphicFramePr>
        <xdr:cNvPr id="2" name="Chart 1">
          <a:extLst>
            <a:ext uri="{FF2B5EF4-FFF2-40B4-BE49-F238E27FC236}">
              <a16:creationId xmlns:a16="http://schemas.microsoft.com/office/drawing/2014/main" id="{1BA84181-7C7B-8B22-0073-822444A2AD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445007</xdr:colOff>
      <xdr:row>23</xdr:row>
      <xdr:rowOff>161980</xdr:rowOff>
    </xdr:from>
    <xdr:to>
      <xdr:col>12</xdr:col>
      <xdr:colOff>191061</xdr:colOff>
      <xdr:row>43</xdr:row>
      <xdr:rowOff>20583</xdr:rowOff>
    </xdr:to>
    <xdr:graphicFrame macro="">
      <xdr:nvGraphicFramePr>
        <xdr:cNvPr id="3" name="Chart 2">
          <a:extLst>
            <a:ext uri="{FF2B5EF4-FFF2-40B4-BE49-F238E27FC236}">
              <a16:creationId xmlns:a16="http://schemas.microsoft.com/office/drawing/2014/main" id="{2AA10A9E-EB5D-9192-9CA5-9BE540556E0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467032</xdr:colOff>
      <xdr:row>44</xdr:row>
      <xdr:rowOff>133785</xdr:rowOff>
    </xdr:from>
    <xdr:to>
      <xdr:col>12</xdr:col>
      <xdr:colOff>179822</xdr:colOff>
      <xdr:row>67</xdr:row>
      <xdr:rowOff>2167</xdr:rowOff>
    </xdr:to>
    <xdr:graphicFrame macro="">
      <xdr:nvGraphicFramePr>
        <xdr:cNvPr id="4" name="Chart 3">
          <a:extLst>
            <a:ext uri="{FF2B5EF4-FFF2-40B4-BE49-F238E27FC236}">
              <a16:creationId xmlns:a16="http://schemas.microsoft.com/office/drawing/2014/main" id="{D6894615-8331-912A-169D-82CC9568E9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406400</xdr:colOff>
      <xdr:row>1</xdr:row>
      <xdr:rowOff>107950</xdr:rowOff>
    </xdr:from>
    <xdr:to>
      <xdr:col>17</xdr:col>
      <xdr:colOff>0</xdr:colOff>
      <xdr:row>26</xdr:row>
      <xdr:rowOff>38100</xdr:rowOff>
    </xdr:to>
    <xdr:graphicFrame macro="">
      <xdr:nvGraphicFramePr>
        <xdr:cNvPr id="2" name="Chart 1">
          <a:extLst>
            <a:ext uri="{FF2B5EF4-FFF2-40B4-BE49-F238E27FC236}">
              <a16:creationId xmlns:a16="http://schemas.microsoft.com/office/drawing/2014/main" id="{13BDAF2B-9291-BBD7-1284-E1430B3AEB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387350</xdr:colOff>
      <xdr:row>30</xdr:row>
      <xdr:rowOff>101600</xdr:rowOff>
    </xdr:from>
    <xdr:to>
      <xdr:col>17</xdr:col>
      <xdr:colOff>12700</xdr:colOff>
      <xdr:row>53</xdr:row>
      <xdr:rowOff>0</xdr:rowOff>
    </xdr:to>
    <xdr:graphicFrame macro="">
      <xdr:nvGraphicFramePr>
        <xdr:cNvPr id="3" name="Chart 2">
          <a:extLst>
            <a:ext uri="{FF2B5EF4-FFF2-40B4-BE49-F238E27FC236}">
              <a16:creationId xmlns:a16="http://schemas.microsoft.com/office/drawing/2014/main" id="{9C916BE4-E57A-A6F7-9E9B-C88E14050A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11</xdr:col>
      <xdr:colOff>374650</xdr:colOff>
      <xdr:row>1</xdr:row>
      <xdr:rowOff>19050</xdr:rowOff>
    </xdr:from>
    <xdr:to>
      <xdr:col>20</xdr:col>
      <xdr:colOff>25400</xdr:colOff>
      <xdr:row>21</xdr:row>
      <xdr:rowOff>88900</xdr:rowOff>
    </xdr:to>
    <xdr:graphicFrame macro="">
      <xdr:nvGraphicFramePr>
        <xdr:cNvPr id="2" name="Chart 1">
          <a:extLst>
            <a:ext uri="{FF2B5EF4-FFF2-40B4-BE49-F238E27FC236}">
              <a16:creationId xmlns:a16="http://schemas.microsoft.com/office/drawing/2014/main" id="{62E81B47-0997-16A8-7243-F80664F12A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400050</xdr:colOff>
      <xdr:row>25</xdr:row>
      <xdr:rowOff>19050</xdr:rowOff>
    </xdr:from>
    <xdr:to>
      <xdr:col>20</xdr:col>
      <xdr:colOff>0</xdr:colOff>
      <xdr:row>46</xdr:row>
      <xdr:rowOff>38100</xdr:rowOff>
    </xdr:to>
    <xdr:graphicFrame macro="">
      <xdr:nvGraphicFramePr>
        <xdr:cNvPr id="3" name="Chart 2">
          <a:extLst>
            <a:ext uri="{FF2B5EF4-FFF2-40B4-BE49-F238E27FC236}">
              <a16:creationId xmlns:a16="http://schemas.microsoft.com/office/drawing/2014/main" id="{BB1FFEE1-6E58-866C-7363-7C856DCB73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3</xdr:col>
      <xdr:colOff>1187450</xdr:colOff>
      <xdr:row>2</xdr:row>
      <xdr:rowOff>12700</xdr:rowOff>
    </xdr:from>
    <xdr:to>
      <xdr:col>11</xdr:col>
      <xdr:colOff>406400</xdr:colOff>
      <xdr:row>30</xdr:row>
      <xdr:rowOff>88900</xdr:rowOff>
    </xdr:to>
    <xdr:graphicFrame macro="">
      <xdr:nvGraphicFramePr>
        <xdr:cNvPr id="2" name="Chart 1">
          <a:extLst>
            <a:ext uri="{FF2B5EF4-FFF2-40B4-BE49-F238E27FC236}">
              <a16:creationId xmlns:a16="http://schemas.microsoft.com/office/drawing/2014/main" id="{F6713F59-CB7F-E1CD-49CD-7B3A430B942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596900</xdr:colOff>
      <xdr:row>34</xdr:row>
      <xdr:rowOff>25400</xdr:rowOff>
    </xdr:from>
    <xdr:to>
      <xdr:col>12</xdr:col>
      <xdr:colOff>25400</xdr:colOff>
      <xdr:row>61</xdr:row>
      <xdr:rowOff>101600</xdr:rowOff>
    </xdr:to>
    <xdr:graphicFrame macro="">
      <xdr:nvGraphicFramePr>
        <xdr:cNvPr id="3" name="Chart 2">
          <a:extLst>
            <a:ext uri="{FF2B5EF4-FFF2-40B4-BE49-F238E27FC236}">
              <a16:creationId xmlns:a16="http://schemas.microsoft.com/office/drawing/2014/main" id="{74E0EC12-ADBB-7075-51BE-2734233CBE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209550</xdr:colOff>
      <xdr:row>63</xdr:row>
      <xdr:rowOff>50800</xdr:rowOff>
    </xdr:from>
    <xdr:to>
      <xdr:col>11</xdr:col>
      <xdr:colOff>38100</xdr:colOff>
      <xdr:row>93</xdr:row>
      <xdr:rowOff>0</xdr:rowOff>
    </xdr:to>
    <xdr:graphicFrame macro="">
      <xdr:nvGraphicFramePr>
        <xdr:cNvPr id="4" name="Chart 3">
          <a:extLst>
            <a:ext uri="{FF2B5EF4-FFF2-40B4-BE49-F238E27FC236}">
              <a16:creationId xmlns:a16="http://schemas.microsoft.com/office/drawing/2014/main" id="{9F0EE5C6-BC38-4EC8-99AF-380C81AA82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11</xdr:col>
      <xdr:colOff>863600</xdr:colOff>
      <xdr:row>1</xdr:row>
      <xdr:rowOff>146050</xdr:rowOff>
    </xdr:from>
    <xdr:to>
      <xdr:col>13</xdr:col>
      <xdr:colOff>6819900</xdr:colOff>
      <xdr:row>21</xdr:row>
      <xdr:rowOff>0</xdr:rowOff>
    </xdr:to>
    <xdr:graphicFrame macro="">
      <xdr:nvGraphicFramePr>
        <xdr:cNvPr id="4" name="Chart 3">
          <a:extLst>
            <a:ext uri="{FF2B5EF4-FFF2-40B4-BE49-F238E27FC236}">
              <a16:creationId xmlns:a16="http://schemas.microsoft.com/office/drawing/2014/main" id="{3B1CA18F-F646-B4EE-6D16-4DDBBAE5CB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25399</xdr:colOff>
      <xdr:row>25</xdr:row>
      <xdr:rowOff>158750</xdr:rowOff>
    </xdr:from>
    <xdr:to>
      <xdr:col>13</xdr:col>
      <xdr:colOff>466751</xdr:colOff>
      <xdr:row>44</xdr:row>
      <xdr:rowOff>141111</xdr:rowOff>
    </xdr:to>
    <xdr:graphicFrame macro="">
      <xdr:nvGraphicFramePr>
        <xdr:cNvPr id="5" name="Chart 4">
          <a:extLst>
            <a:ext uri="{FF2B5EF4-FFF2-40B4-BE49-F238E27FC236}">
              <a16:creationId xmlns:a16="http://schemas.microsoft.com/office/drawing/2014/main" id="{1073A45C-471E-5398-796B-55D6857B29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11</xdr:col>
      <xdr:colOff>412750</xdr:colOff>
      <xdr:row>0</xdr:row>
      <xdr:rowOff>234950</xdr:rowOff>
    </xdr:from>
    <xdr:to>
      <xdr:col>16</xdr:col>
      <xdr:colOff>1231900</xdr:colOff>
      <xdr:row>21</xdr:row>
      <xdr:rowOff>127000</xdr:rowOff>
    </xdr:to>
    <xdr:graphicFrame macro="">
      <xdr:nvGraphicFramePr>
        <xdr:cNvPr id="2" name="Chart 1">
          <a:extLst>
            <a:ext uri="{FF2B5EF4-FFF2-40B4-BE49-F238E27FC236}">
              <a16:creationId xmlns:a16="http://schemas.microsoft.com/office/drawing/2014/main" id="{C56A0719-852C-1C9F-DF01-905E17D57AC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488950</xdr:colOff>
      <xdr:row>26</xdr:row>
      <xdr:rowOff>19050</xdr:rowOff>
    </xdr:from>
    <xdr:to>
      <xdr:col>17</xdr:col>
      <xdr:colOff>12700</xdr:colOff>
      <xdr:row>45</xdr:row>
      <xdr:rowOff>114300</xdr:rowOff>
    </xdr:to>
    <xdr:graphicFrame macro="">
      <xdr:nvGraphicFramePr>
        <xdr:cNvPr id="3" name="Chart 2">
          <a:extLst>
            <a:ext uri="{FF2B5EF4-FFF2-40B4-BE49-F238E27FC236}">
              <a16:creationId xmlns:a16="http://schemas.microsoft.com/office/drawing/2014/main" id="{636392E7-FA2B-9DB4-FFC3-CE5BE5AAD1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_rels/pivotCacheDefinition7.xml.rels><?xml version="1.0" encoding="UTF-8" standalone="yes"?>
<Relationships xmlns="http://schemas.openxmlformats.org/package/2006/relationships"><Relationship Id="rId1" Type="http://schemas.openxmlformats.org/officeDocument/2006/relationships/pivotCacheRecords" Target="pivotCacheRecords7.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8.xml"/></Relationships>
</file>

<file path=xl/pivotCache/_rels/pivotCacheDefinition9.xml.rels><?xml version="1.0" encoding="UTF-8" standalone="yes"?>
<Relationships xmlns="http://schemas.openxmlformats.org/package/2006/relationships"><Relationship Id="rId1" Type="http://schemas.openxmlformats.org/officeDocument/2006/relationships/pivotCacheRecords" Target="pivotCacheRecords9.xml"/></Relationships>
</file>

<file path=xl/pivotCache/_rels/pivotCacheDefinition10.xml.rels><?xml version="1.0" encoding="UTF-8" standalone="yes"?>
<Relationships xmlns="http://schemas.openxmlformats.org/package/2006/relationships"><Relationship Id="rId1" Type="http://schemas.openxmlformats.org/officeDocument/2006/relationships/pivotCacheRecords" Target="pivotCacheRecords10.xml"/></Relationships>
</file>

<file path=xl/pivotCache/_rels/pivotCacheDefinition11.xml.rels><?xml version="1.0" encoding="UTF-8" standalone="yes"?>
<Relationships xmlns="http://schemas.openxmlformats.org/package/2006/relationships"><Relationship Id="rId1" Type="http://schemas.openxmlformats.org/officeDocument/2006/relationships/pivotCacheRecords" Target="pivotCacheRecords11.xml"/></Relationships>
</file>

<file path=xl/pivotCache/_rels/pivotCacheDefinition12.xml.rels><?xml version="1.0" encoding="UTF-8" standalone="yes"?>
<Relationships xmlns="http://schemas.openxmlformats.org/package/2006/relationships"><Relationship Id="rId1" Type="http://schemas.openxmlformats.org/officeDocument/2006/relationships/pivotCacheRecords" Target="pivotCacheRecords12.xml"/></Relationships>
</file>

<file path=xl/pivotCache/_rels/pivotCacheDefinition13.xml.rels><?xml version="1.0" encoding="UTF-8" standalone="yes"?>
<Relationships xmlns="http://schemas.openxmlformats.org/package/2006/relationships"><Relationship Id="rId1" Type="http://schemas.openxmlformats.org/officeDocument/2006/relationships/pivotCacheRecords" Target="pivotCacheRecords13.xml"/></Relationships>
</file>

<file path=xl/pivotCache/_rels/pivotCacheDefinition14.xml.rels><?xml version="1.0" encoding="UTF-8" standalone="yes"?>
<Relationships xmlns="http://schemas.openxmlformats.org/package/2006/relationships"><Relationship Id="rId1" Type="http://schemas.openxmlformats.org/officeDocument/2006/relationships/pivotCacheRecords" Target="pivotCacheRecords14.xml"/></Relationships>
</file>

<file path=xl/pivotCache/_rels/pivotCacheDefinition15.xml.rels><?xml version="1.0" encoding="UTF-8" standalone="yes"?>
<Relationships xmlns="http://schemas.openxmlformats.org/package/2006/relationships"><Relationship Id="rId1" Type="http://schemas.openxmlformats.org/officeDocument/2006/relationships/pivotCacheRecords" Target="pivotCacheRecords15.xml"/></Relationships>
</file>

<file path=xl/pivotCache/_rels/pivotCacheDefinition16.xml.rels><?xml version="1.0" encoding="UTF-8" standalone="yes"?>
<Relationships xmlns="http://schemas.openxmlformats.org/package/2006/relationships"><Relationship Id="rId1" Type="http://schemas.openxmlformats.org/officeDocument/2006/relationships/pivotCacheRecords" Target="pivotCacheRecords16.xml"/></Relationships>
</file>

<file path=xl/pivotCache/_rels/pivotCacheDefinition17.xml.rels><?xml version="1.0" encoding="UTF-8" standalone="yes"?>
<Relationships xmlns="http://schemas.openxmlformats.org/package/2006/relationships"><Relationship Id="rId1" Type="http://schemas.openxmlformats.org/officeDocument/2006/relationships/pivotCacheRecords" Target="pivotCacheRecords17.xml"/></Relationships>
</file>

<file path=xl/pivotCache/_rels/pivotCacheDefinition18.xml.rels><?xml version="1.0" encoding="UTF-8" standalone="yes"?>
<Relationships xmlns="http://schemas.openxmlformats.org/package/2006/relationships"><Relationship Id="rId1" Type="http://schemas.openxmlformats.org/officeDocument/2006/relationships/pivotCacheRecords" Target="pivotCacheRecords18.xml"/></Relationships>
</file>

<file path=xl/pivotCache/_rels/pivotCacheDefinition19.xml.rels><?xml version="1.0" encoding="UTF-8" standalone="yes"?>
<Relationships xmlns="http://schemas.openxmlformats.org/package/2006/relationships"><Relationship Id="rId1" Type="http://schemas.openxmlformats.org/officeDocument/2006/relationships/pivotCacheRecords" Target="pivotCacheRecords19.xml"/></Relationships>
</file>

<file path=xl/pivotCache/_rels/pivotCacheDefinition20.xml.rels><?xml version="1.0" encoding="UTF-8" standalone="yes"?>
<Relationships xmlns="http://schemas.openxmlformats.org/package/2006/relationships"><Relationship Id="rId1" Type="http://schemas.openxmlformats.org/officeDocument/2006/relationships/pivotCacheRecords" Target="pivotCacheRecords20.xml"/></Relationships>
</file>

<file path=xl/pivotCache/_rels/pivotCacheDefinition21.xml.rels><?xml version="1.0" encoding="UTF-8" standalone="yes"?>
<Relationships xmlns="http://schemas.openxmlformats.org/package/2006/relationships"><Relationship Id="rId1" Type="http://schemas.openxmlformats.org/officeDocument/2006/relationships/pivotCacheRecords" Target="pivotCacheRecords2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kriti " refreshedDate="46149.712247569441" createdVersion="8" refreshedVersion="8" minRefreshableVersion="3" recordCount="89" xr:uid="{0ED4A933-A06F-6B4A-A2F2-677E5B3CD7BF}">
  <cacheSource type="worksheet">
    <worksheetSource name="Query_1__515"/>
  </cacheSource>
  <cacheFields count="13">
    <cacheField name="CustomerID" numFmtId="0">
      <sharedItems count="89">
        <s v="QUICK"/>
        <s v="ERNSH"/>
        <s v="SAVEA"/>
        <s v="RATTC"/>
        <s v="HUNGO"/>
        <s v="HANAR"/>
        <s v="MEREP"/>
        <s v="FOLKO"/>
        <s v="KOENE"/>
        <s v="BERGS"/>
        <s v="FRANK"/>
        <s v="QUEEN"/>
        <s v="SUPRD"/>
        <s v="BONAP"/>
        <s v="HILAA"/>
        <s v="PICCO"/>
        <s v="BLONP"/>
        <s v="BOTTM"/>
        <s v="GREAL"/>
        <s v="LEHMS"/>
        <s v="WHITC"/>
        <s v="SIMOB"/>
        <s v="SEVES"/>
        <s v="VAFFE"/>
        <s v="RICSU"/>
        <s v="LILAS"/>
        <s v="WARTH"/>
        <s v="OLDWO"/>
        <s v="LINOD"/>
        <s v="AROUT"/>
        <s v="OTTIK"/>
        <s v="FOLIG"/>
        <s v="SPLIR"/>
        <s v="GODOS"/>
        <s v="RICAR"/>
        <s v="TORTU"/>
        <s v="MAISD"/>
        <s v="LAMAI"/>
        <s v="CHOPS"/>
        <s v="VICTE"/>
        <s v="EASTC"/>
        <s v="GOURL"/>
        <s v="WANDK"/>
        <s v="MAGAA"/>
        <s v="ANTON"/>
        <s v="TRADH"/>
        <s v="QUEDE"/>
        <s v="FURIB"/>
        <s v="ISLAT"/>
        <s v="WELLI"/>
        <s v="REGGC"/>
        <s v="SANTG"/>
        <s v="PRINI"/>
        <s v="MORGK"/>
        <s v="TOMSP"/>
        <s v="BSBEV"/>
        <s v="BOLID"/>
        <s v="FAMIA"/>
        <s v="PERIC"/>
        <s v="OCEAN"/>
        <s v="COMMI"/>
        <s v="THEBI"/>
        <s v="ALFKI"/>
        <s v="FRANR"/>
        <s v="WILMK"/>
        <s v="LETSS"/>
        <s v="HUNGC"/>
        <s v="WOLZA"/>
        <s v="RANCH"/>
        <s v="LONEP"/>
        <s v="BLAUS"/>
        <s v="SPECD"/>
        <s v="LACOR"/>
        <s v="DRACD"/>
        <s v="THECR"/>
        <s v="CONSH"/>
        <s v="DUMON"/>
        <s v="TRAIH"/>
        <s v="CACTU"/>
        <s v="GROSR"/>
        <s v="VINET"/>
        <s v="ANATR"/>
        <s v="ROMEY"/>
        <s v="GALED"/>
        <s v="NORTS"/>
        <s v="LAUGB"/>
        <s v="LAZYK"/>
        <s v="FRANS"/>
        <s v="CENTC"/>
      </sharedItems>
    </cacheField>
    <cacheField name="CompanyName" numFmtId="0">
      <sharedItems/>
    </cacheField>
    <cacheField name="Country" numFmtId="0">
      <sharedItems count="21">
        <s v="Germany"/>
        <s v="Austria"/>
        <s v="USA"/>
        <s v="Ireland"/>
        <s v="Brazil"/>
        <s v="Canada"/>
        <s v="Sweden"/>
        <s v="Belgium"/>
        <s v="France"/>
        <s v="Venezuela"/>
        <s v="Denmark"/>
        <s v="UK"/>
        <s v="Switzerland"/>
        <s v="Finland"/>
        <s v="Spain"/>
        <s v="Mexico"/>
        <s v="Italy"/>
        <s v="Portugal"/>
        <s v="Norway"/>
        <s v="Argentina"/>
        <s v="Poland"/>
      </sharedItems>
    </cacheField>
    <cacheField name="City" numFmtId="0">
      <sharedItems/>
    </cacheField>
    <cacheField name="total_orders" numFmtId="0">
      <sharedItems containsSemiMixedTypes="0" containsString="0" containsNumber="1" containsInteger="1" minValue="1" maxValue="28"/>
    </cacheField>
    <cacheField name="total_revenue" numFmtId="0">
      <sharedItems containsSemiMixedTypes="0" containsString="0" containsNumber="1" minValue="100.8" maxValue="103971.06"/>
    </cacheField>
    <cacheField name="avg_order_value" numFmtId="0">
      <sharedItems containsSemiMixedTypes="0" containsString="0" containsNumber="1" minValue="62.42" maxValue="3850.78"/>
    </cacheField>
    <cacheField name="first_order" numFmtId="22">
      <sharedItems containsSemiMixedTypes="0" containsNonDate="0" containsDate="1" containsString="0" minDate="1994-08-04T00:00:00" maxDate="1996-03-01T00:00:00"/>
    </cacheField>
    <cacheField name="last_order" numFmtId="22">
      <sharedItems containsSemiMixedTypes="0" containsNonDate="0" containsDate="1" containsString="0" minDate="1994-08-18T00:00:00" maxDate="1996-05-09T00:00:00"/>
    </cacheField>
    <cacheField name="customer_lifespan_days" numFmtId="0">
      <sharedItems containsSemiMixedTypes="0" containsString="0" containsNumber="1" containsInteger="1" minValue="0" maxValue="627"/>
    </cacheField>
    <cacheField name="revenue_quartile" numFmtId="0">
      <sharedItems containsSemiMixedTypes="0" containsString="0" containsNumber="1" containsInteger="1" minValue="1" maxValue="4"/>
    </cacheField>
    <cacheField name="avg_orders_per_customer" numFmtId="0">
      <sharedItems containsSemiMixedTypes="0" containsString="0" containsNumber="1" minValue="8.5393000000000008" maxValue="8.5393000000000008"/>
    </cacheField>
    <cacheField name="customer_segment" numFmtId="0">
      <sharedItems count="3">
        <s v="High-Value Repeat"/>
        <s v="Repeat"/>
        <s v="One-Time / Low-Frequency"/>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kriti " refreshedDate="46149.751265740742" createdVersion="8" refreshedVersion="8" minRefreshableVersion="3" recordCount="69" xr:uid="{80431333-AC33-964A-8C3D-DF180803A2B0}">
  <cacheSource type="worksheet">
    <worksheetSource name="Query_2__317"/>
  </cacheSource>
  <cacheFields count="10">
    <cacheField name="Country" numFmtId="0">
      <sharedItems count="21">
        <s v="Germany"/>
        <s v="Austria"/>
        <s v="USA"/>
        <s v="Ireland"/>
        <s v="Brazil"/>
        <s v="UK"/>
        <s v="Canada"/>
        <s v="Sweden"/>
        <s v="Mexico"/>
        <s v="Belgium"/>
        <s v="France"/>
        <s v="Venezuela"/>
        <s v="Denmark"/>
        <s v="Switzerland"/>
        <s v="Finland"/>
        <s v="Portugal"/>
        <s v="Spain"/>
        <s v="Argentina"/>
        <s v="Italy"/>
        <s v="Norway"/>
        <s v="Poland"/>
      </sharedItems>
    </cacheField>
    <cacheField name="City" numFmtId="0">
      <sharedItems count="69">
        <s v="Cunewalde"/>
        <s v="Graz"/>
        <s v="Boise"/>
        <s v="Albuquerque"/>
        <s v="Cork"/>
        <s v="Rio de Janeiro"/>
        <s v="London"/>
        <s v="SÃ£o Paulo"/>
        <s v="MontrÃ©al"/>
        <s v="BrÃ¤cke"/>
        <s v="Brandenburg"/>
        <s v="LuleÃ¥"/>
        <s v="MÃ¼nchen"/>
        <s v="MÃ©xico D.F."/>
        <s v="Charleroi"/>
        <s v="Marseille"/>
        <s v="San CristÃ³bal"/>
        <s v="Salzburg"/>
        <s v="Strasbourg"/>
        <s v="Tsawassen"/>
        <s v="Eugene"/>
        <s v="Frankfurt a.M."/>
        <s v="Seattle"/>
        <s v="KÃ¸benhavn"/>
        <s v="Ã…rhus"/>
        <s v="GenÃ¨ve"/>
        <s v="Barquisimeto"/>
        <s v="Oulu"/>
        <s v="Anchorage"/>
        <s v="I. de Margarita"/>
        <s v="KÃ¶ln"/>
        <s v="Lille"/>
        <s v="Lisboa"/>
        <s v="Lander"/>
        <s v="Sevilla"/>
        <s v="Bruxelles"/>
        <s v="Toulouse"/>
        <s v="Bern"/>
        <s v="Lyon"/>
        <s v="Campinas"/>
        <s v="Stuttgart"/>
        <s v="Buenos Aires"/>
        <s v="Bergamo"/>
        <s v="Cowes"/>
        <s v="Resende"/>
        <s v="Portland"/>
        <s v="Reggio Emilia"/>
        <s v="Madrid"/>
        <s v="Stavern"/>
        <s v="Leipzig"/>
        <s v="Nantes"/>
        <s v="MÃ¼nster"/>
        <s v="Berlin"/>
        <s v="Helsinki"/>
        <s v="San Francisco"/>
        <s v="Elgin"/>
        <s v="Warszawa"/>
        <s v="Mannheim"/>
        <s v="Paris"/>
        <s v="Versailles"/>
        <s v="Aachen"/>
        <s v="Butte"/>
        <s v="Kirkland"/>
        <s v="Caracas"/>
        <s v="Reims"/>
        <s v="Barcelona"/>
        <s v="Vancouver"/>
        <s v="Walla Walla"/>
        <s v="Torino"/>
      </sharedItems>
    </cacheField>
    <cacheField name="total_customers" numFmtId="0">
      <sharedItems containsSemiMixedTypes="0" containsString="0" containsNumber="1" containsInteger="1" minValue="1" maxValue="6"/>
    </cacheField>
    <cacheField name="total_orders" numFmtId="0">
      <sharedItems containsSemiMixedTypes="0" containsString="0" containsNumber="1" containsInteger="1" minValue="2" maxValue="40"/>
    </cacheField>
    <cacheField name="avg_orders_per_customer" numFmtId="0">
      <sharedItems containsSemiMixedTypes="0" containsString="0" containsNumber="1" minValue="2" maxValue="28"/>
    </cacheField>
    <cacheField name="total_revenue" numFmtId="0">
      <sharedItems containsSemiMixedTypes="0" containsString="0" containsNumber="1" minValue="249.7" maxValue="103971.06"/>
    </cacheField>
    <cacheField name="avg_revenue_per_order" numFmtId="0">
      <sharedItems containsSemiMixedTypes="0" containsString="0" containsNumber="1" minValue="62.42" maxValue="3850.78"/>
    </cacheField>
    <cacheField name="total_units_ordered" numFmtId="0">
      <sharedItems containsSemiMixedTypes="0" containsString="0" containsNumber="1" containsInteger="1" minValue="20" maxValue="4273"/>
    </cacheField>
    <cacheField name="earliest_order" numFmtId="22">
      <sharedItems containsSemiMixedTypes="0" containsNonDate="0" containsDate="1" containsString="0" minDate="1994-08-04T00:00:00" maxDate="1996-03-01T00:00:00"/>
    </cacheField>
    <cacheField name="latest_order" numFmtId="22">
      <sharedItems containsSemiMixedTypes="0" containsNonDate="0" containsDate="1" containsString="0" minDate="1995-06-22T00:00:00" maxDate="1996-05-09T00:00:0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kriti " refreshedDate="46149.787886574071" createdVersion="8" refreshedVersion="8" minRefreshableVersion="3" recordCount="89" xr:uid="{959B3FFA-1C7B-1B4C-9820-1F151CDA1DBF}">
  <cacheSource type="worksheet">
    <worksheetSource name="Query_3__319"/>
  </cacheSource>
  <cacheFields count="9">
    <cacheField name="CustomerID" numFmtId="0">
      <sharedItems count="89">
        <s v="QUICK"/>
        <s v="ERNSH"/>
        <s v="SAVEA"/>
        <s v="RATTC"/>
        <s v="HUNGO"/>
        <s v="HANAR"/>
        <s v="MEREP"/>
        <s v="FOLKO"/>
        <s v="KOENE"/>
        <s v="BERGS"/>
        <s v="FRANK"/>
        <s v="QUEEN"/>
        <s v="SUPRD"/>
        <s v="BONAP"/>
        <s v="HILAA"/>
        <s v="PICCO"/>
        <s v="BLONP"/>
        <s v="BOTTM"/>
        <s v="GREAL"/>
        <s v="LEHMS"/>
        <s v="WHITC"/>
        <s v="SIMOB"/>
        <s v="SEVES"/>
        <s v="VAFFE"/>
        <s v="RICSU"/>
        <s v="LILAS"/>
        <s v="WARTH"/>
        <s v="OLDWO"/>
        <s v="LINOD"/>
        <s v="AROUT"/>
        <s v="OTTIK"/>
        <s v="FOLIG"/>
        <s v="SPLIR"/>
        <s v="GODOS"/>
        <s v="RICAR"/>
        <s v="TORTU"/>
        <s v="MAISD"/>
        <s v="LAMAI"/>
        <s v="CHOPS"/>
        <s v="VICTE"/>
        <s v="EASTC"/>
        <s v="GOURL"/>
        <s v="WANDK"/>
        <s v="MAGAA"/>
        <s v="ANTON"/>
        <s v="TRADH"/>
        <s v="QUEDE"/>
        <s v="FURIB"/>
        <s v="ISLAT"/>
        <s v="WELLI"/>
        <s v="REGGC"/>
        <s v="SANTG"/>
        <s v="PRINI"/>
        <s v="MORGK"/>
        <s v="TOMSP"/>
        <s v="BSBEV"/>
        <s v="BOLID"/>
        <s v="FAMIA"/>
        <s v="PERIC"/>
        <s v="OCEAN"/>
        <s v="COMMI"/>
        <s v="THEBI"/>
        <s v="ALFKI"/>
        <s v="FRANR"/>
        <s v="WILMK"/>
        <s v="LETSS"/>
        <s v="HUNGC"/>
        <s v="WOLZA"/>
        <s v="RANCH"/>
        <s v="LONEP"/>
        <s v="BLAUS"/>
        <s v="SPECD"/>
        <s v="LACOR"/>
        <s v="DRACD"/>
        <s v="THECR"/>
        <s v="CONSH"/>
        <s v="DUMON"/>
        <s v="TRAIH"/>
        <s v="CACTU"/>
        <s v="GROSR"/>
        <s v="VINET"/>
        <s v="ANATR"/>
        <s v="ROMEY"/>
        <s v="GALED"/>
        <s v="NORTS"/>
        <s v="LAUGB"/>
        <s v="LAZYK"/>
        <s v="FRANS"/>
        <s v="CENTC"/>
      </sharedItems>
    </cacheField>
    <cacheField name="CompanyName" numFmtId="0">
      <sharedItems/>
    </cacheField>
    <cacheField name="Country" numFmtId="0">
      <sharedItems/>
    </cacheField>
    <cacheField name="order_count" numFmtId="0">
      <sharedItems containsSemiMixedTypes="0" containsString="0" containsNumber="1" containsInteger="1" minValue="1" maxValue="28"/>
    </cacheField>
    <cacheField name="total_spend" numFmtId="0">
      <sharedItems containsSemiMixedTypes="0" containsString="0" containsNumber="1" minValue="100.8" maxValue="103971.06"/>
    </cacheField>
    <cacheField name="avg_order_value" numFmtId="0">
      <sharedItems containsSemiMixedTypes="0" containsString="0" containsNumber="1" minValue="62.42" maxValue="3850.78"/>
    </cacheField>
    <cacheField name="days_since_last_order" numFmtId="0">
      <sharedItems containsSemiMixedTypes="0" containsString="0" containsNumber="1" containsInteger="1" minValue="10950" maxValue="11579"/>
    </cacheField>
    <cacheField name="preferred_category" numFmtId="0">
      <sharedItems count="7">
        <s v="Beverages"/>
        <s v="Dairy Products"/>
        <s v="Confections"/>
        <s v="Seafood"/>
        <s v="Condiments"/>
        <s v="Grains/Cereals"/>
        <s v="Meat/Poultry"/>
      </sharedItems>
    </cacheField>
    <cacheField name="customer_tier"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kriti " refreshedDate="46149.810917013892" createdVersion="8" refreshedVersion="8" minRefreshableVersion="3" recordCount="8" xr:uid="{4FBCEF3F-4E3D-1148-BB61-7A2669441F66}">
  <cacheSource type="worksheet">
    <worksheetSource name="Query_4_a___321"/>
  </cacheSource>
  <cacheFields count="7">
    <cacheField name="CategoryID" numFmtId="0">
      <sharedItems containsSemiMixedTypes="0" containsString="0" containsNumber="1" containsInteger="1" minValue="1" maxValue="8"/>
    </cacheField>
    <cacheField name="CategoryName" numFmtId="0">
      <sharedItems count="8">
        <s v="Beverages"/>
        <s v="Dairy Products"/>
        <s v="Confections"/>
        <s v="Meat/Poultry"/>
        <s v="Seafood"/>
        <s v="Condiments"/>
        <s v="Produce"/>
        <s v="Grains/Cereals"/>
      </sharedItems>
    </cacheField>
    <cacheField name="total_orders" numFmtId="0">
      <sharedItems containsSemiMixedTypes="0" containsString="0" containsNumber="1" containsInteger="1" minValue="129" maxValue="354"/>
    </cacheField>
    <cacheField name="units_sold" numFmtId="0">
      <sharedItems containsSemiMixedTypes="0" containsString="0" containsNumber="1" containsInteger="1" minValue="2990" maxValue="9532"/>
    </cacheField>
    <cacheField name="total_revenue" numFmtId="0">
      <sharedItems containsSemiMixedTypes="0" containsString="0" containsNumber="1" minValue="95744.59" maxValue="267868.18"/>
    </cacheField>
    <cacheField name="revenue_pct" numFmtId="0">
      <sharedItems containsSemiMixedTypes="0" containsString="0" containsNumber="1" minValue="7.56" maxValue="21.16"/>
    </cacheField>
    <cacheField name="avg_unit_price" numFmtId="0">
      <sharedItems containsSemiMixedTypes="0" containsString="0" containsNumber="1" minValue="19.059999999999999" maxValue="42.87"/>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kriti " refreshedDate="46149.878744791669" createdVersion="8" refreshedVersion="8" minRefreshableVersion="3" recordCount="77" xr:uid="{66300EEC-0E32-954B-8060-6087A2498E5C}">
  <cacheSource type="worksheet">
    <worksheetSource name="Query_4_b___323"/>
  </cacheSource>
  <cacheFields count="8">
    <cacheField name="ProductID" numFmtId="0">
      <sharedItems containsSemiMixedTypes="0" containsString="0" containsNumber="1" containsInteger="1" minValue="1" maxValue="77"/>
    </cacheField>
    <cacheField name="ProductName" numFmtId="0">
      <sharedItems count="77">
        <s v="CÃ´te de Blaye"/>
        <s v="ThÃ¼ringer Rostbratwurst"/>
        <s v="Raclette Courdavault"/>
        <s v="Tarte au sucre"/>
        <s v="Camembert Pierrot"/>
        <s v="Gnocchi di nonna Alice"/>
        <s v="Manjimup Dried Apples"/>
        <s v="Alice Mutton"/>
        <s v="Carnarvon Tigers"/>
        <s v="RÃ¶ssle Sauerkraut"/>
        <s v="Mozzarella di Giovanni"/>
        <s v="Ipoh Coffee"/>
        <s v="Sir Rodney's Marmalade"/>
        <s v="Uncle Bob's Organic Dried Pears"/>
        <s v="Wimmers gute SemmelknÃ¶del"/>
        <s v="Gudbrandsdalsost"/>
        <s v="Ikura"/>
        <s v="Perth Pasties"/>
        <s v="GumbÃ¤r GummibÃ¤rchen"/>
        <s v="FlÃ¸temysost"/>
        <s v="Boston Crab Meat"/>
        <s v="PÃ¢tÃ© chinois"/>
        <s v="Pavlova"/>
        <s v="Vegie-spread"/>
        <s v="Chang"/>
        <s v="LakkalikÃ¶Ã¶ri"/>
        <s v="Schoggi Schokolade"/>
        <s v="Gorgonzola Telino"/>
        <s v="Sirop d'Ã©rable"/>
        <s v="Louisiana Fiery Hot Pepper Sauce"/>
        <s v="Steeleye Stout"/>
        <s v="Inlagd Sill"/>
        <s v="Nord-Ost Matjeshering"/>
        <s v="Queso Cabrales"/>
        <s v="Chai"/>
        <s v="Northwoods Cranberry Sauce"/>
        <s v="Chartreuse verte"/>
        <s v="Queso Manchego La Pastora"/>
        <s v="Outback Lager"/>
        <s v="Gula Malacca"/>
        <s v="Maxilaku"/>
        <s v="Original Frankfurter grÃ¼ne SoÃŸe"/>
        <s v="Sir Rodney's Scones"/>
        <s v="Scottish Longbreads"/>
        <s v="Jack's New England Clam Chowder"/>
        <s v="Singaporean Hokkien Fried Mee"/>
        <s v="Chef Anton's Cajun Seasoning"/>
        <s v="Mascarpone Fabioli"/>
        <s v="RhÃ¶nbrÃ¤u Klosterbier"/>
        <s v="Tofu"/>
        <s v="Ravioli Angelo"/>
        <s v="Mishi Kobe Niku"/>
        <s v="Grandma's Boysenberry Spread"/>
        <s v="Gustaf's KnÃ¤ckebrÃ¶d"/>
        <s v="Sasquatch Ale"/>
        <s v="Spegesild"/>
        <s v="Escargots de Bourgogne"/>
        <s v="Teatime Chocolate Biscuits"/>
        <s v="Chef Anton's Gumbo Mix"/>
        <s v="Konbu"/>
        <s v="TourtiÃ¨re"/>
        <s v="TunnbrÃ¶d"/>
        <s v="GuaranÃ¡ FantÃ¡stica"/>
        <s v="RÃ¸gede sild"/>
        <s v="RÃ¶d Kaviar"/>
        <s v="Zaanse koeken"/>
        <s v="NuNuCa NuÃŸ-Nougat-Creme"/>
        <s v="Valkoinen suklaa"/>
        <s v="Louisiana Hot Spiced Okra"/>
        <s v="Filo Mix"/>
        <s v="Aniseed Syrup"/>
        <s v="Gravad lax"/>
        <s v="Longlife Tofu"/>
        <s v="Laughing Lumberjack Lager"/>
        <s v="Genen Shouyu"/>
        <s v="Geitost"/>
        <s v="Chocolade"/>
      </sharedItems>
    </cacheField>
    <cacheField name="CategoryName" numFmtId="0">
      <sharedItems/>
    </cacheField>
    <cacheField name="times_ordered" numFmtId="0">
      <sharedItems containsSemiMixedTypes="0" containsString="0" containsNumber="1" containsInteger="1" minValue="5" maxValue="54"/>
    </cacheField>
    <cacheField name="units_sold" numFmtId="0">
      <sharedItems containsSemiMixedTypes="0" containsString="0" containsNumber="1" containsInteger="1" minValue="95" maxValue="1577"/>
    </cacheField>
    <cacheField name="total_revenue" numFmtId="0">
      <sharedItems containsSemiMixedTypes="0" containsString="0" containsNumber="1" minValue="1368.71" maxValue="141396.73000000001"/>
    </cacheField>
    <cacheField name="pct_of_category" numFmtId="0">
      <sharedItems containsSemiMixedTypes="0" containsString="0" containsNumber="1" minValue="0.7" maxValue="52.79"/>
    </cacheField>
    <cacheField name="avg_selling_price" numFmtId="0">
      <sharedItems containsSemiMixedTypes="0" containsString="0" containsNumber="1" minValue="2.33" maxValue="245.93"/>
    </cacheField>
  </cacheFields>
  <extLst>
    <ext xmlns:x14="http://schemas.microsoft.com/office/spreadsheetml/2009/9/main" uri="{725AE2AE-9491-48be-B2B4-4EB974FC3084}">
      <x14:pivotCacheDefinitio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kriti " refreshedDate="46149.927428009258" createdVersion="8" refreshedVersion="8" minRefreshableVersion="3" recordCount="89" xr:uid="{E78CDB31-2271-3A42-9F86-1A71CDFC7B6D}">
  <cacheSource type="worksheet">
    <worksheetSource name="Query_5_227"/>
  </cacheSource>
  <cacheFields count="8">
    <cacheField name="CustomerID" numFmtId="0">
      <sharedItems/>
    </cacheField>
    <cacheField name="CompanyName" numFmtId="0">
      <sharedItems/>
    </cacheField>
    <cacheField name="Country" numFmtId="0">
      <sharedItems/>
    </cacheField>
    <cacheField name="total_orders" numFmtId="0">
      <sharedItems containsSemiMixedTypes="0" containsString="0" containsNumber="1" containsInteger="1" minValue="1" maxValue="28"/>
    </cacheField>
    <cacheField name="avg_days_between_orders" numFmtId="0">
      <sharedItems/>
    </cacheField>
    <cacheField name="min_gap_days" numFmtId="0">
      <sharedItems/>
    </cacheField>
    <cacheField name="max_gap_days" numFmtId="0">
      <sharedItems/>
    </cacheField>
    <cacheField name="frequency_segment" numFmtId="0">
      <sharedItems count="4">
        <s v="Infrequent (&gt;180d)"/>
        <s v="High Frequency (&lt;=30d)"/>
        <s v="Medium Frequency (31-90d)"/>
        <s v="Low Frequency (91-180d)"/>
      </sharedItems>
    </cacheField>
  </cacheFields>
  <extLst>
    <ext xmlns:x14="http://schemas.microsoft.com/office/spreadsheetml/2009/9/main" uri="{725AE2AE-9491-48be-B2B4-4EB974FC3084}">
      <x14:pivotCacheDefinitio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kriti " refreshedDate="46149.935375578701" createdVersion="8" refreshedVersion="8" minRefreshableVersion="3" recordCount="4" xr:uid="{3B49AAE5-A9E7-734C-AE41-C4AF14566EBD}">
  <cacheSource type="worksheet">
    <worksheetSource name="Query_6_a29"/>
  </cacheSource>
  <cacheFields count="4">
    <cacheField name="Country" numFmtId="0">
      <sharedItems count="2">
        <s v="UK"/>
        <s v="USA"/>
      </sharedItems>
    </cacheField>
    <cacheField name="City" numFmtId="0">
      <sharedItems count="4">
        <s v="London"/>
        <s v="Seattle"/>
        <s v="Kirkland"/>
        <s v="Redmond"/>
      </sharedItems>
    </cacheField>
    <cacheField name="employee_count" numFmtId="0">
      <sharedItems containsSemiMixedTypes="0" containsString="0" containsNumber="1" containsInteger="1" minValue="1" maxValue="4"/>
    </cacheField>
    <cacheField name="titles_present" numFmtId="0">
      <sharedItems/>
    </cacheField>
  </cacheFields>
  <extLst>
    <ext xmlns:x14="http://schemas.microsoft.com/office/spreadsheetml/2009/9/main" uri="{725AE2AE-9491-48be-B2B4-4EB974FC3084}">
      <x14:pivotCacheDefinitio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kriti " refreshedDate="46149.936210416665" createdVersion="8" refreshedVersion="8" minRefreshableVersion="3" recordCount="3" xr:uid="{095CFA3E-3643-184C-B89D-B964A510AD49}">
  <cacheSource type="worksheet">
    <worksheetSource name="Query_6_b31"/>
  </cacheSource>
  <cacheFields count="4">
    <cacheField name="Title" numFmtId="0">
      <sharedItems count="3">
        <s v="Sales Representative"/>
        <s v="Inside Sales Coordinator"/>
        <s v="Sales Manager"/>
      </sharedItems>
    </cacheField>
    <cacheField name="headcount" numFmtId="0">
      <sharedItems containsSemiMixedTypes="0" containsString="0" containsNumber="1" containsInteger="1" minValue="1" maxValue="6"/>
    </cacheField>
    <cacheField name="employee_names" numFmtId="0">
      <sharedItems count="3">
        <s v="Nancy Davolio, Anne Dodsworth, Robert King, Janet Leverling, Margaret Peacock, Michael Suyama"/>
        <s v="Laura Callahan"/>
        <s v="Steven Buchanan"/>
      </sharedItems>
    </cacheField>
    <cacheField name="countries_covered" numFmtId="0">
      <sharedItems count="3">
        <s v="UK, USA"/>
        <s v="USA"/>
        <s v="UK"/>
      </sharedItems>
    </cacheField>
  </cacheFields>
  <extLst>
    <ext xmlns:x14="http://schemas.microsoft.com/office/spreadsheetml/2009/9/main" uri="{725AE2AE-9491-48be-B2B4-4EB974FC3084}">
      <x14:pivotCacheDefinitio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kriti " refreshedDate="46149.940225810184" createdVersion="8" refreshedVersion="8" minRefreshableVersion="3" recordCount="7" xr:uid="{5EF5871E-ED07-584A-8A53-9BE3ED03476E}">
  <cacheSource type="worksheet">
    <worksheetSource name="Query_7_a33"/>
  </cacheSource>
  <cacheFields count="7">
    <cacheField name="Title" numFmtId="0">
      <sharedItems count="3">
        <s v="Sales Representative"/>
        <s v="Sales Manager"/>
        <s v="Inside Sales Coordinator"/>
      </sharedItems>
    </cacheField>
    <cacheField name="hire_year" numFmtId="0">
      <sharedItems containsSemiMixedTypes="0" containsString="0" containsNumber="1" containsInteger="1" minValue="1992" maxValue="1994" count="3">
        <n v="1992"/>
        <n v="1993"/>
        <n v="1994"/>
      </sharedItems>
    </cacheField>
    <cacheField name="hire_quarter" numFmtId="0">
      <sharedItems containsSemiMixedTypes="0" containsString="0" containsNumber="1" containsInteger="1" minValue="1" maxValue="4" count="3">
        <n v="2"/>
        <n v="4"/>
        <n v="1"/>
      </sharedItems>
    </cacheField>
    <cacheField name="hires_in_period" numFmtId="0">
      <sharedItems containsSemiMixedTypes="0" containsString="0" containsNumber="1" containsInteger="1" minValue="1" maxValue="2" count="2">
        <n v="2"/>
        <n v="1"/>
      </sharedItems>
    </cacheField>
    <cacheField name="earliest_hire" numFmtId="22">
      <sharedItems containsSemiMixedTypes="0" containsNonDate="0" containsDate="1" containsString="0" minDate="1992-04-01T00:00:00" maxDate="1994-11-16T00:00:00"/>
    </cacheField>
    <cacheField name="latest_hire" numFmtId="22">
      <sharedItems containsSemiMixedTypes="0" containsNonDate="0" containsDate="1" containsString="0" minDate="1992-05-01T00:00:00" maxDate="1994-11-16T00:00:00"/>
    </cacheField>
    <cacheField name="avg_age_at_hire" numFmtId="0">
      <sharedItems containsSemiMixedTypes="0" containsString="0" containsNumber="1" minValue="28" maxValue="55"/>
    </cacheField>
  </cacheFields>
  <extLst>
    <ext xmlns:x14="http://schemas.microsoft.com/office/spreadsheetml/2009/9/main" uri="{725AE2AE-9491-48be-B2B4-4EB974FC3084}">
      <x14:pivotCacheDefinitio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kriti " refreshedDate="46149.94341284722" createdVersion="8" refreshedVersion="8" minRefreshableVersion="3" recordCount="8" xr:uid="{E8BC414F-99C8-0F43-87D9-485B2CAABA81}">
  <cacheSource type="worksheet">
    <worksheetSource name="Query_7_b35"/>
  </cacheSource>
  <cacheFields count="5">
    <cacheField name="employee_name" numFmtId="0">
      <sharedItems/>
    </cacheField>
    <cacheField name="Title" numFmtId="0">
      <sharedItems count="3">
        <s v="Sales Representative"/>
        <s v="Sales Manager"/>
        <s v="Inside Sales Coordinator"/>
      </sharedItems>
    </cacheField>
    <cacheField name="HireDate" numFmtId="22">
      <sharedItems containsSemiMixedTypes="0" containsNonDate="0" containsDate="1" containsString="0" minDate="1992-04-01T00:00:00" maxDate="1994-11-16T00:00:00"/>
    </cacheField>
    <cacheField name="tenure_years" numFmtId="0">
      <sharedItems containsSemiMixedTypes="0" containsString="0" containsNumber="1" containsInteger="1" minValue="31" maxValue="34"/>
    </cacheField>
    <cacheField name="current_age" numFmtId="0">
      <sharedItems containsSemiMixedTypes="0" containsString="0" containsNumber="1" containsInteger="1" minValue="60" maxValue="88"/>
    </cacheField>
  </cacheFields>
  <extLst>
    <ext xmlns:x14="http://schemas.microsoft.com/office/spreadsheetml/2009/9/main" uri="{725AE2AE-9491-48be-B2B4-4EB974FC3084}">
      <x14:pivotCacheDefinitio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kriti " refreshedDate="46149.952732638892" createdVersion="8" refreshedVersion="8" minRefreshableVersion="3" recordCount="3" xr:uid="{96B44460-0FE8-624C-A654-9EC534224EFE}">
  <cacheSource type="worksheet">
    <worksheetSource name="Query_8_a37"/>
  </cacheSource>
  <cacheFields count="4">
    <cacheField name="courtesy_title" numFmtId="0">
      <sharedItems count="3">
        <s v="Ms."/>
        <s v="Mr."/>
        <s v="Mrs."/>
      </sharedItems>
    </cacheField>
    <cacheField name="count" numFmtId="0">
      <sharedItems containsSemiMixedTypes="0" containsString="0" containsNumber="1" containsInteger="1" minValue="1" maxValue="4"/>
    </cacheField>
    <cacheField name="percentage" numFmtId="0">
      <sharedItems containsSemiMixedTypes="0" containsString="0" containsNumber="1" minValue="12.5" maxValue="50"/>
    </cacheField>
    <cacheField name="job_titles_held" numFmtId="0">
      <sharedItems count="3">
        <s v="Inside Sales Coordinator | Sales Representative"/>
        <s v="Sales Manager | Sales Representative"/>
        <s v="Sales Representative"/>
      </sharedItems>
    </cacheField>
  </cacheFields>
  <extLst>
    <ext xmlns:x14="http://schemas.microsoft.com/office/spreadsheetml/2009/9/main" uri="{725AE2AE-9491-48be-B2B4-4EB974FC3084}">
      <x14:pivotCacheDefinition/>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kriti " refreshedDate="46149.978483217594" createdVersion="8" refreshedVersion="8" minRefreshableVersion="3" recordCount="5" xr:uid="{9F122F6B-00E8-804B-AB75-990DBFB6D6A8}">
  <cacheSource type="worksheet">
    <worksheetSource name="Query_8_b39"/>
  </cacheSource>
  <cacheFields count="5">
    <cacheField name="TitleOfCourtesy" numFmtId="0">
      <sharedItems count="3">
        <s v="Mr."/>
        <s v="Mrs."/>
        <s v="Ms."/>
      </sharedItems>
    </cacheField>
    <cacheField name="Title" numFmtId="0">
      <sharedItems count="3">
        <s v="Sales Representative"/>
        <s v="Sales Manager"/>
        <s v="Inside Sales Coordinator"/>
      </sharedItems>
    </cacheField>
    <cacheField name="count" numFmtId="0">
      <sharedItems containsSemiMixedTypes="0" containsString="0" containsNumber="1" containsInteger="1" minValue="1" maxValue="3"/>
    </cacheField>
    <cacheField name="avg_age" numFmtId="0">
      <sharedItems containsSemiMixedTypes="0" containsString="0" containsNumber="1" minValue="63.5" maxValue="88"/>
    </cacheField>
    <cacheField name="avg_tenure_years" numFmtId="0">
      <sharedItems containsSemiMixedTypes="0" containsString="0" containsNumber="1" containsInteger="1" minValue="32" maxValue="33"/>
    </cacheField>
  </cacheFields>
  <extLst>
    <ext xmlns:x14="http://schemas.microsoft.com/office/spreadsheetml/2009/9/main" uri="{725AE2AE-9491-48be-B2B4-4EB974FC3084}">
      <x14:pivotCacheDefinition/>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kriti " refreshedDate="46149.980399537038" createdVersion="8" refreshedVersion="8" minRefreshableVersion="3" recordCount="77" xr:uid="{8FE5C3C9-A048-4045-96AA-B55E3C02E1E1}">
  <cacheSource type="worksheet">
    <worksheetSource name="Query_941"/>
  </cacheSource>
  <cacheFields count="14">
    <cacheField name="ProductID" numFmtId="0">
      <sharedItems containsSemiMixedTypes="0" containsString="0" containsNumber="1" containsInteger="1" minValue="1" maxValue="77"/>
    </cacheField>
    <cacheField name="ProductName" numFmtId="0">
      <sharedItems count="77">
        <s v="CÃ´te de Blaye"/>
        <s v="ThÃ¼ringer Rostbratwurst"/>
        <s v="Raclette Courdavault"/>
        <s v="Tarte au sucre"/>
        <s v="Camembert Pierrot"/>
        <s v="Gnocchi di nonna Alice"/>
        <s v="Manjimup Dried Apples"/>
        <s v="Alice Mutton"/>
        <s v="Carnarvon Tigers"/>
        <s v="RÃ¶ssle Sauerkraut"/>
        <s v="Mozzarella di Giovanni"/>
        <s v="Ipoh Coffee"/>
        <s v="Sir Rodney's Marmalade"/>
        <s v="Uncle Bob's Organic Dried Pears"/>
        <s v="Wimmers gute SemmelknÃ¶del"/>
        <s v="Gudbrandsdalsost"/>
        <s v="Ikura"/>
        <s v="Perth Pasties"/>
        <s v="GumbÃ¤r GummibÃ¤rchen"/>
        <s v="FlÃ¸temysost"/>
        <s v="Boston Crab Meat"/>
        <s v="PÃ¢tÃ© chinois"/>
        <s v="Pavlova"/>
        <s v="Vegie-spread"/>
        <s v="Chang"/>
        <s v="LakkalikÃ¶Ã¶ri"/>
        <s v="Schoggi Schokolade"/>
        <s v="Gorgonzola Telino"/>
        <s v="Sirop d'Ã©rable"/>
        <s v="Louisiana Fiery Hot Pepper Sauce"/>
        <s v="Steeleye Stout"/>
        <s v="Inlagd Sill"/>
        <s v="Nord-Ost Matjeshering"/>
        <s v="Queso Cabrales"/>
        <s v="Chai"/>
        <s v="Northwoods Cranberry Sauce"/>
        <s v="Chartreuse verte"/>
        <s v="Queso Manchego La Pastora"/>
        <s v="Outback Lager"/>
        <s v="Gula Malacca"/>
        <s v="Maxilaku"/>
        <s v="Original Frankfurter grÃ¼ne SoÃŸe"/>
        <s v="Sir Rodney's Scones"/>
        <s v="Scottish Longbreads"/>
        <s v="Jack's New England Clam Chowder"/>
        <s v="Singaporean Hokkien Fried Mee"/>
        <s v="Chef Anton's Cajun Seasoning"/>
        <s v="Mascarpone Fabioli"/>
        <s v="RhÃ¶nbrÃ¤u Klosterbier"/>
        <s v="Tofu"/>
        <s v="Ravioli Angelo"/>
        <s v="Mishi Kobe Niku"/>
        <s v="Grandma's Boysenberry Spread"/>
        <s v="Gustaf's KnÃ¤ckebrÃ¶d"/>
        <s v="Sasquatch Ale"/>
        <s v="Spegesild"/>
        <s v="Escargots de Bourgogne"/>
        <s v="Teatime Chocolate Biscuits"/>
        <s v="Chef Anton's Gumbo Mix"/>
        <s v="Konbu"/>
        <s v="TourtiÃ¨re"/>
        <s v="TunnbrÃ¶d"/>
        <s v="GuaranÃ¡ FantÃ¡stica"/>
        <s v="RÃ¸gede sild"/>
        <s v="RÃ¶d Kaviar"/>
        <s v="Zaanse koeken"/>
        <s v="NuNuCa NuÃŸ-Nougat-Creme"/>
        <s v="Valkoinen suklaa"/>
        <s v="Louisiana Hot Spiced Okra"/>
        <s v="Filo Mix"/>
        <s v="Aniseed Syrup"/>
        <s v="Gravad lax"/>
        <s v="Longlife Tofu"/>
        <s v="Laughing Lumberjack Lager"/>
        <s v="Genen Shouyu"/>
        <s v="Geitost"/>
        <s v="Chocolade"/>
      </sharedItems>
    </cacheField>
    <cacheField name="CategoryName" numFmtId="0">
      <sharedItems count="8">
        <s v="Beverages"/>
        <s v="Meat/Poultry"/>
        <s v="Dairy Products"/>
        <s v="Confections"/>
        <s v="Grains/Cereals"/>
        <s v="Produce"/>
        <s v="Seafood"/>
        <s v="Condiments"/>
      </sharedItems>
    </cacheField>
    <cacheField name="list_price" numFmtId="0">
      <sharedItems containsSemiMixedTypes="0" containsString="0" containsNumber="1" minValue="2.5" maxValue="263.5"/>
    </cacheField>
    <cacheField name="UnitsInStock" numFmtId="0">
      <sharedItems containsSemiMixedTypes="0" containsString="0" containsNumber="1" containsInteger="1" minValue="0" maxValue="125" count="51">
        <n v="17"/>
        <n v="0"/>
        <n v="79"/>
        <n v="19"/>
        <n v="21"/>
        <n v="20"/>
        <n v="42"/>
        <n v="26"/>
        <n v="14"/>
        <n v="40"/>
        <n v="15"/>
        <n v="22"/>
        <n v="31"/>
        <n v="123"/>
        <n v="115"/>
        <n v="29"/>
        <n v="24"/>
        <n v="57"/>
        <n v="49"/>
        <n v="113"/>
        <n v="76"/>
        <n v="112"/>
        <n v="10"/>
        <n v="39"/>
        <n v="6"/>
        <n v="69"/>
        <n v="86"/>
        <n v="27"/>
        <n v="32"/>
        <n v="3"/>
        <n v="85"/>
        <n v="53"/>
        <n v="9"/>
        <n v="125"/>
        <n v="35"/>
        <n v="36"/>
        <n v="120"/>
        <n v="104"/>
        <n v="111"/>
        <n v="95"/>
        <n v="62"/>
        <n v="25"/>
        <n v="61"/>
        <n v="5"/>
        <n v="101"/>
        <n v="65"/>
        <n v="4"/>
        <n v="38"/>
        <n v="13"/>
        <n v="11"/>
        <n v="52"/>
      </sharedItems>
    </cacheField>
    <cacheField name="UnitsOnOrder" numFmtId="0">
      <sharedItems containsSemiMixedTypes="0" containsString="0" containsNumber="1" containsInteger="1" minValue="0" maxValue="100"/>
    </cacheField>
    <cacheField name="ReorderLevel" numFmtId="0">
      <sharedItems containsSemiMixedTypes="0" containsString="0" containsNumber="1" containsInteger="1" minValue="0" maxValue="30" count="7">
        <n v="15"/>
        <n v="0"/>
        <n v="30"/>
        <n v="10"/>
        <n v="25"/>
        <n v="20"/>
        <n v="5"/>
      </sharedItems>
    </cacheField>
    <cacheField name="Discontinued" numFmtId="0">
      <sharedItems containsSemiMixedTypes="0" containsString="0" containsNumber="1" containsInteger="1" minValue="0" maxValue="1"/>
    </cacheField>
    <cacheField name="times_ordered" numFmtId="0">
      <sharedItems containsSemiMixedTypes="0" containsString="0" containsNumber="1" containsInteger="1" minValue="5" maxValue="54"/>
    </cacheField>
    <cacheField name="total_units_sold" numFmtId="0">
      <sharedItems containsSemiMixedTypes="0" containsString="0" containsNumber="1" containsInteger="1" minValue="95" maxValue="1577"/>
    </cacheField>
    <cacheField name="total_revenue" numFmtId="0">
      <sharedItems containsSemiMixedTypes="0" containsString="0" containsNumber="1" minValue="1368.71" maxValue="141396.74"/>
    </cacheField>
    <cacheField name="avg_selling_price" numFmtId="0">
      <sharedItems containsSemiMixedTypes="0" containsString="0" containsNumber="1" minValue="2.33" maxValue="245.93"/>
    </cacheField>
    <cacheField name="stock_to_sales_ratio" numFmtId="0">
      <sharedItems containsSemiMixedTypes="0" containsString="0" containsNumber="1" minValue="0" maxValue="0.4"/>
    </cacheField>
    <cacheField name="stock_status" numFmtId="0">
      <sharedItems/>
    </cacheField>
  </cacheFields>
  <extLst>
    <ext xmlns:x14="http://schemas.microsoft.com/office/spreadsheetml/2009/9/main" uri="{725AE2AE-9491-48be-B2B4-4EB974FC3084}">
      <x14:pivotCacheDefinition/>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kriti " refreshedDate="46149.997634375002" createdVersion="8" refreshedVersion="8" minRefreshableVersion="3" recordCount="176" xr:uid="{6BE93050-DBB4-3D41-8290-68D4163258DC}">
  <cacheSource type="worksheet">
    <worksheetSource name="Query_1043"/>
  </cacheSource>
  <cacheFields count="9">
    <cacheField name="order_year" numFmtId="0">
      <sharedItems containsSemiMixedTypes="0" containsString="0" containsNumber="1" containsInteger="1" minValue="1994" maxValue="1996" count="3">
        <n v="1994"/>
        <n v="1995"/>
        <n v="1996"/>
      </sharedItems>
    </cacheField>
    <cacheField name="order_month" numFmtId="0">
      <sharedItems containsSemiMixedTypes="0" containsString="0" containsNumber="1" containsInteger="1" minValue="1" maxValue="12" count="12">
        <n v="8"/>
        <n v="9"/>
        <n v="10"/>
        <n v="11"/>
        <n v="12"/>
        <n v="1"/>
        <n v="2"/>
        <n v="3"/>
        <n v="4"/>
        <n v="5"/>
        <n v="6"/>
        <n v="7"/>
      </sharedItems>
    </cacheField>
    <cacheField name="month_name" numFmtId="0">
      <sharedItems count="12">
        <s v="August"/>
        <s v="September"/>
        <s v="October"/>
        <s v="November"/>
        <s v="December"/>
        <s v="January"/>
        <s v="February"/>
        <s v="March"/>
        <s v="April"/>
        <s v="May"/>
        <s v="June"/>
        <s v="July"/>
      </sharedItems>
    </cacheField>
    <cacheField name="quarter" numFmtId="0">
      <sharedItems containsSemiMixedTypes="0" containsString="0" containsNumber="1" containsInteger="1" minValue="1" maxValue="4"/>
    </cacheField>
    <cacheField name="season" numFmtId="0">
      <sharedItems count="4">
        <s v="Q3 Summer"/>
        <s v="Q4 Autumn"/>
        <s v="Q1 Winter"/>
        <s v="Q2 Spring"/>
      </sharedItems>
    </cacheField>
    <cacheField name="CategoryName" numFmtId="0">
      <sharedItems count="8">
        <s v="Beverages"/>
        <s v="Condiments"/>
        <s v="Confections"/>
        <s v="Dairy Products"/>
        <s v="Grains/Cereals"/>
        <s v="Meat/Poultry"/>
        <s v="Produce"/>
        <s v="Seafood"/>
      </sharedItems>
    </cacheField>
    <cacheField name="orders_placed" numFmtId="0">
      <sharedItems containsSemiMixedTypes="0" containsString="0" containsNumber="1" containsInteger="1" minValue="2" maxValue="33"/>
    </cacheField>
    <cacheField name="units_sold" numFmtId="0">
      <sharedItems containsSemiMixedTypes="0" containsString="0" containsNumber="1" containsInteger="1" minValue="11" maxValue="925"/>
    </cacheField>
    <cacheField name="monthly_revenue" numFmtId="0">
      <sharedItems containsSemiMixedTypes="0" containsString="0" containsNumber="1" minValue="270.60000000000002" maxValue="34599.15"/>
    </cacheField>
  </cacheFields>
  <extLst>
    <ext xmlns:x14="http://schemas.microsoft.com/office/spreadsheetml/2009/9/main" uri="{725AE2AE-9491-48be-B2B4-4EB974FC3084}">
      <x14:pivotCacheDefinition/>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kriti " refreshedDate="46150.085927777778" createdVersion="8" refreshedVersion="8" minRefreshableVersion="3" recordCount="77" xr:uid="{E269AA42-5401-9440-B6FE-2CC6B7353101}">
  <cacheSource type="worksheet">
    <worksheetSource name="Query_1145"/>
  </cacheSource>
  <cacheFields count="12">
    <cacheField name="ProductID" numFmtId="0">
      <sharedItems containsSemiMixedTypes="0" containsString="0" containsNumber="1" containsInteger="1" minValue="1" maxValue="77"/>
    </cacheField>
    <cacheField name="ProductName" numFmtId="0">
      <sharedItems count="77">
        <s v="CÃ´te de Blaye"/>
        <s v="ThÃ¼ringer Rostbratwurst"/>
        <s v="Raclette Courdavault"/>
        <s v="Tarte au sucre"/>
        <s v="Camembert Pierrot"/>
        <s v="Gnocchi di nonna Alice"/>
        <s v="Manjimup Dried Apples"/>
        <s v="Alice Mutton"/>
        <s v="Chocolade"/>
        <s v="Geitost"/>
        <s v="Genen Shouyu"/>
        <s v="Laughing Lumberjack Lager"/>
        <s v="Longlife Tofu"/>
        <s v="Gravad lax"/>
        <s v="Aniseed Syrup"/>
        <s v="Filo Mix"/>
        <s v="Louisiana Hot Spiced Okra"/>
        <s v="Valkoinen suklaa"/>
        <s v="Carnarvon Tigers"/>
        <s v="NuNuCa NuÃŸ-Nougat-Creme"/>
        <s v="Zaanse koeken"/>
        <s v="RÃ¶d Kaviar"/>
        <s v="RÃ¸gede sild"/>
        <s v="TunnbrÃ¶d"/>
        <s v="GuaranÃ¡ FantÃ¡stica"/>
        <s v="TourtiÃ¨re"/>
        <s v="Konbu"/>
        <s v="Chef Anton's Gumbo Mix"/>
        <s v="Escargots de Bourgogne"/>
        <s v="Teatime Chocolate Biscuits"/>
        <s v="Spegesild"/>
        <s v="Sasquatch Ale"/>
        <s v="RÃ¶ssle Sauerkraut"/>
        <s v="Grandma's Boysenberry Spread"/>
        <s v="Mishi Kobe Niku"/>
        <s v="Gustaf's KnÃ¤ckebrÃ¶d"/>
        <s v="Ravioli Angelo"/>
        <s v="Tofu"/>
        <s v="Mozzarella di Giovanni"/>
        <s v="RhÃ¶nbrÃ¤u Klosterbier"/>
        <s v="Mascarpone Fabioli"/>
        <s v="Chef Anton's Cajun Seasoning"/>
        <s v="Singaporean Hokkien Fried Mee"/>
        <s v="Scottish Longbreads"/>
        <s v="Jack's New England Clam Chowder"/>
        <s v="Maxilaku"/>
        <s v="Sir Rodney's Scones"/>
        <s v="Original Frankfurter grÃ¼ne SoÃŸe"/>
        <s v="Ipoh Coffee"/>
        <s v="Gula Malacca"/>
        <s v="Sir Rodney's Marmalade"/>
        <s v="Uncle Bob's Organic Dried Pears"/>
        <s v="Outback Lager"/>
        <s v="Wimmers gute SemmelknÃ¶del"/>
        <s v="Gudbrandsdalsost"/>
        <s v="Ikura"/>
        <s v="Queso Manchego La Pastora"/>
        <s v="Chartreuse verte"/>
        <s v="Perth Pasties"/>
        <s v="Chai"/>
        <s v="Northwoods Cranberry Sauce"/>
        <s v="GumbÃ¤r GummibÃ¤rchen"/>
        <s v="Queso Cabrales"/>
        <s v="Nord-Ost Matjeshering"/>
        <s v="FlÃ¸temysost"/>
        <s v="Inlagd Sill"/>
        <s v="Steeleye Stout"/>
        <s v="Louisiana Fiery Hot Pepper Sauce"/>
        <s v="Sirop d'Ã©rable"/>
        <s v="Gorgonzola Telino"/>
        <s v="Schoggi Schokolade"/>
        <s v="Boston Crab Meat"/>
        <s v="PÃ¢tÃ© chinois"/>
        <s v="Pavlova"/>
        <s v="LakkalikÃ¶Ã¶ri"/>
        <s v="Vegie-spread"/>
        <s v="Chang"/>
      </sharedItems>
    </cacheField>
    <cacheField name="CategoryName" numFmtId="0">
      <sharedItems count="8">
        <s v="Beverages"/>
        <s v="Meat/Poultry"/>
        <s v="Dairy Products"/>
        <s v="Confections"/>
        <s v="Grains/Cereals"/>
        <s v="Produce"/>
        <s v="Condiments"/>
        <s v="Seafood"/>
      </sharedItems>
    </cacheField>
    <cacheField name="order_count" numFmtId="0">
      <sharedItems containsSemiMixedTypes="0" containsString="0" containsNumber="1" containsInteger="1" minValue="5" maxValue="54"/>
    </cacheField>
    <cacheField name="units_sold" numFmtId="0">
      <sharedItems containsSemiMixedTypes="0" containsString="0" containsNumber="1" containsInteger="1" minValue="95" maxValue="1577"/>
    </cacheField>
    <cacheField name="total_revenue" numFmtId="0">
      <sharedItems containsSemiMixedTypes="0" containsString="0" containsNumber="1" minValue="1368.71" maxValue="141396.73000000001"/>
    </cacheField>
    <cacheField name="avg_discount_pct" numFmtId="0">
      <sharedItems containsSemiMixedTypes="0" containsString="0" containsNumber="1" minValue="1.7" maxValue="10.8"/>
    </cacheField>
    <cacheField name="avg_selling_price" numFmtId="0">
      <sharedItems containsSemiMixedTypes="0" containsString="0" containsNumber="1" minValue="2.33" maxValue="245.93"/>
    </cacheField>
    <cacheField name="revenue_z_score" numFmtId="0">
      <sharedItems containsSemiMixedTypes="0" containsString="0" containsNumber="1" minValue="-0.74" maxValue="6.18"/>
    </cacheField>
    <cacheField name="units_z_score" numFmtId="0">
      <sharedItems containsSemiMixedTypes="0" containsString="0" containsNumber="1" minValue="-1.75" maxValue="2.78"/>
    </cacheField>
    <cacheField name="discount_z_score" numFmtId="0">
      <sharedItems containsSemiMixedTypes="0" containsString="0" containsNumber="1" minValue="-1.98" maxValue="2.68"/>
    </cacheField>
    <cacheField name="anomaly_flag" numFmtId="0">
      <sharedItems count="4">
        <s v="Revenue Anomaly"/>
        <s v="Normal"/>
        <s v="Volume Anomaly"/>
        <s v="Discount Anomaly"/>
      </sharedItems>
    </cacheField>
  </cacheFields>
  <extLst>
    <ext xmlns:x14="http://schemas.microsoft.com/office/spreadsheetml/2009/9/main" uri="{725AE2AE-9491-48be-B2B4-4EB974FC3084}">
      <x14:pivotCacheDefinition/>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kriti " refreshedDate="46150.090523495368" createdVersion="8" refreshedVersion="8" minRefreshableVersion="3" recordCount="29" xr:uid="{56EA0C61-0736-7544-A20E-38447D1EDFF7}">
  <cacheSource type="worksheet">
    <worksheetSource name="Query_12_a48"/>
  </cacheSource>
  <cacheFields count="12">
    <cacheField name="SupplierID" numFmtId="0">
      <sharedItems containsSemiMixedTypes="0" containsString="0" containsNumber="1" containsInteger="1" minValue="1" maxValue="29"/>
    </cacheField>
    <cacheField name="supplier_name" numFmtId="0">
      <sharedItems count="29">
        <s v="Pavlova, Ltd."/>
        <s v="G'day, Mate"/>
        <s v="Refrescos Americanas LTDA"/>
        <s v="ForÃªts d'Ã©rables"/>
        <s v="Ma Maison"/>
        <s v="Lyngbysild"/>
        <s v="Karkki Oy"/>
        <s v="Aux joyeux ecclÃ©siastiques"/>
        <s v="Gai pÃ¢turage"/>
        <s v="Escargots Nouveaux"/>
        <s v="Plutzer LebensmittelgroÃŸmÃ¤rkte AG"/>
        <s v="Heli SÃ¼ÃŸwaren GmbH &amp; Co. KG"/>
        <s v="Nord-Ost-Fisch Handelsgesellschaft mbH"/>
        <s v="Pasta Buttini s.r.l."/>
        <s v="Formaggi Fortini s.r.l."/>
        <s v="Tokyo Traders"/>
        <s v="Mayumi's"/>
        <s v="Zaanse Snoepfabriek"/>
        <s v="Norske Meierier"/>
        <s v="Leka Trading"/>
        <s v="Cooperativa de Quesos 'Las Cabras'"/>
        <s v="Svensk SjÃ¶fÃ¶da AB"/>
        <s v="PB KnÃ¤ckebrÃ¶d AB"/>
        <s v="Specialty Biscuits, Ltd."/>
        <s v="Exotic Liquids"/>
        <s v="Grandma Kelly's Homestead"/>
        <s v="New Orleans Cajun Delights"/>
        <s v="Bigfoot Breweries"/>
        <s v="New England Seafood Cannery"/>
      </sharedItems>
    </cacheField>
    <cacheField name="supplier_country" numFmtId="0">
      <sharedItems count="16">
        <s v="Australia"/>
        <s v="Brazil"/>
        <s v="Canada"/>
        <s v="Denmark"/>
        <s v="Finland"/>
        <s v="France"/>
        <s v="Germany"/>
        <s v="Italy"/>
        <s v="Japan"/>
        <s v="Netherlands"/>
        <s v="Norway"/>
        <s v="Singapore"/>
        <s v="Spain"/>
        <s v="Sweden"/>
        <s v="UK"/>
        <s v="USA"/>
      </sharedItems>
    </cacheField>
    <cacheField name="supplier_city" numFmtId="0">
      <sharedItems count="29">
        <s v="Melbourne"/>
        <s v="Sydney"/>
        <s v="SÃ£o Paulo"/>
        <s v="Ste-Hyacinthe"/>
        <s v="MontrÃ©al"/>
        <s v="Lyngby"/>
        <s v="Lappeenranta"/>
        <s v="Paris"/>
        <s v="Annecy"/>
        <s v="Montceau"/>
        <s v="Frankfurt"/>
        <s v="Berlin"/>
        <s v="Cuxhaven"/>
        <s v="Salerno"/>
        <s v="Ravenna"/>
        <s v="Tokyo"/>
        <s v="Osaka"/>
        <s v="Zaandam"/>
        <s v="Sandvika"/>
        <s v="Singapore"/>
        <s v="Oviedo"/>
        <s v="Stockholm"/>
        <s v="GÃ¶teborg"/>
        <s v="Manchester"/>
        <s v="London"/>
        <s v="Ann Arbor"/>
        <s v="New Orleans"/>
        <s v="Bend"/>
        <s v="Boston"/>
      </sharedItems>
    </cacheField>
    <cacheField name="supplier_region" numFmtId="0">
      <sharedItems/>
    </cacheField>
    <cacheField name="products_supplied" numFmtId="0">
      <sharedItems containsSemiMixedTypes="0" containsString="0" containsNumber="1" containsInteger="1" minValue="1" maxValue="5"/>
    </cacheField>
    <cacheField name="categories_covered" numFmtId="0">
      <sharedItems containsSemiMixedTypes="0" containsString="0" containsNumber="1" containsInteger="1" minValue="1" maxValue="5"/>
    </cacheField>
    <cacheField name="avg_product_price" numFmtId="0">
      <sharedItems containsSemiMixedTypes="0" containsString="0" containsNumber="1" minValue="4.5" maxValue="140.75"/>
    </cacheField>
    <cacheField name="min_product_price" numFmtId="0">
      <sharedItems containsSemiMixedTypes="0" containsString="0" containsNumber="1" minValue="2.5" maxValue="34"/>
    </cacheField>
    <cacheField name="max_product_price" numFmtId="0">
      <sharedItems containsSemiMixedTypes="0" containsString="0" containsNumber="1" minValue="4.5" maxValue="263.5"/>
    </cacheField>
    <cacheField name="inventory_value" numFmtId="0">
      <sharedItems containsSemiMixedTypes="0" containsString="0" containsNumber="1" minValue="90" maxValue="5721.5"/>
    </cacheField>
    <cacheField name="discontinued_products" numFmtId="0">
      <sharedItems containsSemiMixedTypes="0" containsString="0" containsNumber="1" containsInteger="1" minValue="0" maxValue="2"/>
    </cacheField>
  </cacheFields>
  <extLst>
    <ext xmlns:x14="http://schemas.microsoft.com/office/spreadsheetml/2009/9/main" uri="{725AE2AE-9491-48be-B2B4-4EB974FC3084}">
      <x14:pivotCacheDefinition/>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kriti " refreshedDate="46150.094529513888" createdVersion="8" refreshedVersion="8" minRefreshableVersion="3" recordCount="16" xr:uid="{07121B83-B2B0-2349-8033-6DAA3AC896B5}">
  <cacheSource type="worksheet">
    <worksheetSource name="Query_12_b50"/>
  </cacheSource>
  <cacheFields count="5">
    <cacheField name="Country" numFmtId="0">
      <sharedItems count="16">
        <s v="USA"/>
        <s v="France"/>
        <s v="Germany"/>
        <s v="Australia"/>
        <s v="Canada"/>
        <s v="Italy"/>
        <s v="Japan"/>
        <s v="Sweden"/>
        <s v="UK"/>
        <s v="Brazil"/>
        <s v="Denmark"/>
        <s v="Finland"/>
        <s v="Netherlands"/>
        <s v="Norway"/>
        <s v="Singapore"/>
        <s v="Spain"/>
      </sharedItems>
    </cacheField>
    <cacheField name="supplier_count" numFmtId="0">
      <sharedItems containsSemiMixedTypes="0" containsString="0" containsNumber="1" containsInteger="1" minValue="1" maxValue="4"/>
    </cacheField>
    <cacheField name="products_count" numFmtId="0">
      <sharedItems containsSemiMixedTypes="0" containsString="0" containsNumber="1" containsInteger="1" minValue="1" maxValue="12"/>
    </cacheField>
    <cacheField name="avg_price" numFmtId="0">
      <sharedItems containsSemiMixedTypes="0" containsString="0" containsNumber="1" minValue="4.5" maxValue="76.75"/>
    </cacheField>
    <cacheField name="total_inventory_value" numFmtId="0">
      <sharedItems containsSemiMixedTypes="0" containsString="0" containsNumber="1" minValue="90" maxValue="12249.25"/>
    </cacheField>
  </cacheFields>
  <extLst>
    <ext xmlns:x14="http://schemas.microsoft.com/office/spreadsheetml/2009/9/main" uri="{725AE2AE-9491-48be-B2B4-4EB974FC3084}">
      <x14:pivotCacheDefinition/>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kriti " refreshedDate="46150.097244560187" createdVersion="8" refreshedVersion="8" minRefreshableVersion="3" recordCount="29" xr:uid="{B15C8C34-3E7A-0E4D-9389-E90DF1D64922}">
  <cacheSource type="worksheet">
    <worksheetSource name="Query_12_c52"/>
  </cacheSource>
  <cacheFields count="5">
    <cacheField name="City" numFmtId="0">
      <sharedItems count="29">
        <s v="Ann Arbor"/>
        <s v="Annecy"/>
        <s v="Bend"/>
        <s v="Berlin"/>
        <s v="Boston"/>
        <s v="Cuxhaven"/>
        <s v="Frankfurt"/>
        <s v="GÃ¶teborg"/>
        <s v="Lappeenranta"/>
        <s v="London"/>
        <s v="Lyngby"/>
        <s v="Manchester"/>
        <s v="Melbourne"/>
        <s v="Montceau"/>
        <s v="MontrÃ©al"/>
        <s v="New Orleans"/>
        <s v="Osaka"/>
        <s v="Oviedo"/>
        <s v="Paris"/>
        <s v="Ravenna"/>
        <s v="SÃ£o Paulo"/>
        <s v="Salerno"/>
        <s v="Sandvika"/>
        <s v="Singapore"/>
        <s v="Ste-Hyacinthe"/>
        <s v="Stockholm"/>
        <s v="Sydney"/>
        <s v="Tokyo"/>
        <s v="Zaandam"/>
      </sharedItems>
    </cacheField>
    <cacheField name="supplier_count" numFmtId="0">
      <sharedItems containsSemiMixedTypes="0" containsString="0" containsNumber="1" containsInteger="1" minValue="1" maxValue="1"/>
    </cacheField>
    <cacheField name="products_count" numFmtId="0">
      <sharedItems containsSemiMixedTypes="0" containsString="0" containsNumber="1" containsInteger="1" minValue="1" maxValue="5"/>
    </cacheField>
    <cacheField name="avg_price" numFmtId="0">
      <sharedItems containsSemiMixedTypes="0" containsString="0" containsNumber="1" minValue="4.5" maxValue="140.75"/>
    </cacheField>
    <cacheField name="total_inventory_value" numFmtId="0">
      <sharedItems containsSemiMixedTypes="0" containsString="0" containsNumber="1" minValue="90" maxValue="5721.5"/>
    </cacheField>
  </cacheFields>
  <extLst>
    <ext xmlns:x14="http://schemas.microsoft.com/office/spreadsheetml/2009/9/main" uri="{725AE2AE-9491-48be-B2B4-4EB974FC3084}">
      <x14:pivotCacheDefinition/>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kriti " refreshedDate="46150.099676273145" createdVersion="8" refreshedVersion="8" minRefreshableVersion="3" recordCount="49" xr:uid="{95D276FE-5C70-F24A-A395-BAD4F428C7A8}">
  <cacheSource type="worksheet">
    <worksheetSource name="Query_13_a55"/>
  </cacheSource>
  <cacheFields count="8">
    <cacheField name="SupplierID" numFmtId="0">
      <sharedItems containsSemiMixedTypes="0" containsString="0" containsNumber="1" containsInteger="1" minValue="1" maxValue="29"/>
    </cacheField>
    <cacheField name="supplier_name" numFmtId="0">
      <sharedItems count="29">
        <s v="Bigfoot Breweries"/>
        <s v="Exotic Liquids"/>
        <s v="Aux joyeux ecclÃ©siastiques"/>
        <s v="Pavlova, Ltd."/>
        <s v="Leka Trading"/>
        <s v="Refrescos Americanas LTDA"/>
        <s v="Plutzer LebensmittelgroÃŸmÃ¤rkte AG"/>
        <s v="Karkki Oy"/>
        <s v="New Orleans Cajun Delights"/>
        <s v="Grandma Kelly's Homestead"/>
        <s v="Mayumi's"/>
        <s v="ForÃªts d'Ã©rables"/>
        <s v="Specialty Biscuits, Ltd."/>
        <s v="Heli SÃ¼ÃŸwaren GmbH &amp; Co. KG"/>
        <s v="Zaanse Snoepfabriek"/>
        <s v="Norske Meierier"/>
        <s v="Formaggi Fortini s.r.l."/>
        <s v="Cooperativa de Quesos 'Las Cabras'"/>
        <s v="Gai pÃ¢turage"/>
        <s v="PB KnÃ¤ckebrÃ¶d AB"/>
        <s v="Pasta Buttini s.r.l."/>
        <s v="G'day, Mate"/>
        <s v="Ma Maison"/>
        <s v="Tokyo Traders"/>
        <s v="Svensk SjÃ¶fÃ¶da AB"/>
        <s v="New England Seafood Cannery"/>
        <s v="Lyngbysild"/>
        <s v="Nord-Ost-Fisch Handelsgesellschaft mbH"/>
        <s v="Escargots Nouveaux"/>
      </sharedItems>
    </cacheField>
    <cacheField name="Country" numFmtId="0">
      <sharedItems count="16">
        <s v="USA"/>
        <s v="UK"/>
        <s v="France"/>
        <s v="Australia"/>
        <s v="Singapore"/>
        <s v="Brazil"/>
        <s v="Germany"/>
        <s v="Finland"/>
        <s v="Japan"/>
        <s v="Canada"/>
        <s v="Netherlands"/>
        <s v="Norway"/>
        <s v="Italy"/>
        <s v="Spain"/>
        <s v="Sweden"/>
        <s v="Denmark"/>
      </sharedItems>
    </cacheField>
    <cacheField name="CategoryID" numFmtId="0">
      <sharedItems containsSemiMixedTypes="0" containsString="0" containsNumber="1" containsInteger="1" minValue="1" maxValue="8"/>
    </cacheField>
    <cacheField name="CategoryName" numFmtId="0">
      <sharedItems count="8">
        <s v="Beverages"/>
        <s v="Condiments"/>
        <s v="Confections"/>
        <s v="Dairy Products"/>
        <s v="Grains/Cereals"/>
        <s v="Meat/Poultry"/>
        <s v="Produce"/>
        <s v="Seafood"/>
      </sharedItems>
    </cacheField>
    <cacheField name="products_in_category" numFmtId="0">
      <sharedItems containsSemiMixedTypes="0" containsString="0" containsNumber="1" containsInteger="1" minValue="1" maxValue="4" count="4">
        <n v="3"/>
        <n v="2"/>
        <n v="1"/>
        <n v="4"/>
      </sharedItems>
    </cacheField>
    <cacheField name="avg_price_in_category" numFmtId="0">
      <sharedItems containsSemiMixedTypes="0" containsString="0" containsNumber="1" minValue="4.5" maxValue="140.75"/>
    </cacheField>
    <cacheField name="stock_in_category" numFmtId="0">
      <sharedItems containsSemiMixedTypes="0" containsString="0" containsNumber="1" containsInteger="1" minValue="0" maxValue="224"/>
    </cacheField>
  </cacheFields>
  <extLst>
    <ext xmlns:x14="http://schemas.microsoft.com/office/spreadsheetml/2009/9/main" uri="{725AE2AE-9491-48be-B2B4-4EB974FC3084}">
      <x14:pivotCacheDefinition/>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kriti " refreshedDate="46150.104743171294" createdVersion="8" refreshedVersion="8" minRefreshableVersion="3" recordCount="8" xr:uid="{942E9BE3-4673-7C4D-8FC4-F0139DF9CEE6}">
  <cacheSource type="worksheet">
    <worksheetSource name="Query_13_b57"/>
  </cacheSource>
  <cacheFields count="5">
    <cacheField name="CategoryName" numFmtId="0">
      <sharedItems count="8">
        <s v="Dairy Products"/>
        <s v="Grains/Cereals"/>
        <s v="Meat/Poultry"/>
        <s v="Produce"/>
        <s v="Confections"/>
        <s v="Beverages"/>
        <s v="Condiments"/>
        <s v="Seafood"/>
      </sharedItems>
    </cacheField>
    <cacheField name="supplier_count" numFmtId="0">
      <sharedItems containsSemiMixedTypes="0" containsString="0" containsNumber="1" containsInteger="1" minValue="4" maxValue="8"/>
    </cacheField>
    <cacheField name="product_count" numFmtId="0">
      <sharedItems containsSemiMixedTypes="0" containsString="0" containsNumber="1" containsInteger="1" minValue="5" maxValue="13"/>
    </cacheField>
    <cacheField name="avg_price" numFmtId="0">
      <sharedItems containsSemiMixedTypes="0" containsString="0" containsNumber="1" minValue="20.25" maxValue="54.01"/>
    </cacheField>
    <cacheField name="suppliers_list" numFmtId="0">
      <sharedItems count="8">
        <s v="Cooperativa de Quesos 'Las Cabras' | Formaggi Fortini s.r.l. | Gai pÃ¢turage | Norske Meierier"/>
        <s v="G'day, Mate | Leka Trading | Pasta Buttini s.r.l. | PB KnÃ¤ckebrÃ¶d AB | Plutzer LebensmittelgroÃŸmÃ¤rkte AG"/>
        <s v="G'day, Mate | Ma Maison | Pavlova, Ltd. | Plutzer LebensmittelgroÃŸmÃ¤rkte AG | Tokyo Traders"/>
        <s v="G'day, Mate | Grandma Kelly's Homestead | Mayumi's | Plutzer LebensmittelgroÃŸmÃ¤rkte AG | Tokyo Traders"/>
        <s v="ForÃªts d'Ã©rables | Heli SÃ¼ÃŸwaren GmbH &amp; Co. KG | Karkki Oy | Pavlova, Ltd. | Specialty Biscuits, Ltd. | Zaanse Snoepfabriek"/>
        <s v="Aux joyeux ecclÃ©siastiques | Bigfoot Breweries | Exotic Liquids | Karkki Oy | Leka Trading | Pavlova, Ltd. | Plutzer LebensmittelgroÃŸmÃ¤rkte AG | Refrescos Americanas LTDA"/>
        <s v="Exotic Liquids | ForÃªts d'Ã©rables | Grandma Kelly's Homestead | Leka Trading | Mayumi's | New Orleans Cajun Delights | Pavlova, Ltd. | Plutzer LebensmittelgroÃŸmÃ¤rkte AG"/>
        <s v="Escargots Nouveaux | Lyngbysild | Mayumi's | New England Seafood Cannery | Nord-Ost-Fisch Handelsgesellschaft mbH | Pavlova, Ltd. | Svensk SjÃ¶fÃ¶da AB | Tokyo Traders"/>
      </sharedItems>
    </cacheField>
  </cacheFields>
  <extLst>
    <ext xmlns:x14="http://schemas.microsoft.com/office/spreadsheetml/2009/9/main" uri="{725AE2AE-9491-48be-B2B4-4EB974FC3084}">
      <x14:pivotCacheDefinition/>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kriti " refreshedDate="46150.109024884259" createdVersion="8" refreshedVersion="8" minRefreshableVersion="3" recordCount="47" xr:uid="{6C9B3082-0249-2945-A348-8ACA497F3BCA}">
  <cacheSource type="worksheet">
    <worksheetSource name="Query_1459"/>
  </cacheSource>
  <cacheFields count="12">
    <cacheField name="supplier_country" numFmtId="0">
      <sharedItems count="16">
        <s v="Australia"/>
        <s v="Brazil"/>
        <s v="Canada"/>
        <s v="Denmark"/>
        <s v="Finland"/>
        <s v="France"/>
        <s v="Germany"/>
        <s v="Italy"/>
        <s v="Japan"/>
        <s v="Netherlands"/>
        <s v="Norway"/>
        <s v="Singapore"/>
        <s v="Spain"/>
        <s v="Sweden"/>
        <s v="UK"/>
        <s v="USA"/>
      </sharedItems>
    </cacheField>
    <cacheField name="supplier_region" numFmtId="0">
      <sharedItems count="9">
        <s v="Victoria"/>
        <s v="NSW"/>
        <s v=""/>
        <s v="QuÃ©bec"/>
        <s v="Asturias"/>
        <s v="OR"/>
        <s v="LA"/>
        <s v="MI"/>
        <s v="MA"/>
      </sharedItems>
    </cacheField>
    <cacheField name="CategoryName" numFmtId="0">
      <sharedItems count="8">
        <s v="Beverages"/>
        <s v="Condiments"/>
        <s v="Confections"/>
        <s v="Grains/Cereals"/>
        <s v="Meat/Poultry"/>
        <s v="Produce"/>
        <s v="Seafood"/>
        <s v="Dairy Products"/>
      </sharedItems>
    </cacheField>
    <cacheField name="suppliers_in_segment" numFmtId="0">
      <sharedItems containsSemiMixedTypes="0" containsString="0" containsNumber="1" containsInteger="1" minValue="1" maxValue="2"/>
    </cacheField>
    <cacheField name="products" numFmtId="0">
      <sharedItems containsSemiMixedTypes="0" containsString="0" containsNumber="1" containsInteger="1" minValue="1" maxValue="4"/>
    </cacheField>
    <cacheField name="avg_price" numFmtId="0">
      <sharedItems containsSemiMixedTypes="0" containsString="0" containsNumber="1" minValue="4.5" maxValue="127.11"/>
    </cacheField>
    <cacheField name="min_price" numFmtId="0">
      <sharedItems containsSemiMixedTypes="0" containsString="0" containsNumber="1" minValue="2.5" maxValue="123.79"/>
    </cacheField>
    <cacheField name="max_price" numFmtId="0">
      <sharedItems containsSemiMixedTypes="0" containsString="0" containsNumber="1" minValue="4.5" maxValue="263.5"/>
    </cacheField>
    <cacheField name="price_range" numFmtId="0">
      <sharedItems containsSemiMixedTypes="0" containsString="0" containsNumber="1" minValue="0" maxValue="245.5"/>
    </cacheField>
    <cacheField name="price_std_dev" numFmtId="0">
      <sharedItems containsSemiMixedTypes="0" containsString="0" containsNumber="1" minValue="0" maxValue="121.99"/>
    </cacheField>
    <cacheField name="avg_actual_selling_price" numFmtId="0">
      <sharedItems containsSemiMixedTypes="0" containsString="0" containsNumber="1" minValue="4.24" maxValue="118.57"/>
    </cacheField>
    <cacheField name="avg_price_discount_given" numFmtId="0">
      <sharedItems containsSemiMixedTypes="0" containsString="0" containsNumber="1" minValue="0.24" maxValue="8.539999999999999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
  <r>
    <x v="0"/>
    <s v="QUICK-Stop"/>
    <x v="0"/>
    <s v="Cunewalde"/>
    <n v="27"/>
    <n v="103971.06"/>
    <n v="3850.78"/>
    <d v="1994-09-05T00:00:00"/>
    <d v="1996-05-02T00:00:00"/>
    <n v="605"/>
    <n v="4"/>
    <n v="8.5393000000000008"/>
    <x v="0"/>
  </r>
  <r>
    <x v="1"/>
    <s v="Ernst Handel"/>
    <x v="1"/>
    <s v="Graz"/>
    <n v="27"/>
    <n v="88226.08"/>
    <n v="3267.63"/>
    <d v="1994-08-17T00:00:00"/>
    <d v="1996-05-01T00:00:00"/>
    <n v="623"/>
    <n v="4"/>
    <n v="8.5393000000000008"/>
    <x v="0"/>
  </r>
  <r>
    <x v="2"/>
    <s v="Save-a-lot Markets"/>
    <x v="2"/>
    <s v="Boise"/>
    <n v="28"/>
    <n v="85023"/>
    <n v="3036.54"/>
    <d v="1994-11-08T00:00:00"/>
    <d v="1996-05-06T00:00:00"/>
    <n v="545"/>
    <n v="4"/>
    <n v="8.5393000000000008"/>
    <x v="0"/>
  </r>
  <r>
    <x v="3"/>
    <s v="Rattlesnake Canyon Grocery"/>
    <x v="2"/>
    <s v="Albuquerque"/>
    <n v="17"/>
    <n v="49842.080000000002"/>
    <n v="2931.89"/>
    <d v="1994-08-22T00:00:00"/>
    <d v="1996-05-06T00:00:00"/>
    <n v="623"/>
    <n v="4"/>
    <n v="8.5393000000000008"/>
    <x v="0"/>
  </r>
  <r>
    <x v="4"/>
    <s v="Hungry Owl All-Night Grocers"/>
    <x v="3"/>
    <s v="Cork"/>
    <n v="18"/>
    <n v="48636.959999999999"/>
    <n v="2702.05"/>
    <d v="1994-10-06T00:00:00"/>
    <d v="1996-04-29T00:00:00"/>
    <n v="571"/>
    <n v="4"/>
    <n v="8.5393000000000008"/>
    <x v="0"/>
  </r>
  <r>
    <x v="5"/>
    <s v="Hanari Carnes"/>
    <x v="4"/>
    <s v="Rio de Janeiro"/>
    <n v="12"/>
    <n v="30107.37"/>
    <n v="2508.9499999999998"/>
    <d v="1994-08-08T00:00:00"/>
    <d v="1996-04-26T00:00:00"/>
    <n v="627"/>
    <n v="4"/>
    <n v="8.5393000000000008"/>
    <x v="1"/>
  </r>
  <r>
    <x v="6"/>
    <s v="MÃ¨re Paillarde"/>
    <x v="5"/>
    <s v="MontrÃ©al"/>
    <n v="13"/>
    <n v="28872.19"/>
    <n v="2220.94"/>
    <d v="1994-11-17T00:00:00"/>
    <d v="1995-11-30T00:00:00"/>
    <n v="378"/>
    <n v="4"/>
    <n v="8.5393000000000008"/>
    <x v="0"/>
  </r>
  <r>
    <x v="7"/>
    <s v="Folk och fÃ¤ HB"/>
    <x v="6"/>
    <s v="BrÃ¤cke"/>
    <n v="18"/>
    <n v="28757.56"/>
    <n v="1597.64"/>
    <d v="1994-08-24T00:00:00"/>
    <d v="1996-05-06T00:00:00"/>
    <n v="621"/>
    <n v="4"/>
    <n v="8.5393000000000008"/>
    <x v="0"/>
  </r>
  <r>
    <x v="8"/>
    <s v="KÃ¶niglich Essen"/>
    <x v="0"/>
    <s v="Brandenburg"/>
    <n v="13"/>
    <n v="28748.38"/>
    <n v="2211.41"/>
    <d v="1994-11-07T00:00:00"/>
    <d v="1996-03-20T00:00:00"/>
    <n v="499"/>
    <n v="4"/>
    <n v="8.5393000000000008"/>
    <x v="0"/>
  </r>
  <r>
    <x v="9"/>
    <s v="Berglunds snabbkÃ¶p"/>
    <x v="6"/>
    <s v="LuleÃ¥"/>
    <n v="18"/>
    <n v="24927.58"/>
    <n v="1384.87"/>
    <d v="1994-09-12T00:00:00"/>
    <d v="1996-04-03T00:00:00"/>
    <n v="569"/>
    <n v="4"/>
    <n v="8.5393000000000008"/>
    <x v="0"/>
  </r>
  <r>
    <x v="10"/>
    <s v="Frankenversand"/>
    <x v="0"/>
    <s v="MÃ¼nchen"/>
    <n v="14"/>
    <n v="23831.26"/>
    <n v="1702.23"/>
    <d v="1994-08-29T00:00:00"/>
    <d v="1996-04-04T00:00:00"/>
    <n v="584"/>
    <n v="4"/>
    <n v="8.5393000000000008"/>
    <x v="0"/>
  </r>
  <r>
    <x v="11"/>
    <s v="Queen Cozinha"/>
    <x v="4"/>
    <s v="SÃ£o Paulo"/>
    <n v="12"/>
    <n v="23690.42"/>
    <n v="1974.2"/>
    <d v="1995-01-04T00:00:00"/>
    <d v="1996-04-18T00:00:00"/>
    <n v="470"/>
    <n v="4"/>
    <n v="8.5393000000000008"/>
    <x v="1"/>
  </r>
  <r>
    <x v="12"/>
    <s v="SuprÃªmes dÃ©lices"/>
    <x v="7"/>
    <s v="Charleroi"/>
    <n v="10"/>
    <n v="21601.68"/>
    <n v="2160.17"/>
    <d v="1994-08-09T00:00:00"/>
    <d v="1996-04-05T00:00:00"/>
    <n v="605"/>
    <n v="4"/>
    <n v="8.5393000000000008"/>
    <x v="1"/>
  </r>
  <r>
    <x v="13"/>
    <s v="Bon app'"/>
    <x v="8"/>
    <s v="Marseille"/>
    <n v="16"/>
    <n v="21170.5"/>
    <n v="1323.16"/>
    <d v="1994-11-16T00:00:00"/>
    <d v="1996-04-10T00:00:00"/>
    <n v="511"/>
    <n v="4"/>
    <n v="8.5393000000000008"/>
    <x v="0"/>
  </r>
  <r>
    <x v="14"/>
    <s v="HILARIÃ“N-Abastos"/>
    <x v="9"/>
    <s v="San CristÃ³bal"/>
    <n v="17"/>
    <n v="21041.26"/>
    <n v="1237.72"/>
    <d v="1994-08-16T00:00:00"/>
    <d v="1996-04-24T00:00:00"/>
    <n v="617"/>
    <n v="4"/>
    <n v="8.5393000000000008"/>
    <x v="0"/>
  </r>
  <r>
    <x v="15"/>
    <s v="Piccolo und mehr"/>
    <x v="1"/>
    <s v="Salzburg"/>
    <n v="9"/>
    <n v="20073.86"/>
    <n v="2230.4299999999998"/>
    <d v="1994-12-14T00:00:00"/>
    <d v="1996-02-21T00:00:00"/>
    <n v="434"/>
    <n v="4"/>
    <n v="8.5393000000000008"/>
    <x v="1"/>
  </r>
  <r>
    <x v="16"/>
    <s v="Blondel pÃ¨re et fils"/>
    <x v="8"/>
    <s v="Strasbourg"/>
    <n v="11"/>
    <n v="18534.080000000002"/>
    <n v="1684.92"/>
    <d v="1994-08-25T00:00:00"/>
    <d v="1996-02-12T00:00:00"/>
    <n v="536"/>
    <n v="4"/>
    <n v="8.5393000000000008"/>
    <x v="1"/>
  </r>
  <r>
    <x v="17"/>
    <s v="Bottom-Dollar Markets"/>
    <x v="5"/>
    <s v="Tsawassen"/>
    <n v="11"/>
    <n v="18089.38"/>
    <n v="1644.49"/>
    <d v="1995-01-20T00:00:00"/>
    <d v="1996-04-26T00:00:00"/>
    <n v="462"/>
    <n v="4"/>
    <n v="8.5393000000000008"/>
    <x v="1"/>
  </r>
  <r>
    <x v="18"/>
    <s v="Great Lakes Food Market"/>
    <x v="2"/>
    <s v="Eugene"/>
    <n v="9"/>
    <n v="17797.45"/>
    <n v="1977.49"/>
    <d v="1995-06-06T00:00:00"/>
    <d v="1996-05-07T00:00:00"/>
    <n v="336"/>
    <n v="4"/>
    <n v="8.5393000000000008"/>
    <x v="1"/>
  </r>
  <r>
    <x v="19"/>
    <s v="Lehmanns Marktstand"/>
    <x v="0"/>
    <s v="Frankfurt a.M."/>
    <n v="14"/>
    <n v="17631.439999999999"/>
    <n v="1259.3900000000001"/>
    <d v="1994-09-13T00:00:00"/>
    <d v="1996-04-08T00:00:00"/>
    <n v="573"/>
    <n v="4"/>
    <n v="8.5393000000000008"/>
    <x v="0"/>
  </r>
  <r>
    <x v="20"/>
    <s v="White Clover Markets"/>
    <x v="2"/>
    <s v="Seattle"/>
    <n v="12"/>
    <n v="17532.36"/>
    <n v="1461.03"/>
    <d v="1994-08-31T00:00:00"/>
    <d v="1996-03-26T00:00:00"/>
    <n v="573"/>
    <n v="4"/>
    <n v="8.5393000000000008"/>
    <x v="1"/>
  </r>
  <r>
    <x v="21"/>
    <s v="Simons bistro"/>
    <x v="10"/>
    <s v="KÃ¸benhavn"/>
    <n v="6"/>
    <n v="16585.009999999998"/>
    <n v="2764.17"/>
    <d v="1994-11-29T00:00:00"/>
    <d v="1996-01-29T00:00:00"/>
    <n v="426"/>
    <n v="4"/>
    <n v="8.5393000000000008"/>
    <x v="2"/>
  </r>
  <r>
    <x v="22"/>
    <s v="Seven Seas Imports"/>
    <x v="11"/>
    <s v="London"/>
    <n v="9"/>
    <n v="16215.33"/>
    <n v="1801.7"/>
    <d v="1994-12-22T00:00:00"/>
    <d v="1996-03-06T00:00:00"/>
    <n v="440"/>
    <n v="3"/>
    <n v="8.5393000000000008"/>
    <x v="1"/>
  </r>
  <r>
    <x v="23"/>
    <s v="Vaffeljernet"/>
    <x v="10"/>
    <s v="Ã…rhus"/>
    <n v="11"/>
    <n v="15843.92"/>
    <n v="1440.36"/>
    <d v="1994-12-29T00:00:00"/>
    <d v="1996-05-02T00:00:00"/>
    <n v="490"/>
    <n v="3"/>
    <n v="8.5393000000000008"/>
    <x v="1"/>
  </r>
  <r>
    <x v="24"/>
    <s v="Richter Supermarkt"/>
    <x v="12"/>
    <s v="GenÃ¨ve"/>
    <n v="8"/>
    <n v="15612.88"/>
    <n v="1951.61"/>
    <d v="1994-08-12T00:00:00"/>
    <d v="1996-04-15T00:00:00"/>
    <n v="612"/>
    <n v="3"/>
    <n v="8.5393000000000008"/>
    <x v="2"/>
  </r>
  <r>
    <x v="25"/>
    <s v="LILA-Supermercado"/>
    <x v="9"/>
    <s v="Barquisimeto"/>
    <n v="12"/>
    <n v="15402.68"/>
    <n v="1283.56"/>
    <d v="1994-09-16T00:00:00"/>
    <d v="1996-05-03T00:00:00"/>
    <n v="595"/>
    <n v="3"/>
    <n v="8.5393000000000008"/>
    <x v="1"/>
  </r>
  <r>
    <x v="26"/>
    <s v="Wartian Herkku"/>
    <x v="13"/>
    <s v="Oulu"/>
    <n v="14"/>
    <n v="15378.7"/>
    <n v="1098.48"/>
    <d v="1994-08-26T00:00:00"/>
    <d v="1996-01-17T00:00:00"/>
    <n v="509"/>
    <n v="3"/>
    <n v="8.5393000000000008"/>
    <x v="1"/>
  </r>
  <r>
    <x v="27"/>
    <s v="Old World Delicatessen"/>
    <x v="2"/>
    <s v="Anchorage"/>
    <n v="9"/>
    <n v="14638.06"/>
    <n v="1626.45"/>
    <d v="1994-10-14T00:00:00"/>
    <d v="1996-04-19T00:00:00"/>
    <n v="553"/>
    <n v="3"/>
    <n v="8.5393000000000008"/>
    <x v="1"/>
  </r>
  <r>
    <x v="28"/>
    <s v="LINO-Delicateses"/>
    <x v="9"/>
    <s v="I. de Margarita"/>
    <n v="10"/>
    <n v="13143.38"/>
    <n v="1314.34"/>
    <d v="1995-02-06T00:00:00"/>
    <d v="1996-04-16T00:00:00"/>
    <n v="435"/>
    <n v="3"/>
    <n v="8.5393000000000008"/>
    <x v="1"/>
  </r>
  <r>
    <x v="29"/>
    <s v="Around the Horn"/>
    <x v="11"/>
    <s v="London"/>
    <n v="12"/>
    <n v="12899.15"/>
    <n v="1074.93"/>
    <d v="1994-12-16T00:00:00"/>
    <d v="1996-04-15T00:00:00"/>
    <n v="486"/>
    <n v="3"/>
    <n v="8.5393000000000008"/>
    <x v="1"/>
  </r>
  <r>
    <x v="30"/>
    <s v="Ottilies KÃ¤seladen"/>
    <x v="0"/>
    <s v="KÃ¶ln"/>
    <n v="9"/>
    <n v="11863.8"/>
    <n v="1318.2"/>
    <d v="1994-08-19T00:00:00"/>
    <d v="1996-05-03T00:00:00"/>
    <n v="623"/>
    <n v="3"/>
    <n v="8.5393000000000008"/>
    <x v="1"/>
  </r>
  <r>
    <x v="31"/>
    <s v="Folies gourmandes"/>
    <x v="8"/>
    <s v="Lille"/>
    <n v="5"/>
    <n v="11666.9"/>
    <n v="2333.38"/>
    <d v="1995-02-08T00:00:00"/>
    <d v="1996-01-22T00:00:00"/>
    <n v="348"/>
    <n v="3"/>
    <n v="8.5393000000000008"/>
    <x v="2"/>
  </r>
  <r>
    <x v="32"/>
    <s v="Split Rail Beer &amp; Ale"/>
    <x v="2"/>
    <s v="Lander"/>
    <n v="9"/>
    <n v="11441.63"/>
    <n v="1271.29"/>
    <d v="1994-09-01T00:00:00"/>
    <d v="1996-04-24T00:00:00"/>
    <n v="601"/>
    <n v="3"/>
    <n v="8.5393000000000008"/>
    <x v="1"/>
  </r>
  <r>
    <x v="33"/>
    <s v="Godos Cocina TÃ­pica"/>
    <x v="14"/>
    <s v="Sevilla"/>
    <n v="8"/>
    <n v="10769.86"/>
    <n v="1346.23"/>
    <d v="1994-10-12T00:00:00"/>
    <d v="1996-04-12T00:00:00"/>
    <n v="548"/>
    <n v="3"/>
    <n v="8.5393000000000008"/>
    <x v="2"/>
  </r>
  <r>
    <x v="34"/>
    <s v="Ricardo Adocicados"/>
    <x v="4"/>
    <s v="Rio de Janeiro"/>
    <n v="10"/>
    <n v="10612.8"/>
    <n v="1061.28"/>
    <d v="1994-09-22T00:00:00"/>
    <d v="1996-03-11T00:00:00"/>
    <n v="536"/>
    <n v="3"/>
    <n v="8.5393000000000008"/>
    <x v="1"/>
  </r>
  <r>
    <x v="35"/>
    <s v="Tortuga Restaurante"/>
    <x v="15"/>
    <s v="MÃ©xico D.F."/>
    <n v="9"/>
    <n v="10452.15"/>
    <n v="1161.3499999999999"/>
    <d v="1994-09-08T00:00:00"/>
    <d v="1996-03-29T00:00:00"/>
    <n v="568"/>
    <n v="3"/>
    <n v="8.5393000000000008"/>
    <x v="1"/>
  </r>
  <r>
    <x v="36"/>
    <s v="Maison Dewey"/>
    <x v="7"/>
    <s v="Bruxelles"/>
    <n v="7"/>
    <n v="9736.08"/>
    <n v="1390.87"/>
    <d v="1995-06-07T00:00:00"/>
    <d v="1996-05-07T00:00:00"/>
    <n v="335"/>
    <n v="3"/>
    <n v="8.5393000000000008"/>
    <x v="2"/>
  </r>
  <r>
    <x v="37"/>
    <s v="La maison d'Asie"/>
    <x v="8"/>
    <s v="Toulouse"/>
    <n v="13"/>
    <n v="9292.2000000000007"/>
    <n v="714.78"/>
    <d v="1994-12-12T00:00:00"/>
    <d v="1996-04-02T00:00:00"/>
    <n v="477"/>
    <n v="3"/>
    <n v="8.5393000000000008"/>
    <x v="1"/>
  </r>
  <r>
    <x v="38"/>
    <s v="Chop-suey Chinese"/>
    <x v="12"/>
    <s v="Bern"/>
    <n v="6"/>
    <n v="9289.08"/>
    <n v="1548.18"/>
    <d v="1994-08-11T00:00:00"/>
    <d v="1996-04-19T00:00:00"/>
    <n v="617"/>
    <n v="3"/>
    <n v="8.5393000000000008"/>
    <x v="2"/>
  </r>
  <r>
    <x v="39"/>
    <s v="Victuailles en stock"/>
    <x v="8"/>
    <s v="Lyon"/>
    <n v="10"/>
    <n v="9182.43"/>
    <n v="918.24"/>
    <d v="1994-08-08T00:00:00"/>
    <d v="1996-02-23T00:00:00"/>
    <n v="564"/>
    <n v="3"/>
    <n v="8.5393000000000008"/>
    <x v="1"/>
  </r>
  <r>
    <x v="40"/>
    <s v="Eastern Connection"/>
    <x v="11"/>
    <s v="London"/>
    <n v="5"/>
    <n v="8236.35"/>
    <n v="1647.27"/>
    <d v="1994-12-27T00:00:00"/>
    <d v="1996-04-30T00:00:00"/>
    <n v="490"/>
    <n v="3"/>
    <n v="8.5393000000000008"/>
    <x v="2"/>
  </r>
  <r>
    <x v="41"/>
    <s v="Gourmet Lanchonetes"/>
    <x v="4"/>
    <s v="Campinas"/>
    <n v="8"/>
    <n v="8140.54"/>
    <n v="1017.57"/>
    <d v="1995-02-23T00:00:00"/>
    <d v="1996-04-17T00:00:00"/>
    <n v="419"/>
    <n v="3"/>
    <n v="8.5393000000000008"/>
    <x v="2"/>
  </r>
  <r>
    <x v="42"/>
    <s v="Die Wandernde Kuh"/>
    <x v="0"/>
    <s v="Stuttgart"/>
    <n v="9"/>
    <n v="8102.63"/>
    <n v="900.29"/>
    <d v="1994-10-10T00:00:00"/>
    <d v="1995-10-16T00:00:00"/>
    <n v="371"/>
    <n v="3"/>
    <n v="8.5393000000000008"/>
    <x v="1"/>
  </r>
  <r>
    <x v="43"/>
    <s v="Magazzini Alimentari Riuniti"/>
    <x v="16"/>
    <s v="Bergamo"/>
    <n v="10"/>
    <n v="7176.22"/>
    <n v="717.62"/>
    <d v="1994-09-07T00:00:00"/>
    <d v="1996-04-15T00:00:00"/>
    <n v="586"/>
    <n v="3"/>
    <n v="8.5393000000000008"/>
    <x v="1"/>
  </r>
  <r>
    <x v="44"/>
    <s v="Antonio Moreno TaquerÃ­a"/>
    <x v="15"/>
    <s v="MÃ©xico D.F."/>
    <n v="7"/>
    <n v="7023.98"/>
    <n v="1003.43"/>
    <d v="1994-12-28T00:00:00"/>
    <d v="1996-02-28T00:00:00"/>
    <n v="427"/>
    <n v="2"/>
    <n v="8.5393000000000008"/>
    <x v="2"/>
  </r>
  <r>
    <x v="45"/>
    <s v="TradiÃ§Ã£o Hipermercados"/>
    <x v="4"/>
    <s v="SÃ£o Paulo"/>
    <n v="6"/>
    <n v="6850.66"/>
    <n v="1141.78"/>
    <d v="1994-09-28T00:00:00"/>
    <d v="1996-02-19T00:00:00"/>
    <n v="509"/>
    <n v="2"/>
    <n v="8.5393000000000008"/>
    <x v="2"/>
  </r>
  <r>
    <x v="46"/>
    <s v="Que DelÃ­cia"/>
    <x v="4"/>
    <s v="Rio de Janeiro"/>
    <n v="9"/>
    <n v="6664.81"/>
    <n v="740.53"/>
    <d v="1994-08-19T00:00:00"/>
    <d v="1996-04-30T00:00:00"/>
    <n v="620"/>
    <n v="2"/>
    <n v="8.5393000000000008"/>
    <x v="1"/>
  </r>
  <r>
    <x v="47"/>
    <s v="Furia Bacalhau e Frutos do Mar"/>
    <x v="17"/>
    <s v="Lisboa"/>
    <n v="8"/>
    <n v="6427.42"/>
    <n v="803.43"/>
    <d v="1994-11-14T00:00:00"/>
    <d v="1996-04-18T00:00:00"/>
    <n v="521"/>
    <n v="2"/>
    <n v="8.5393000000000008"/>
    <x v="2"/>
  </r>
  <r>
    <x v="48"/>
    <s v="Island Trading"/>
    <x v="11"/>
    <s v="Cowes"/>
    <n v="10"/>
    <n v="6146.3"/>
    <n v="614.63"/>
    <d v="1994-10-27T00:00:00"/>
    <d v="1996-04-05T00:00:00"/>
    <n v="526"/>
    <n v="2"/>
    <n v="8.5393000000000008"/>
    <x v="1"/>
  </r>
  <r>
    <x v="49"/>
    <s v="Wellington Importadora"/>
    <x v="4"/>
    <s v="Resende"/>
    <n v="9"/>
    <n v="6068.2"/>
    <n v="674.24"/>
    <d v="1994-08-15T00:00:00"/>
    <d v="1996-04-08T00:00:00"/>
    <n v="602"/>
    <n v="2"/>
    <n v="8.5393000000000008"/>
    <x v="1"/>
  </r>
  <r>
    <x v="50"/>
    <s v="Reggiani Caseifici"/>
    <x v="16"/>
    <s v="Reggio Emilia"/>
    <n v="10"/>
    <n v="5996.84"/>
    <n v="599.67999999999995"/>
    <d v="1994-09-23T00:00:00"/>
    <d v="1996-04-10T00:00:00"/>
    <n v="565"/>
    <n v="2"/>
    <n v="8.5393000000000008"/>
    <x v="1"/>
  </r>
  <r>
    <x v="51"/>
    <s v="SantÃ© Gourmet"/>
    <x v="18"/>
    <s v="Stavern"/>
    <n v="5"/>
    <n v="5112.8"/>
    <n v="1022.56"/>
    <d v="1995-01-18T00:00:00"/>
    <d v="1996-03-28T00:00:00"/>
    <n v="435"/>
    <n v="2"/>
    <n v="8.5393000000000008"/>
    <x v="2"/>
  </r>
  <r>
    <x v="52"/>
    <s v="Princesa Isabel Vinhos"/>
    <x v="17"/>
    <s v="Lisboa"/>
    <n v="5"/>
    <n v="5044.9399999999996"/>
    <n v="1008.99"/>
    <d v="1994-11-23T00:00:00"/>
    <d v="1996-05-08T00:00:00"/>
    <n v="532"/>
    <n v="2"/>
    <n v="8.5393000000000008"/>
    <x v="2"/>
  </r>
  <r>
    <x v="53"/>
    <s v="Morgenstern Gesundkost"/>
    <x v="0"/>
    <s v="Leipzig"/>
    <n v="5"/>
    <n v="5042.2"/>
    <n v="1008.44"/>
    <d v="1994-09-09T00:00:00"/>
    <d v="1996-04-11T00:00:00"/>
    <n v="580"/>
    <n v="2"/>
    <n v="8.5393000000000008"/>
    <x v="2"/>
  </r>
  <r>
    <x v="54"/>
    <s v="Toms SpezialitÃ¤ten"/>
    <x v="0"/>
    <s v="MÃ¼nster"/>
    <n v="6"/>
    <n v="4778.1400000000003"/>
    <n v="796.36"/>
    <d v="1994-08-05T00:00:00"/>
    <d v="1996-04-22T00:00:00"/>
    <n v="626"/>
    <n v="2"/>
    <n v="8.5393000000000008"/>
    <x v="2"/>
  </r>
  <r>
    <x v="55"/>
    <s v="B's Beverages"/>
    <x v="11"/>
    <s v="London"/>
    <n v="9"/>
    <n v="4589.8999999999996"/>
    <n v="509.99"/>
    <d v="1994-09-26T00:00:00"/>
    <d v="1996-04-12T00:00:00"/>
    <n v="564"/>
    <n v="2"/>
    <n v="8.5393000000000008"/>
    <x v="1"/>
  </r>
  <r>
    <x v="56"/>
    <s v="BÃ³lido Comidas preparadas"/>
    <x v="14"/>
    <s v="Madrid"/>
    <n v="3"/>
    <n v="4232.8500000000004"/>
    <n v="1410.95"/>
    <d v="1994-11-10T00:00:00"/>
    <d v="1996-04-23T00:00:00"/>
    <n v="530"/>
    <n v="2"/>
    <n v="8.5393000000000008"/>
    <x v="2"/>
  </r>
  <r>
    <x v="57"/>
    <s v="Familia Arquibaldo"/>
    <x v="4"/>
    <s v="SÃ£o Paulo"/>
    <n v="7"/>
    <n v="4107.55"/>
    <n v="586.79"/>
    <d v="1994-12-07T00:00:00"/>
    <d v="1995-12-01T00:00:00"/>
    <n v="359"/>
    <n v="2"/>
    <n v="8.5393000000000008"/>
    <x v="2"/>
  </r>
  <r>
    <x v="58"/>
    <s v="Pericles Comidas clÃ¡sicas"/>
    <x v="15"/>
    <s v="MÃ©xico D.F."/>
    <n v="5"/>
    <n v="3942.2"/>
    <n v="788.44"/>
    <d v="1994-11-04T00:00:00"/>
    <d v="1996-05-02T00:00:00"/>
    <n v="545"/>
    <n v="2"/>
    <n v="8.5393000000000008"/>
    <x v="2"/>
  </r>
  <r>
    <x v="59"/>
    <s v="OcÃ©ano AtlÃ¡ntico Ltda."/>
    <x v="19"/>
    <s v="Buenos Aires"/>
    <n v="5"/>
    <n v="3460.2"/>
    <n v="692.04"/>
    <d v="1995-02-09T00:00:00"/>
    <d v="1996-04-29T00:00:00"/>
    <n v="445"/>
    <n v="2"/>
    <n v="8.5393000000000008"/>
    <x v="2"/>
  </r>
  <r>
    <x v="60"/>
    <s v="ComÃ©rcio Mineiro"/>
    <x v="4"/>
    <s v="SÃ£o Paulo"/>
    <n v="4"/>
    <n v="3405"/>
    <n v="851.25"/>
    <d v="1994-09-27T00:00:00"/>
    <d v="1996-04-22T00:00:00"/>
    <n v="573"/>
    <n v="2"/>
    <n v="8.5393000000000008"/>
    <x v="2"/>
  </r>
  <r>
    <x v="61"/>
    <s v="The Big Cheese"/>
    <x v="2"/>
    <s v="Portland"/>
    <n v="4"/>
    <n v="3361"/>
    <n v="840.25"/>
    <d v="1994-10-21T00:00:00"/>
    <d v="1996-05-01T00:00:00"/>
    <n v="558"/>
    <n v="2"/>
    <n v="8.5393000000000008"/>
    <x v="2"/>
  </r>
  <r>
    <x v="62"/>
    <s v="Alfreds Futterkiste"/>
    <x v="0"/>
    <s v="Berlin"/>
    <n v="5"/>
    <n v="3339.5"/>
    <n v="667.9"/>
    <d v="1995-09-25T00:00:00"/>
    <d v="1996-04-15T00:00:00"/>
    <n v="203"/>
    <n v="2"/>
    <n v="8.5393000000000008"/>
    <x v="2"/>
  </r>
  <r>
    <x v="63"/>
    <s v="France restauration"/>
    <x v="8"/>
    <s v="Nantes"/>
    <n v="3"/>
    <n v="3172.16"/>
    <n v="1057.3900000000001"/>
    <d v="1995-10-18T00:00:00"/>
    <d v="1996-04-23T00:00:00"/>
    <n v="188"/>
    <n v="2"/>
    <n v="8.5393000000000008"/>
    <x v="2"/>
  </r>
  <r>
    <x v="64"/>
    <s v="Wilman Kala"/>
    <x v="13"/>
    <s v="Helsinki"/>
    <n v="7"/>
    <n v="3161.35"/>
    <n v="451.62"/>
    <d v="1995-08-30T00:00:00"/>
    <d v="1996-05-07T00:00:00"/>
    <n v="251"/>
    <n v="2"/>
    <n v="8.5393000000000008"/>
    <x v="2"/>
  </r>
  <r>
    <x v="65"/>
    <s v="Let's Stop N Shop"/>
    <x v="2"/>
    <s v="San Francisco"/>
    <n v="4"/>
    <n v="3076.47"/>
    <n v="769.12"/>
    <d v="1995-07-26T00:00:00"/>
    <d v="1996-03-14T00:00:00"/>
    <n v="232"/>
    <n v="2"/>
    <n v="8.5393000000000008"/>
    <x v="2"/>
  </r>
  <r>
    <x v="66"/>
    <s v="Hungry Coyote Import Store"/>
    <x v="2"/>
    <s v="Elgin"/>
    <n v="5"/>
    <n v="3063.2"/>
    <n v="612.64"/>
    <d v="1995-01-06T00:00:00"/>
    <d v="1995-10-09T00:00:00"/>
    <n v="276"/>
    <n v="1"/>
    <n v="8.5393000000000008"/>
    <x v="2"/>
  </r>
  <r>
    <x v="67"/>
    <s v="Wolski  Zajazd"/>
    <x v="20"/>
    <s v="Warszawa"/>
    <n v="6"/>
    <n v="2940.35"/>
    <n v="490.06"/>
    <d v="1995-01-05T00:00:00"/>
    <d v="1996-05-03T00:00:00"/>
    <n v="484"/>
    <n v="1"/>
    <n v="8.5393000000000008"/>
    <x v="2"/>
  </r>
  <r>
    <x v="68"/>
    <s v="Rancho grande"/>
    <x v="19"/>
    <s v="Buenos Aires"/>
    <n v="4"/>
    <n v="2768.1"/>
    <n v="692.02"/>
    <d v="1995-03-20T00:00:00"/>
    <d v="1996-03-29T00:00:00"/>
    <n v="375"/>
    <n v="1"/>
    <n v="8.5393000000000008"/>
    <x v="2"/>
  </r>
  <r>
    <x v="69"/>
    <s v="Lonesome Pine Restaurant"/>
    <x v="2"/>
    <s v="Portland"/>
    <n v="7"/>
    <n v="2683.6"/>
    <n v="383.37"/>
    <d v="1994-10-18T00:00:00"/>
    <d v="1996-03-14T00:00:00"/>
    <n v="513"/>
    <n v="1"/>
    <n v="8.5393000000000008"/>
    <x v="2"/>
  </r>
  <r>
    <x v="70"/>
    <s v="Blauer See Delikatessen"/>
    <x v="0"/>
    <s v="Mannheim"/>
    <n v="6"/>
    <n v="2381.8000000000002"/>
    <n v="396.97"/>
    <d v="1995-05-10T00:00:00"/>
    <d v="1996-04-16T00:00:00"/>
    <n v="342"/>
    <n v="1"/>
    <n v="8.5393000000000008"/>
    <x v="2"/>
  </r>
  <r>
    <x v="71"/>
    <s v="SpÃ©cialitÃ©s du monde"/>
    <x v="8"/>
    <s v="Paris"/>
    <n v="3"/>
    <n v="2213.35"/>
    <n v="737.78"/>
    <d v="1995-12-13T00:00:00"/>
    <d v="1996-04-19T00:00:00"/>
    <n v="128"/>
    <n v="1"/>
    <n v="8.5393000000000008"/>
    <x v="2"/>
  </r>
  <r>
    <x v="72"/>
    <s v="La corne d'abondance"/>
    <x v="8"/>
    <s v="Versailles"/>
    <n v="4"/>
    <n v="1992.05"/>
    <n v="498.01"/>
    <d v="1996-02-29T00:00:00"/>
    <d v="1996-04-23T00:00:00"/>
    <n v="54"/>
    <n v="1"/>
    <n v="8.5393000000000008"/>
    <x v="2"/>
  </r>
  <r>
    <x v="73"/>
    <s v="Drachenblut Delikatessen"/>
    <x v="0"/>
    <s v="Aachen"/>
    <n v="4"/>
    <n v="1984.36"/>
    <n v="496.09"/>
    <d v="1994-12-27T00:00:00"/>
    <d v="1996-02-09T00:00:00"/>
    <n v="409"/>
    <n v="1"/>
    <n v="8.5393000000000008"/>
    <x v="2"/>
  </r>
  <r>
    <x v="74"/>
    <s v="The Cracker Box"/>
    <x v="2"/>
    <s v="Butte"/>
    <n v="3"/>
    <n v="1947.24"/>
    <n v="649.08000000000004"/>
    <d v="1995-09-07T00:00:00"/>
    <d v="1996-05-06T00:00:00"/>
    <n v="242"/>
    <n v="1"/>
    <n v="8.5393000000000008"/>
    <x v="2"/>
  </r>
  <r>
    <x v="75"/>
    <s v="Consolidated Holdings"/>
    <x v="11"/>
    <s v="London"/>
    <n v="3"/>
    <n v="1719.1"/>
    <n v="573.03"/>
    <d v="1995-03-07T00:00:00"/>
    <d v="1996-02-23T00:00:00"/>
    <n v="353"/>
    <n v="1"/>
    <n v="8.5393000000000008"/>
    <x v="2"/>
  </r>
  <r>
    <x v="76"/>
    <s v="Du monde entier"/>
    <x v="8"/>
    <s v="Nantes"/>
    <n v="4"/>
    <n v="1615.9"/>
    <n v="403.98"/>
    <d v="1994-10-21T00:00:00"/>
    <d v="1996-03-18T00:00:00"/>
    <n v="514"/>
    <n v="1"/>
    <n v="8.5393000000000008"/>
    <x v="2"/>
  </r>
  <r>
    <x v="77"/>
    <s v="Trail's Head Gourmet Provisioners"/>
    <x v="2"/>
    <s v="Kirkland"/>
    <n v="3"/>
    <n v="1571.2"/>
    <n v="523.73"/>
    <d v="1995-07-20T00:00:00"/>
    <d v="1996-02-08T00:00:00"/>
    <n v="203"/>
    <n v="1"/>
    <n v="8.5393000000000008"/>
    <x v="2"/>
  </r>
  <r>
    <x v="78"/>
    <s v="Cactus Comidas para llevar"/>
    <x v="19"/>
    <s v="Buenos Aires"/>
    <n v="5"/>
    <n v="1509.8"/>
    <n v="301.95999999999998"/>
    <d v="1995-05-30T00:00:00"/>
    <d v="1996-04-09T00:00:00"/>
    <n v="315"/>
    <n v="1"/>
    <n v="8.5393000000000008"/>
    <x v="2"/>
  </r>
  <r>
    <x v="79"/>
    <s v="GROSELLA-Restaurante"/>
    <x v="9"/>
    <s v="Caracas"/>
    <n v="2"/>
    <n v="1488.7"/>
    <n v="744.35"/>
    <d v="1994-08-30T00:00:00"/>
    <d v="1996-01-18T00:00:00"/>
    <n v="506"/>
    <n v="1"/>
    <n v="8.5393000000000008"/>
    <x v="2"/>
  </r>
  <r>
    <x v="80"/>
    <s v="Vins et alcools Chevalier"/>
    <x v="8"/>
    <s v="Reims"/>
    <n v="5"/>
    <n v="1480"/>
    <n v="296"/>
    <d v="1994-08-04T00:00:00"/>
    <d v="1995-12-13T00:00:00"/>
    <n v="496"/>
    <n v="1"/>
    <n v="8.5393000000000008"/>
    <x v="2"/>
  </r>
  <r>
    <x v="81"/>
    <s v="Ana Trujillo Emparedados y helados"/>
    <x v="15"/>
    <s v="MÃ©xico D.F."/>
    <n v="4"/>
    <n v="1402.95"/>
    <n v="350.74"/>
    <d v="1994-10-19T00:00:00"/>
    <d v="1996-04-03T00:00:00"/>
    <n v="532"/>
    <n v="1"/>
    <n v="8.5393000000000008"/>
    <x v="2"/>
  </r>
  <r>
    <x v="82"/>
    <s v="Romero y tomillo"/>
    <x v="14"/>
    <s v="Madrid"/>
    <n v="4"/>
    <n v="1106.29"/>
    <n v="276.57"/>
    <d v="1994-09-14T00:00:00"/>
    <d v="1996-04-01T00:00:00"/>
    <n v="565"/>
    <n v="1"/>
    <n v="8.5393000000000008"/>
    <x v="2"/>
  </r>
  <r>
    <x v="83"/>
    <s v="GalerÃ­a del gastrÃ³nomo"/>
    <x v="14"/>
    <s v="Barcelona"/>
    <n v="5"/>
    <n v="836.7"/>
    <n v="167.34"/>
    <d v="1994-12-29T00:00:00"/>
    <d v="1996-04-04T00:00:00"/>
    <n v="462"/>
    <n v="1"/>
    <n v="8.5393000000000008"/>
    <x v="2"/>
  </r>
  <r>
    <x v="84"/>
    <s v="North/South"/>
    <x v="11"/>
    <s v="London"/>
    <n v="2"/>
    <n v="604"/>
    <n v="302"/>
    <d v="1995-05-25T00:00:00"/>
    <d v="1995-12-25T00:00:00"/>
    <n v="214"/>
    <n v="1"/>
    <n v="8.5393000000000008"/>
    <x v="2"/>
  </r>
  <r>
    <x v="85"/>
    <s v="Laughing Bacchus Wine Cellars"/>
    <x v="5"/>
    <s v="Vancouver"/>
    <n v="3"/>
    <n v="522.5"/>
    <n v="174.17"/>
    <d v="1995-05-04T00:00:00"/>
    <d v="1996-02-01T00:00:00"/>
    <n v="273"/>
    <n v="1"/>
    <n v="8.5393000000000008"/>
    <x v="2"/>
  </r>
  <r>
    <x v="86"/>
    <s v="Lazy K Kountry Store"/>
    <x v="2"/>
    <s v="Walla Walla"/>
    <n v="2"/>
    <n v="357"/>
    <n v="178.5"/>
    <d v="1995-04-21T00:00:00"/>
    <d v="1995-06-22T00:00:00"/>
    <n v="62"/>
    <n v="1"/>
    <n v="8.5393000000000008"/>
    <x v="2"/>
  </r>
  <r>
    <x v="87"/>
    <s v="Franchi S.p.A."/>
    <x v="16"/>
    <s v="Torino"/>
    <n v="4"/>
    <n v="249.7"/>
    <n v="62.42"/>
    <d v="1995-02-22T00:00:00"/>
    <d v="1996-01-31T00:00:00"/>
    <n v="343"/>
    <n v="1"/>
    <n v="8.5393000000000008"/>
    <x v="2"/>
  </r>
  <r>
    <x v="88"/>
    <s v="Centro comercial Moctezuma"/>
    <x v="15"/>
    <s v="MÃ©xico D.F."/>
    <n v="1"/>
    <n v="100.8"/>
    <n v="100.8"/>
    <d v="1994-08-18T00:00:00"/>
    <d v="1994-08-18T00:00:00"/>
    <n v="0"/>
    <n v="1"/>
    <n v="8.5393000000000008"/>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9">
  <r>
    <x v="0"/>
    <x v="0"/>
    <n v="1"/>
    <n v="27"/>
    <n v="27"/>
    <n v="103971.06"/>
    <n v="3850.78"/>
    <n v="3793"/>
    <d v="1994-09-05T00:00:00"/>
    <d v="1996-05-02T00:00:00"/>
  </r>
  <r>
    <x v="1"/>
    <x v="1"/>
    <n v="1"/>
    <n v="27"/>
    <n v="27"/>
    <n v="88226.08"/>
    <n v="3267.63"/>
    <n v="3997"/>
    <d v="1994-08-17T00:00:00"/>
    <d v="1996-05-01T00:00:00"/>
  </r>
  <r>
    <x v="2"/>
    <x v="2"/>
    <n v="1"/>
    <n v="28"/>
    <n v="28"/>
    <n v="85023"/>
    <n v="3036.54"/>
    <n v="4273"/>
    <d v="1994-11-08T00:00:00"/>
    <d v="1996-05-06T00:00:00"/>
  </r>
  <r>
    <x v="2"/>
    <x v="3"/>
    <n v="1"/>
    <n v="17"/>
    <n v="17"/>
    <n v="49842.080000000002"/>
    <n v="2931.89"/>
    <n v="1311"/>
    <d v="1994-08-22T00:00:00"/>
    <d v="1996-05-06T00:00:00"/>
  </r>
  <r>
    <x v="3"/>
    <x v="4"/>
    <n v="1"/>
    <n v="18"/>
    <n v="18"/>
    <n v="48636.959999999999"/>
    <n v="2702.05"/>
    <n v="1584"/>
    <d v="1994-10-06T00:00:00"/>
    <d v="1996-04-29T00:00:00"/>
  </r>
  <r>
    <x v="4"/>
    <x v="5"/>
    <n v="3"/>
    <n v="31"/>
    <n v="10.33"/>
    <n v="47384.98"/>
    <n v="1528.55"/>
    <n v="1711"/>
    <d v="1994-08-08T00:00:00"/>
    <d v="1996-04-30T00:00:00"/>
  </r>
  <r>
    <x v="5"/>
    <x v="6"/>
    <n v="6"/>
    <n v="40"/>
    <n v="6.67"/>
    <n v="44263.82"/>
    <n v="1106.5999999999999"/>
    <n v="2086"/>
    <d v="1994-09-26T00:00:00"/>
    <d v="1996-04-30T00:00:00"/>
  </r>
  <r>
    <x v="4"/>
    <x v="7"/>
    <n v="4"/>
    <n v="29"/>
    <n v="7.25"/>
    <n v="38053.629999999997"/>
    <n v="1312.19"/>
    <n v="1681"/>
    <d v="1994-09-27T00:00:00"/>
    <d v="1996-04-22T00:00:00"/>
  </r>
  <r>
    <x v="6"/>
    <x v="8"/>
    <n v="1"/>
    <n v="13"/>
    <n v="13"/>
    <n v="28872.19"/>
    <n v="2220.94"/>
    <n v="966"/>
    <d v="1994-11-17T00:00:00"/>
    <d v="1995-11-30T00:00:00"/>
  </r>
  <r>
    <x v="7"/>
    <x v="9"/>
    <n v="1"/>
    <n v="18"/>
    <n v="18"/>
    <n v="28757.56"/>
    <n v="1597.64"/>
    <n v="1184"/>
    <d v="1994-08-24T00:00:00"/>
    <d v="1996-05-06T00:00:00"/>
  </r>
  <r>
    <x v="0"/>
    <x v="10"/>
    <n v="1"/>
    <n v="13"/>
    <n v="13"/>
    <n v="28748.38"/>
    <n v="2211.41"/>
    <n v="844"/>
    <d v="1994-11-07T00:00:00"/>
    <d v="1996-03-20T00:00:00"/>
  </r>
  <r>
    <x v="7"/>
    <x v="11"/>
    <n v="1"/>
    <n v="18"/>
    <n v="18"/>
    <n v="24927.58"/>
    <n v="1384.87"/>
    <n v="1001"/>
    <d v="1994-09-12T00:00:00"/>
    <d v="1996-04-03T00:00:00"/>
  </r>
  <r>
    <x v="0"/>
    <x v="12"/>
    <n v="1"/>
    <n v="14"/>
    <n v="14"/>
    <n v="23831.26"/>
    <n v="1702.23"/>
    <n v="1379"/>
    <d v="1994-08-29T00:00:00"/>
    <d v="1996-04-04T00:00:00"/>
  </r>
  <r>
    <x v="8"/>
    <x v="13"/>
    <n v="5"/>
    <n v="26"/>
    <n v="5.2"/>
    <n v="22922.080000000002"/>
    <n v="881.62"/>
    <n v="975"/>
    <d v="1994-08-18T00:00:00"/>
    <d v="1996-05-02T00:00:00"/>
  </r>
  <r>
    <x v="9"/>
    <x v="14"/>
    <n v="1"/>
    <n v="10"/>
    <n v="10"/>
    <n v="21601.68"/>
    <n v="2160.17"/>
    <n v="925"/>
    <d v="1994-08-09T00:00:00"/>
    <d v="1996-04-05T00:00:00"/>
  </r>
  <r>
    <x v="10"/>
    <x v="15"/>
    <n v="1"/>
    <n v="16"/>
    <n v="16"/>
    <n v="21170.5"/>
    <n v="1323.16"/>
    <n v="930"/>
    <d v="1994-11-16T00:00:00"/>
    <d v="1996-04-10T00:00:00"/>
  </r>
  <r>
    <x v="11"/>
    <x v="16"/>
    <n v="1"/>
    <n v="17"/>
    <n v="17"/>
    <n v="21041.26"/>
    <n v="1237.72"/>
    <n v="1026"/>
    <d v="1994-08-16T00:00:00"/>
    <d v="1996-04-24T00:00:00"/>
  </r>
  <r>
    <x v="1"/>
    <x v="17"/>
    <n v="1"/>
    <n v="9"/>
    <n v="9"/>
    <n v="20073.86"/>
    <n v="2230.4299999999998"/>
    <n v="544"/>
    <d v="1994-12-14T00:00:00"/>
    <d v="1996-02-21T00:00:00"/>
  </r>
  <r>
    <x v="10"/>
    <x v="18"/>
    <n v="1"/>
    <n v="11"/>
    <n v="11"/>
    <n v="18534.080000000002"/>
    <n v="1684.92"/>
    <n v="666"/>
    <d v="1994-08-25T00:00:00"/>
    <d v="1996-02-12T00:00:00"/>
  </r>
  <r>
    <x v="6"/>
    <x v="19"/>
    <n v="1"/>
    <n v="11"/>
    <n v="11"/>
    <n v="18089.38"/>
    <n v="1644.49"/>
    <n v="824"/>
    <d v="1995-01-20T00:00:00"/>
    <d v="1996-04-26T00:00:00"/>
  </r>
  <r>
    <x v="2"/>
    <x v="20"/>
    <n v="1"/>
    <n v="9"/>
    <n v="9"/>
    <n v="17797.45"/>
    <n v="1977.49"/>
    <n v="310"/>
    <d v="1995-06-06T00:00:00"/>
    <d v="1996-05-07T00:00:00"/>
  </r>
  <r>
    <x v="0"/>
    <x v="21"/>
    <n v="1"/>
    <n v="14"/>
    <n v="14"/>
    <n v="17631.439999999999"/>
    <n v="1259.3900000000001"/>
    <n v="684"/>
    <d v="1994-09-13T00:00:00"/>
    <d v="1996-04-08T00:00:00"/>
  </r>
  <r>
    <x v="2"/>
    <x v="22"/>
    <n v="1"/>
    <n v="12"/>
    <n v="12"/>
    <n v="17532.36"/>
    <n v="1461.03"/>
    <n v="893"/>
    <d v="1994-08-31T00:00:00"/>
    <d v="1996-03-26T00:00:00"/>
  </r>
  <r>
    <x v="12"/>
    <x v="23"/>
    <n v="1"/>
    <n v="6"/>
    <n v="6"/>
    <n v="16585.009999999998"/>
    <n v="2764.17"/>
    <n v="364"/>
    <d v="1994-11-29T00:00:00"/>
    <d v="1996-01-29T00:00:00"/>
  </r>
  <r>
    <x v="12"/>
    <x v="24"/>
    <n v="1"/>
    <n v="11"/>
    <n v="11"/>
    <n v="15843.92"/>
    <n v="1440.36"/>
    <n v="792"/>
    <d v="1994-12-29T00:00:00"/>
    <d v="1996-05-02T00:00:00"/>
  </r>
  <r>
    <x v="13"/>
    <x v="25"/>
    <n v="1"/>
    <n v="8"/>
    <n v="8"/>
    <n v="15612.88"/>
    <n v="1951.61"/>
    <n v="662"/>
    <d v="1994-08-12T00:00:00"/>
    <d v="1996-04-15T00:00:00"/>
  </r>
  <r>
    <x v="11"/>
    <x v="26"/>
    <n v="1"/>
    <n v="12"/>
    <n v="12"/>
    <n v="15402.68"/>
    <n v="1283.56"/>
    <n v="787"/>
    <d v="1994-09-16T00:00:00"/>
    <d v="1996-05-03T00:00:00"/>
  </r>
  <r>
    <x v="14"/>
    <x v="27"/>
    <n v="1"/>
    <n v="14"/>
    <n v="14"/>
    <n v="15378.7"/>
    <n v="1098.48"/>
    <n v="707"/>
    <d v="1994-08-26T00:00:00"/>
    <d v="1996-01-17T00:00:00"/>
  </r>
  <r>
    <x v="2"/>
    <x v="28"/>
    <n v="1"/>
    <n v="9"/>
    <n v="9"/>
    <n v="14638.06"/>
    <n v="1626.45"/>
    <n v="570"/>
    <d v="1994-10-14T00:00:00"/>
    <d v="1996-04-19T00:00:00"/>
  </r>
  <r>
    <x v="11"/>
    <x v="29"/>
    <n v="1"/>
    <n v="10"/>
    <n v="10"/>
    <n v="13143.38"/>
    <n v="1314.34"/>
    <n v="810"/>
    <d v="1995-02-06T00:00:00"/>
    <d v="1996-04-16T00:00:00"/>
  </r>
  <r>
    <x v="0"/>
    <x v="30"/>
    <n v="1"/>
    <n v="9"/>
    <n v="9"/>
    <n v="11863.8"/>
    <n v="1318.2"/>
    <n v="615"/>
    <d v="1994-08-19T00:00:00"/>
    <d v="1996-05-03T00:00:00"/>
  </r>
  <r>
    <x v="10"/>
    <x v="31"/>
    <n v="1"/>
    <n v="5"/>
    <n v="5"/>
    <n v="11666.9"/>
    <n v="2333.38"/>
    <n v="354"/>
    <d v="1995-02-08T00:00:00"/>
    <d v="1996-01-22T00:00:00"/>
  </r>
  <r>
    <x v="15"/>
    <x v="32"/>
    <n v="2"/>
    <n v="13"/>
    <n v="6.5"/>
    <n v="11472.36"/>
    <n v="882.49"/>
    <n v="533"/>
    <d v="1994-11-14T00:00:00"/>
    <d v="1996-05-08T00:00:00"/>
  </r>
  <r>
    <x v="2"/>
    <x v="33"/>
    <n v="1"/>
    <n v="9"/>
    <n v="9"/>
    <n v="11441.63"/>
    <n v="1271.29"/>
    <n v="327"/>
    <d v="1994-09-01T00:00:00"/>
    <d v="1996-04-24T00:00:00"/>
  </r>
  <r>
    <x v="16"/>
    <x v="34"/>
    <n v="1"/>
    <n v="8"/>
    <n v="8"/>
    <n v="10769.86"/>
    <n v="1346.23"/>
    <n v="352"/>
    <d v="1994-10-12T00:00:00"/>
    <d v="1996-04-12T00:00:00"/>
  </r>
  <r>
    <x v="9"/>
    <x v="35"/>
    <n v="1"/>
    <n v="7"/>
    <n v="7"/>
    <n v="9736.08"/>
    <n v="1390.87"/>
    <n v="320"/>
    <d v="1995-06-07T00:00:00"/>
    <d v="1996-05-07T00:00:00"/>
  </r>
  <r>
    <x v="10"/>
    <x v="36"/>
    <n v="1"/>
    <n v="13"/>
    <n v="13"/>
    <n v="9292.2000000000007"/>
    <n v="714.78"/>
    <n v="432"/>
    <d v="1994-12-12T00:00:00"/>
    <d v="1996-04-02T00:00:00"/>
  </r>
  <r>
    <x v="13"/>
    <x v="37"/>
    <n v="1"/>
    <n v="6"/>
    <n v="6"/>
    <n v="9289.08"/>
    <n v="1548.18"/>
    <n v="373"/>
    <d v="1994-08-11T00:00:00"/>
    <d v="1996-04-19T00:00:00"/>
  </r>
  <r>
    <x v="10"/>
    <x v="38"/>
    <n v="1"/>
    <n v="10"/>
    <n v="10"/>
    <n v="9182.43"/>
    <n v="918.24"/>
    <n v="434"/>
    <d v="1994-08-08T00:00:00"/>
    <d v="1996-02-23T00:00:00"/>
  </r>
  <r>
    <x v="4"/>
    <x v="39"/>
    <n v="1"/>
    <n v="8"/>
    <n v="8"/>
    <n v="8140.54"/>
    <n v="1017.57"/>
    <n v="301"/>
    <d v="1995-02-23T00:00:00"/>
    <d v="1996-04-17T00:00:00"/>
  </r>
  <r>
    <x v="0"/>
    <x v="40"/>
    <n v="1"/>
    <n v="9"/>
    <n v="9"/>
    <n v="8102.62"/>
    <n v="900.29"/>
    <n v="439"/>
    <d v="1994-10-10T00:00:00"/>
    <d v="1995-10-16T00:00:00"/>
  </r>
  <r>
    <x v="17"/>
    <x v="41"/>
    <n v="3"/>
    <n v="14"/>
    <n v="4.67"/>
    <n v="7738.1"/>
    <n v="552.72"/>
    <n v="304"/>
    <d v="1995-02-09T00:00:00"/>
    <d v="1996-04-29T00:00:00"/>
  </r>
  <r>
    <x v="18"/>
    <x v="42"/>
    <n v="1"/>
    <n v="10"/>
    <n v="10"/>
    <n v="7176.22"/>
    <n v="717.62"/>
    <n v="433"/>
    <d v="1994-09-07T00:00:00"/>
    <d v="1996-04-15T00:00:00"/>
  </r>
  <r>
    <x v="5"/>
    <x v="43"/>
    <n v="1"/>
    <n v="10"/>
    <n v="10"/>
    <n v="6146.3"/>
    <n v="614.63"/>
    <n v="295"/>
    <d v="1994-10-27T00:00:00"/>
    <d v="1996-04-05T00:00:00"/>
  </r>
  <r>
    <x v="4"/>
    <x v="44"/>
    <n v="1"/>
    <n v="9"/>
    <n v="9"/>
    <n v="6068.2"/>
    <n v="674.24"/>
    <n v="267"/>
    <d v="1994-08-15T00:00:00"/>
    <d v="1996-04-08T00:00:00"/>
  </r>
  <r>
    <x v="2"/>
    <x v="45"/>
    <n v="2"/>
    <n v="11"/>
    <n v="5.5"/>
    <n v="6044.6"/>
    <n v="549.51"/>
    <n v="145"/>
    <d v="1994-10-18T00:00:00"/>
    <d v="1996-05-01T00:00:00"/>
  </r>
  <r>
    <x v="18"/>
    <x v="46"/>
    <n v="1"/>
    <n v="10"/>
    <n v="10"/>
    <n v="5996.84"/>
    <n v="599.67999999999995"/>
    <n v="283"/>
    <d v="1994-09-23T00:00:00"/>
    <d v="1996-04-10T00:00:00"/>
  </r>
  <r>
    <x v="16"/>
    <x v="47"/>
    <n v="2"/>
    <n v="7"/>
    <n v="3.5"/>
    <n v="5339.14"/>
    <n v="762.73"/>
    <n v="245"/>
    <d v="1994-09-14T00:00:00"/>
    <d v="1996-04-23T00:00:00"/>
  </r>
  <r>
    <x v="19"/>
    <x v="48"/>
    <n v="1"/>
    <n v="5"/>
    <n v="5"/>
    <n v="5112.8"/>
    <n v="1022.56"/>
    <n v="128"/>
    <d v="1995-01-18T00:00:00"/>
    <d v="1996-03-28T00:00:00"/>
  </r>
  <r>
    <x v="0"/>
    <x v="49"/>
    <n v="1"/>
    <n v="5"/>
    <n v="5"/>
    <n v="5042.2"/>
    <n v="1008.44"/>
    <n v="172"/>
    <d v="1994-09-09T00:00:00"/>
    <d v="1996-04-11T00:00:00"/>
  </r>
  <r>
    <x v="10"/>
    <x v="50"/>
    <n v="2"/>
    <n v="7"/>
    <n v="3.5"/>
    <n v="4788.0600000000004"/>
    <n v="684.01"/>
    <n v="149"/>
    <d v="1994-10-21T00:00:00"/>
    <d v="1996-04-23T00:00:00"/>
  </r>
  <r>
    <x v="0"/>
    <x v="51"/>
    <n v="1"/>
    <n v="6"/>
    <n v="6"/>
    <n v="4778.1400000000003"/>
    <n v="796.36"/>
    <n v="253"/>
    <d v="1994-08-05T00:00:00"/>
    <d v="1996-04-22T00:00:00"/>
  </r>
  <r>
    <x v="0"/>
    <x v="52"/>
    <n v="1"/>
    <n v="5"/>
    <n v="5"/>
    <n v="3339.5"/>
    <n v="667.9"/>
    <n v="114"/>
    <d v="1995-09-25T00:00:00"/>
    <d v="1996-04-15T00:00:00"/>
  </r>
  <r>
    <x v="14"/>
    <x v="53"/>
    <n v="1"/>
    <n v="7"/>
    <n v="7"/>
    <n v="3161.35"/>
    <n v="451.62"/>
    <n v="148"/>
    <d v="1995-08-30T00:00:00"/>
    <d v="1996-05-07T00:00:00"/>
  </r>
  <r>
    <x v="2"/>
    <x v="54"/>
    <n v="1"/>
    <n v="4"/>
    <n v="4"/>
    <n v="3076.47"/>
    <n v="769.12"/>
    <n v="181"/>
    <d v="1995-07-26T00:00:00"/>
    <d v="1996-03-14T00:00:00"/>
  </r>
  <r>
    <x v="2"/>
    <x v="55"/>
    <n v="1"/>
    <n v="5"/>
    <n v="5"/>
    <n v="3063.2"/>
    <n v="612.64"/>
    <n v="122"/>
    <d v="1995-01-06T00:00:00"/>
    <d v="1995-10-09T00:00:00"/>
  </r>
  <r>
    <x v="20"/>
    <x v="56"/>
    <n v="1"/>
    <n v="6"/>
    <n v="6"/>
    <n v="2940.35"/>
    <n v="490.06"/>
    <n v="193"/>
    <d v="1995-01-05T00:00:00"/>
    <d v="1996-05-03T00:00:00"/>
  </r>
  <r>
    <x v="0"/>
    <x v="57"/>
    <n v="1"/>
    <n v="6"/>
    <n v="6"/>
    <n v="2381.8000000000002"/>
    <n v="396.97"/>
    <n v="112"/>
    <d v="1995-05-10T00:00:00"/>
    <d v="1996-04-16T00:00:00"/>
  </r>
  <r>
    <x v="10"/>
    <x v="58"/>
    <n v="1"/>
    <n v="3"/>
    <n v="3"/>
    <n v="2213.35"/>
    <n v="737.78"/>
    <n v="38"/>
    <d v="1995-12-13T00:00:00"/>
    <d v="1996-04-19T00:00:00"/>
  </r>
  <r>
    <x v="10"/>
    <x v="59"/>
    <n v="1"/>
    <n v="4"/>
    <n v="4"/>
    <n v="1992.05"/>
    <n v="498.01"/>
    <n v="83"/>
    <d v="1996-02-29T00:00:00"/>
    <d v="1996-04-23T00:00:00"/>
  </r>
  <r>
    <x v="0"/>
    <x v="60"/>
    <n v="1"/>
    <n v="4"/>
    <n v="4"/>
    <n v="1984.36"/>
    <n v="496.09"/>
    <n v="114"/>
    <d v="1994-12-27T00:00:00"/>
    <d v="1996-02-09T00:00:00"/>
  </r>
  <r>
    <x v="2"/>
    <x v="61"/>
    <n v="1"/>
    <n v="3"/>
    <n v="3"/>
    <n v="1947.24"/>
    <n v="649.08000000000004"/>
    <n v="59"/>
    <d v="1995-09-07T00:00:00"/>
    <d v="1996-05-06T00:00:00"/>
  </r>
  <r>
    <x v="2"/>
    <x v="62"/>
    <n v="1"/>
    <n v="3"/>
    <n v="3"/>
    <n v="1571.2"/>
    <n v="523.73"/>
    <n v="89"/>
    <d v="1995-07-20T00:00:00"/>
    <d v="1996-02-08T00:00:00"/>
  </r>
  <r>
    <x v="11"/>
    <x v="63"/>
    <n v="1"/>
    <n v="2"/>
    <n v="2"/>
    <n v="1488.7"/>
    <n v="744.35"/>
    <n v="34"/>
    <d v="1994-08-30T00:00:00"/>
    <d v="1996-01-18T00:00:00"/>
  </r>
  <r>
    <x v="10"/>
    <x v="64"/>
    <n v="1"/>
    <n v="5"/>
    <n v="5"/>
    <n v="1480"/>
    <n v="296"/>
    <n v="98"/>
    <d v="1994-08-04T00:00:00"/>
    <d v="1995-12-13T00:00:00"/>
  </r>
  <r>
    <x v="16"/>
    <x v="65"/>
    <n v="1"/>
    <n v="5"/>
    <n v="5"/>
    <n v="836.7"/>
    <n v="167.34"/>
    <n v="42"/>
    <d v="1994-12-29T00:00:00"/>
    <d v="1996-04-04T00:00:00"/>
  </r>
  <r>
    <x v="6"/>
    <x v="66"/>
    <n v="1"/>
    <n v="3"/>
    <n v="3"/>
    <n v="522.5"/>
    <n v="174.17"/>
    <n v="62"/>
    <d v="1995-05-04T00:00:00"/>
    <d v="1996-02-01T00:00:00"/>
  </r>
  <r>
    <x v="2"/>
    <x v="67"/>
    <n v="1"/>
    <n v="2"/>
    <n v="2"/>
    <n v="357"/>
    <n v="178.5"/>
    <n v="20"/>
    <d v="1995-04-21T00:00:00"/>
    <d v="1995-06-22T00:00:00"/>
  </r>
  <r>
    <x v="18"/>
    <x v="68"/>
    <n v="1"/>
    <n v="4"/>
    <n v="4"/>
    <n v="249.7"/>
    <n v="62.42"/>
    <n v="22"/>
    <d v="1995-02-22T00:00:00"/>
    <d v="1996-01-31T00:00:0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
  <r>
    <x v="0"/>
    <s v="QUICK-Stop"/>
    <s v="Germany"/>
    <n v="27"/>
    <n v="103971.06"/>
    <n v="3850.78"/>
    <n v="10956"/>
    <x v="0"/>
    <s v="Platinum"/>
  </r>
  <r>
    <x v="1"/>
    <s v="Ernst Handel"/>
    <s v="Austria"/>
    <n v="27"/>
    <n v="88226.08"/>
    <n v="3267.63"/>
    <n v="10957"/>
    <x v="1"/>
    <s v="Platinum"/>
  </r>
  <r>
    <x v="2"/>
    <s v="Save-a-lot Markets"/>
    <s v="USA"/>
    <n v="28"/>
    <n v="85023"/>
    <n v="3036.54"/>
    <n v="10952"/>
    <x v="2"/>
    <s v="Platinum"/>
  </r>
  <r>
    <x v="3"/>
    <s v="Rattlesnake Canyon Grocery"/>
    <s v="USA"/>
    <n v="17"/>
    <n v="49842.080000000002"/>
    <n v="2931.89"/>
    <n v="10952"/>
    <x v="1"/>
    <s v="Platinum"/>
  </r>
  <r>
    <x v="4"/>
    <s v="Hungry Owl All-Night Grocers"/>
    <s v="Ireland"/>
    <n v="18"/>
    <n v="48636.959999999999"/>
    <n v="2702.05"/>
    <n v="10959"/>
    <x v="1"/>
    <s v="Platinum"/>
  </r>
  <r>
    <x v="5"/>
    <s v="Hanari Carnes"/>
    <s v="Brazil"/>
    <n v="12"/>
    <n v="30107.37"/>
    <n v="2508.9499999999998"/>
    <n v="10962"/>
    <x v="0"/>
    <s v="Platinum"/>
  </r>
  <r>
    <x v="6"/>
    <s v="MÃ¨re Paillarde"/>
    <s v="Canada"/>
    <n v="13"/>
    <n v="28872.19"/>
    <n v="2220.94"/>
    <n v="11110"/>
    <x v="2"/>
    <s v="Platinum"/>
  </r>
  <r>
    <x v="7"/>
    <s v="Folk och fÃ¤ HB"/>
    <s v="Sweden"/>
    <n v="18"/>
    <n v="28757.56"/>
    <n v="1597.64"/>
    <n v="10952"/>
    <x v="0"/>
    <s v="Platinum"/>
  </r>
  <r>
    <x v="8"/>
    <s v="KÃ¶niglich Essen"/>
    <s v="Germany"/>
    <n v="13"/>
    <n v="28748.38"/>
    <n v="2211.41"/>
    <n v="10999"/>
    <x v="0"/>
    <s v="Platinum"/>
  </r>
  <r>
    <x v="9"/>
    <s v="Berglunds snabbkÃ¶p"/>
    <s v="Sweden"/>
    <n v="18"/>
    <n v="24927.58"/>
    <n v="1384.87"/>
    <n v="10985"/>
    <x v="0"/>
    <s v="Platinum"/>
  </r>
  <r>
    <x v="10"/>
    <s v="Frankenversand"/>
    <s v="Germany"/>
    <n v="14"/>
    <n v="23831.26"/>
    <n v="1702.23"/>
    <n v="10984"/>
    <x v="3"/>
    <s v="Platinum"/>
  </r>
  <r>
    <x v="11"/>
    <s v="Queen Cozinha"/>
    <s v="Brazil"/>
    <n v="12"/>
    <n v="23690.42"/>
    <n v="1974.2"/>
    <n v="10970"/>
    <x v="0"/>
    <s v="Platinum"/>
  </r>
  <r>
    <x v="12"/>
    <s v="SuprÃªmes dÃ©lices"/>
    <s v="Belgium"/>
    <n v="10"/>
    <n v="21601.68"/>
    <n v="2160.17"/>
    <n v="10983"/>
    <x v="0"/>
    <s v="Platinum"/>
  </r>
  <r>
    <x v="13"/>
    <s v="Bon app'"/>
    <s v="France"/>
    <n v="16"/>
    <n v="21170.5"/>
    <n v="1323.16"/>
    <n v="10978"/>
    <x v="3"/>
    <s v="Platinum"/>
  </r>
  <r>
    <x v="14"/>
    <s v="HILARIÃ“N-Abastos"/>
    <s v="Venezuela"/>
    <n v="17"/>
    <n v="21041.26"/>
    <n v="1237.72"/>
    <n v="10964"/>
    <x v="0"/>
    <s v="Platinum"/>
  </r>
  <r>
    <x v="15"/>
    <s v="Piccolo und mehr"/>
    <s v="Austria"/>
    <n v="9"/>
    <n v="20073.86"/>
    <n v="2230.4299999999998"/>
    <n v="11027"/>
    <x v="1"/>
    <s v="Gold"/>
  </r>
  <r>
    <x v="16"/>
    <s v="Blondel pÃ¨re et fils"/>
    <s v="France"/>
    <n v="11"/>
    <n v="18534.080000000002"/>
    <n v="1684.92"/>
    <n v="11036"/>
    <x v="0"/>
    <s v="Platinum"/>
  </r>
  <r>
    <x v="17"/>
    <s v="Bottom-Dollar Markets"/>
    <s v="Canada"/>
    <n v="11"/>
    <n v="18089.38"/>
    <n v="1644.49"/>
    <n v="10962"/>
    <x v="4"/>
    <s v="Platinum"/>
  </r>
  <r>
    <x v="18"/>
    <s v="Great Lakes Food Market"/>
    <s v="USA"/>
    <n v="9"/>
    <n v="17797.45"/>
    <n v="1977.49"/>
    <n v="10951"/>
    <x v="0"/>
    <s v="Gold"/>
  </r>
  <r>
    <x v="19"/>
    <s v="Lehmanns Marktstand"/>
    <s v="Germany"/>
    <n v="14"/>
    <n v="17631.439999999999"/>
    <n v="1259.3900000000001"/>
    <n v="10980"/>
    <x v="1"/>
    <s v="Platinum"/>
  </r>
  <r>
    <x v="20"/>
    <s v="White Clover Markets"/>
    <s v="USA"/>
    <n v="12"/>
    <n v="17532.36"/>
    <n v="1461.03"/>
    <n v="10993"/>
    <x v="0"/>
    <s v="Platinum"/>
  </r>
  <r>
    <x v="21"/>
    <s v="Simons bistro"/>
    <s v="Denmark"/>
    <n v="6"/>
    <n v="16585.009999999998"/>
    <n v="2764.17"/>
    <n v="11050"/>
    <x v="2"/>
    <s v="Gold"/>
  </r>
  <r>
    <x v="22"/>
    <s v="Seven Seas Imports"/>
    <s v="UK"/>
    <n v="9"/>
    <n v="16215.32"/>
    <n v="1801.7"/>
    <n v="11013"/>
    <x v="2"/>
    <s v="Gold"/>
  </r>
  <r>
    <x v="23"/>
    <s v="Vaffeljernet"/>
    <s v="Denmark"/>
    <n v="11"/>
    <n v="15843.92"/>
    <n v="1440.36"/>
    <n v="10956"/>
    <x v="4"/>
    <s v="Platinum"/>
  </r>
  <r>
    <x v="24"/>
    <s v="Richter Supermarkt"/>
    <s v="Switzerland"/>
    <n v="8"/>
    <n v="15612.88"/>
    <n v="1951.61"/>
    <n v="10973"/>
    <x v="3"/>
    <s v="Gold"/>
  </r>
  <r>
    <x v="25"/>
    <s v="LILA-Supermercado"/>
    <s v="Venezuela"/>
    <n v="12"/>
    <n v="15402.68"/>
    <n v="1283.56"/>
    <n v="10955"/>
    <x v="1"/>
    <s v="Platinum"/>
  </r>
  <r>
    <x v="26"/>
    <s v="Wartian Herkku"/>
    <s v="Finland"/>
    <n v="14"/>
    <n v="15378.7"/>
    <n v="1098.48"/>
    <n v="11062"/>
    <x v="1"/>
    <s v="Platinum"/>
  </r>
  <r>
    <x v="27"/>
    <s v="Old World Delicatessen"/>
    <s v="USA"/>
    <n v="9"/>
    <n v="14638.06"/>
    <n v="1626.45"/>
    <n v="10969"/>
    <x v="2"/>
    <s v="Gold"/>
  </r>
  <r>
    <x v="28"/>
    <s v="LINO-Delicateses"/>
    <s v="Venezuela"/>
    <n v="10"/>
    <n v="13143.38"/>
    <n v="1314.34"/>
    <n v="10972"/>
    <x v="2"/>
    <s v="Platinum"/>
  </r>
  <r>
    <x v="29"/>
    <s v="Around the Horn"/>
    <s v="UK"/>
    <n v="12"/>
    <n v="12899.15"/>
    <n v="1074.93"/>
    <n v="10973"/>
    <x v="5"/>
    <s v="Platinum"/>
  </r>
  <r>
    <x v="30"/>
    <s v="Ottilies KÃ¤seladen"/>
    <s v="Germany"/>
    <n v="9"/>
    <n v="11863.8"/>
    <n v="1318.2"/>
    <n v="10955"/>
    <x v="3"/>
    <s v="Gold"/>
  </r>
  <r>
    <x v="31"/>
    <s v="Folies gourmandes"/>
    <s v="France"/>
    <n v="5"/>
    <n v="11666.9"/>
    <n v="2333.38"/>
    <n v="11057"/>
    <x v="2"/>
    <s v="Gold"/>
  </r>
  <r>
    <x v="32"/>
    <s v="Split Rail Beer &amp; Ale"/>
    <s v="USA"/>
    <n v="9"/>
    <n v="11441.63"/>
    <n v="1271.29"/>
    <n v="10964"/>
    <x v="2"/>
    <s v="Gold"/>
  </r>
  <r>
    <x v="33"/>
    <s v="Godos Cocina TÃ­pica"/>
    <s v="Spain"/>
    <n v="8"/>
    <n v="10769.86"/>
    <n v="1346.23"/>
    <n v="10976"/>
    <x v="2"/>
    <s v="Gold"/>
  </r>
  <r>
    <x v="34"/>
    <s v="Ricardo Adocicados"/>
    <s v="Brazil"/>
    <n v="10"/>
    <n v="10612.8"/>
    <n v="1061.28"/>
    <n v="11008"/>
    <x v="2"/>
    <s v="Platinum"/>
  </r>
  <r>
    <x v="35"/>
    <s v="Tortuga Restaurante"/>
    <s v="Mexico"/>
    <n v="9"/>
    <n v="10452.15"/>
    <n v="1161.3499999999999"/>
    <n v="10990"/>
    <x v="0"/>
    <s v="Gold"/>
  </r>
  <r>
    <x v="36"/>
    <s v="Maison Dewey"/>
    <s v="Belgium"/>
    <n v="7"/>
    <n v="9736.08"/>
    <n v="1390.87"/>
    <n v="10951"/>
    <x v="2"/>
    <s v="Gold"/>
  </r>
  <r>
    <x v="37"/>
    <s v="La maison d'Asie"/>
    <s v="France"/>
    <n v="13"/>
    <n v="9292.2000000000007"/>
    <n v="714.78"/>
    <n v="10986"/>
    <x v="0"/>
    <s v="Gold"/>
  </r>
  <r>
    <x v="38"/>
    <s v="Chop-suey Chinese"/>
    <s v="Switzerland"/>
    <n v="6"/>
    <n v="9289.08"/>
    <n v="1548.18"/>
    <n v="10969"/>
    <x v="5"/>
    <s v="Gold"/>
  </r>
  <r>
    <x v="39"/>
    <s v="Victuailles en stock"/>
    <s v="France"/>
    <n v="10"/>
    <n v="9182.43"/>
    <n v="918.24"/>
    <n v="11025"/>
    <x v="0"/>
    <s v="Gold"/>
  </r>
  <r>
    <x v="40"/>
    <s v="Eastern Connection"/>
    <s v="UK"/>
    <n v="5"/>
    <n v="8236.35"/>
    <n v="1647.27"/>
    <n v="10958"/>
    <x v="1"/>
    <s v="Gold"/>
  </r>
  <r>
    <x v="41"/>
    <s v="Gourmet Lanchonetes"/>
    <s v="Brazil"/>
    <n v="8"/>
    <n v="8140.54"/>
    <n v="1017.57"/>
    <n v="10971"/>
    <x v="5"/>
    <s v="Gold"/>
  </r>
  <r>
    <x v="42"/>
    <s v="Die Wandernde Kuh"/>
    <s v="Germany"/>
    <n v="9"/>
    <n v="8102.62"/>
    <n v="900.29"/>
    <n v="11155"/>
    <x v="1"/>
    <s v="Gold"/>
  </r>
  <r>
    <x v="43"/>
    <s v="Magazzini Alimentari Riuniti"/>
    <s v="Italy"/>
    <n v="10"/>
    <n v="7176.22"/>
    <n v="717.62"/>
    <n v="10973"/>
    <x v="0"/>
    <s v="Gold"/>
  </r>
  <r>
    <x v="44"/>
    <s v="Antonio Moreno TaquerÃ­a"/>
    <s v="Mexico"/>
    <n v="7"/>
    <n v="7023.98"/>
    <n v="1003.43"/>
    <n v="11020"/>
    <x v="0"/>
    <s v="Gold"/>
  </r>
  <r>
    <x v="45"/>
    <s v="TradiÃ§Ã£o Hipermercados"/>
    <s v="Brazil"/>
    <n v="6"/>
    <n v="6850.66"/>
    <n v="1141.78"/>
    <n v="11029"/>
    <x v="2"/>
    <s v="Gold"/>
  </r>
  <r>
    <x v="46"/>
    <s v="Que DelÃ­cia"/>
    <s v="Brazil"/>
    <n v="9"/>
    <n v="6664.81"/>
    <n v="740.53"/>
    <n v="10958"/>
    <x v="4"/>
    <s v="Gold"/>
  </r>
  <r>
    <x v="47"/>
    <s v="Furia Bacalhau e Frutos do Mar"/>
    <s v="Portugal"/>
    <n v="8"/>
    <n v="6427.42"/>
    <n v="803.43"/>
    <n v="10970"/>
    <x v="4"/>
    <s v="Gold"/>
  </r>
  <r>
    <x v="48"/>
    <s v="Island Trading"/>
    <s v="UK"/>
    <n v="10"/>
    <n v="6146.3"/>
    <n v="614.63"/>
    <n v="10983"/>
    <x v="0"/>
    <s v="Gold"/>
  </r>
  <r>
    <x v="49"/>
    <s v="Wellington Importadora"/>
    <s v="Brazil"/>
    <n v="9"/>
    <n v="6068.2"/>
    <n v="674.24"/>
    <n v="10980"/>
    <x v="0"/>
    <s v="Gold"/>
  </r>
  <r>
    <x v="50"/>
    <s v="Reggiani Caseifici"/>
    <s v="Italy"/>
    <n v="10"/>
    <n v="5996.84"/>
    <n v="599.67999999999995"/>
    <n v="10978"/>
    <x v="1"/>
    <s v="Gold"/>
  </r>
  <r>
    <x v="51"/>
    <s v="SantÃ© Gourmet"/>
    <s v="Norway"/>
    <n v="5"/>
    <n v="5112.8"/>
    <n v="1022.56"/>
    <n v="10991"/>
    <x v="0"/>
    <s v="Gold"/>
  </r>
  <r>
    <x v="52"/>
    <s v="Princesa Isabel Vinhos"/>
    <s v="Portugal"/>
    <n v="5"/>
    <n v="5044.9399999999996"/>
    <n v="1008.99"/>
    <n v="10950"/>
    <x v="5"/>
    <s v="Gold"/>
  </r>
  <r>
    <x v="53"/>
    <s v="Morgenstern Gesundkost"/>
    <s v="Germany"/>
    <n v="5"/>
    <n v="5042.2"/>
    <n v="1008.44"/>
    <n v="10977"/>
    <x v="2"/>
    <s v="Gold"/>
  </r>
  <r>
    <x v="54"/>
    <s v="Toms SpezialitÃ¤ten"/>
    <s v="Germany"/>
    <n v="6"/>
    <n v="4778.1400000000003"/>
    <n v="796.36"/>
    <n v="10966"/>
    <x v="0"/>
    <s v="Silver"/>
  </r>
  <r>
    <x v="55"/>
    <s v="B's Beverages"/>
    <s v="UK"/>
    <n v="9"/>
    <n v="4589.8999999999996"/>
    <n v="509.99"/>
    <n v="10976"/>
    <x v="5"/>
    <s v="Silver"/>
  </r>
  <r>
    <x v="56"/>
    <s v="BÃ³lido Comidas preparadas"/>
    <s v="Spain"/>
    <n v="3"/>
    <n v="4232.8500000000004"/>
    <n v="1410.95"/>
    <n v="10965"/>
    <x v="5"/>
    <s v="Silver"/>
  </r>
  <r>
    <x v="57"/>
    <s v="Familia Arquibaldo"/>
    <s v="Brazil"/>
    <n v="7"/>
    <n v="4107.55"/>
    <n v="586.79"/>
    <n v="11109"/>
    <x v="0"/>
    <s v="Silver"/>
  </r>
  <r>
    <x v="58"/>
    <s v="Pericles Comidas clÃ¡sicas"/>
    <s v="Mexico"/>
    <n v="5"/>
    <n v="3942.2"/>
    <n v="788.44"/>
    <n v="10956"/>
    <x v="0"/>
    <s v="Silver"/>
  </r>
  <r>
    <x v="59"/>
    <s v="OcÃ©ano AtlÃ¡ntico Ltda."/>
    <s v="Argentina"/>
    <n v="5"/>
    <n v="3460.2"/>
    <n v="692.04"/>
    <n v="10959"/>
    <x v="1"/>
    <s v="Silver"/>
  </r>
  <r>
    <x v="60"/>
    <s v="ComÃ©rcio Mineiro"/>
    <s v="Brazil"/>
    <n v="4"/>
    <n v="3405"/>
    <n v="851.25"/>
    <n v="10966"/>
    <x v="3"/>
    <s v="Silver"/>
  </r>
  <r>
    <x v="61"/>
    <s v="The Big Cheese"/>
    <s v="USA"/>
    <n v="4"/>
    <n v="3361"/>
    <n v="840.25"/>
    <n v="10957"/>
    <x v="0"/>
    <s v="Silver"/>
  </r>
  <r>
    <x v="62"/>
    <s v="Alfreds Futterkiste"/>
    <s v="Germany"/>
    <n v="5"/>
    <n v="3339.5"/>
    <n v="667.9"/>
    <n v="10973"/>
    <x v="4"/>
    <s v="Silver"/>
  </r>
  <r>
    <x v="63"/>
    <s v="France restauration"/>
    <s v="France"/>
    <n v="3"/>
    <n v="3172.16"/>
    <n v="1057.3900000000001"/>
    <n v="10965"/>
    <x v="0"/>
    <s v="Silver"/>
  </r>
  <r>
    <x v="64"/>
    <s v="Wilman Kala"/>
    <s v="Finland"/>
    <n v="7"/>
    <n v="3161.35"/>
    <n v="451.62"/>
    <n v="10951"/>
    <x v="0"/>
    <s v="Silver"/>
  </r>
  <r>
    <x v="65"/>
    <s v="Let's Stop N Shop"/>
    <s v="USA"/>
    <n v="4"/>
    <n v="3076.47"/>
    <n v="769.12"/>
    <n v="11005"/>
    <x v="4"/>
    <s v="Silver"/>
  </r>
  <r>
    <x v="66"/>
    <s v="Hungry Coyote Import Store"/>
    <s v="USA"/>
    <n v="5"/>
    <n v="3063.2"/>
    <n v="612.64"/>
    <n v="11162"/>
    <x v="6"/>
    <s v="Silver"/>
  </r>
  <r>
    <x v="67"/>
    <s v="Wolski  Zajazd"/>
    <s v="Poland"/>
    <n v="6"/>
    <n v="2940.35"/>
    <n v="490.06"/>
    <n v="10955"/>
    <x v="0"/>
    <s v="Silver"/>
  </r>
  <r>
    <x v="68"/>
    <s v="Rancho grande"/>
    <s v="Argentina"/>
    <n v="4"/>
    <n v="2768.1"/>
    <n v="692.02"/>
    <n v="10990"/>
    <x v="2"/>
    <s v="Silver"/>
  </r>
  <r>
    <x v="69"/>
    <s v="Lonesome Pine Restaurant"/>
    <s v="USA"/>
    <n v="7"/>
    <n v="2683.6"/>
    <n v="383.37"/>
    <n v="11005"/>
    <x v="0"/>
    <s v="Silver"/>
  </r>
  <r>
    <x v="70"/>
    <s v="Blauer See Delikatessen"/>
    <s v="Germany"/>
    <n v="6"/>
    <n v="2381.8000000000002"/>
    <n v="396.97"/>
    <n v="10972"/>
    <x v="0"/>
    <s v="Silver"/>
  </r>
  <r>
    <x v="71"/>
    <s v="SpÃ©cialitÃ©s du monde"/>
    <s v="France"/>
    <n v="3"/>
    <n v="2213.35"/>
    <n v="737.78"/>
    <n v="10969"/>
    <x v="0"/>
    <s v="Silver"/>
  </r>
  <r>
    <x v="72"/>
    <s v="La corne d'abondance"/>
    <s v="France"/>
    <n v="4"/>
    <n v="1992.05"/>
    <n v="498.01"/>
    <n v="10965"/>
    <x v="0"/>
    <s v="Bronze"/>
  </r>
  <r>
    <x v="73"/>
    <s v="Drachenblut Delikatessen"/>
    <s v="Germany"/>
    <n v="4"/>
    <n v="1984.36"/>
    <n v="496.09"/>
    <n v="11039"/>
    <x v="1"/>
    <s v="Bronze"/>
  </r>
  <r>
    <x v="74"/>
    <s v="The Cracker Box"/>
    <s v="USA"/>
    <n v="3"/>
    <n v="1947.24"/>
    <n v="649.08000000000004"/>
    <n v="10952"/>
    <x v="0"/>
    <s v="Bronze"/>
  </r>
  <r>
    <x v="75"/>
    <s v="Consolidated Holdings"/>
    <s v="UK"/>
    <n v="3"/>
    <n v="1719.1"/>
    <n v="573.03"/>
    <n v="11025"/>
    <x v="5"/>
    <s v="Bronze"/>
  </r>
  <r>
    <x v="76"/>
    <s v="Du monde entier"/>
    <s v="France"/>
    <n v="4"/>
    <n v="1615.9"/>
    <n v="403.98"/>
    <n v="11001"/>
    <x v="0"/>
    <s v="Bronze"/>
  </r>
  <r>
    <x v="77"/>
    <s v="Trail's Head Gourmet Provisioners"/>
    <s v="USA"/>
    <n v="3"/>
    <n v="1571.2"/>
    <n v="523.73"/>
    <n v="11040"/>
    <x v="0"/>
    <s v="Bronze"/>
  </r>
  <r>
    <x v="78"/>
    <s v="Cactus Comidas para llevar"/>
    <s v="Argentina"/>
    <n v="5"/>
    <n v="1509.8"/>
    <n v="301.95999999999998"/>
    <n v="10979"/>
    <x v="0"/>
    <s v="Bronze"/>
  </r>
  <r>
    <x v="79"/>
    <s v="GROSELLA-Restaurante"/>
    <s v="Venezuela"/>
    <n v="2"/>
    <n v="1488.7"/>
    <n v="744.35"/>
    <n v="11061"/>
    <x v="0"/>
    <s v="Bronze"/>
  </r>
  <r>
    <x v="80"/>
    <s v="Vins et alcools Chevalier"/>
    <s v="France"/>
    <n v="5"/>
    <n v="1480"/>
    <n v="296"/>
    <n v="11097"/>
    <x v="5"/>
    <s v="Bronze"/>
  </r>
  <r>
    <x v="81"/>
    <s v="Ana Trujillo Emparedados y helados"/>
    <s v="Mexico"/>
    <n v="4"/>
    <n v="1402.95"/>
    <n v="350.74"/>
    <n v="10985"/>
    <x v="1"/>
    <s v="Bronze"/>
  </r>
  <r>
    <x v="82"/>
    <s v="Romero y tomillo"/>
    <s v="Spain"/>
    <n v="4"/>
    <n v="1106.29"/>
    <n v="276.57"/>
    <n v="10987"/>
    <x v="3"/>
    <s v="Bronze"/>
  </r>
  <r>
    <x v="83"/>
    <s v="GalerÃ­a del gastrÃ³nomo"/>
    <s v="Spain"/>
    <n v="5"/>
    <n v="836.7"/>
    <n v="167.34"/>
    <n v="10984"/>
    <x v="2"/>
    <s v="Bronze"/>
  </r>
  <r>
    <x v="84"/>
    <s v="North/South"/>
    <s v="UK"/>
    <n v="2"/>
    <n v="604"/>
    <n v="302"/>
    <n v="11085"/>
    <x v="0"/>
    <s v="Bronze"/>
  </r>
  <r>
    <x v="85"/>
    <s v="Laughing Bacchus Wine Cellars"/>
    <s v="Canada"/>
    <n v="3"/>
    <n v="522.5"/>
    <n v="174.17"/>
    <n v="11047"/>
    <x v="0"/>
    <s v="Bronze"/>
  </r>
  <r>
    <x v="86"/>
    <s v="Lazy K Kountry Store"/>
    <s v="USA"/>
    <n v="2"/>
    <n v="357"/>
    <n v="178.5"/>
    <n v="11271"/>
    <x v="1"/>
    <s v="Bronze"/>
  </r>
  <r>
    <x v="87"/>
    <s v="Franchi S.p.A."/>
    <s v="Italy"/>
    <n v="4"/>
    <n v="249.7"/>
    <n v="62.42"/>
    <n v="11048"/>
    <x v="2"/>
    <s v="Bronze"/>
  </r>
  <r>
    <x v="88"/>
    <s v="Centro comercial Moctezuma"/>
    <s v="Mexico"/>
    <n v="1"/>
    <n v="100.8"/>
    <n v="100.8"/>
    <n v="11579"/>
    <x v="2"/>
    <s v="Bronze"/>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n v="1"/>
    <x v="0"/>
    <n v="354"/>
    <n v="9532"/>
    <n v="267868.18"/>
    <n v="21.16"/>
    <n v="29.24"/>
  </r>
  <r>
    <n v="4"/>
    <x v="1"/>
    <n v="303"/>
    <n v="9149"/>
    <n v="234507.28"/>
    <n v="18.53"/>
    <n v="26.98"/>
  </r>
  <r>
    <n v="3"/>
    <x v="2"/>
    <n v="295"/>
    <n v="7906"/>
    <n v="167357.22"/>
    <n v="13.22"/>
    <n v="22.6"/>
  </r>
  <r>
    <n v="6"/>
    <x v="3"/>
    <n v="161"/>
    <n v="4199"/>
    <n v="163022.35999999999"/>
    <n v="12.88"/>
    <n v="42.87"/>
  </r>
  <r>
    <n v="8"/>
    <x v="4"/>
    <n v="291"/>
    <n v="7681"/>
    <n v="131261.74"/>
    <n v="10.37"/>
    <n v="19.059999999999999"/>
  </r>
  <r>
    <n v="2"/>
    <x v="5"/>
    <n v="193"/>
    <n v="5298"/>
    <n v="106047.09"/>
    <n v="8.3800000000000008"/>
    <n v="21.32"/>
  </r>
  <r>
    <n v="7"/>
    <x v="6"/>
    <n v="129"/>
    <n v="2990"/>
    <n v="99984.58"/>
    <n v="7.9"/>
    <n v="35.19"/>
  </r>
  <r>
    <n v="5"/>
    <x v="7"/>
    <n v="182"/>
    <n v="4562"/>
    <n v="95744.59"/>
    <n v="7.56"/>
    <n v="21.2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
  <r>
    <n v="38"/>
    <x v="0"/>
    <s v="Beverages"/>
    <n v="24"/>
    <n v="623"/>
    <n v="141396.73000000001"/>
    <n v="52.79"/>
    <n v="245.93"/>
  </r>
  <r>
    <n v="29"/>
    <x v="1"/>
    <s v="Meat/Poultry"/>
    <n v="32"/>
    <n v="746"/>
    <n v="80368.67"/>
    <n v="49.3"/>
    <n v="116.04"/>
  </r>
  <r>
    <n v="59"/>
    <x v="2"/>
    <s v="Dairy Products"/>
    <n v="54"/>
    <n v="1496"/>
    <n v="71155.7"/>
    <n v="30.34"/>
    <n v="51.13"/>
  </r>
  <r>
    <n v="62"/>
    <x v="3"/>
    <s v="Confections"/>
    <n v="48"/>
    <n v="1083"/>
    <n v="47234.97"/>
    <n v="28.22"/>
    <n v="46.41"/>
  </r>
  <r>
    <n v="60"/>
    <x v="4"/>
    <s v="Dairy Products"/>
    <n v="51"/>
    <n v="1577"/>
    <n v="46825.48"/>
    <n v="19.97"/>
    <n v="32.130000000000003"/>
  </r>
  <r>
    <n v="56"/>
    <x v="5"/>
    <s v="Grains/Cereals"/>
    <n v="50"/>
    <n v="1263"/>
    <n v="42593.06"/>
    <n v="44.49"/>
    <n v="35.42"/>
  </r>
  <r>
    <n v="51"/>
    <x v="6"/>
    <s v="Produce"/>
    <n v="39"/>
    <n v="886"/>
    <n v="41819.65"/>
    <n v="41.83"/>
    <n v="50.55"/>
  </r>
  <r>
    <n v="17"/>
    <x v="7"/>
    <s v="Meat/Poultry"/>
    <n v="37"/>
    <n v="978"/>
    <n v="32698.38"/>
    <n v="20.059999999999999"/>
    <n v="36.47"/>
  </r>
  <r>
    <n v="18"/>
    <x v="8"/>
    <s v="Seafood"/>
    <n v="27"/>
    <n v="539"/>
    <n v="29171.88"/>
    <n v="22.22"/>
    <n v="59.72"/>
  </r>
  <r>
    <n v="28"/>
    <x v="9"/>
    <s v="Produce"/>
    <n v="33"/>
    <n v="640"/>
    <n v="25696.639999999999"/>
    <n v="25.7"/>
    <n v="41.98"/>
  </r>
  <r>
    <n v="72"/>
    <x v="10"/>
    <s v="Dairy Products"/>
    <n v="38"/>
    <n v="806"/>
    <n v="24900.13"/>
    <n v="10.62"/>
    <n v="32.04"/>
  </r>
  <r>
    <n v="43"/>
    <x v="11"/>
    <s v="Beverages"/>
    <n v="28"/>
    <n v="580"/>
    <n v="23526.7"/>
    <n v="8.7799999999999994"/>
    <n v="43.04"/>
  </r>
  <r>
    <n v="20"/>
    <x v="12"/>
    <s v="Confections"/>
    <n v="16"/>
    <n v="313"/>
    <n v="22563.360000000001"/>
    <n v="13.48"/>
    <n v="75.94"/>
  </r>
  <r>
    <n v="7"/>
    <x v="13"/>
    <s v="Produce"/>
    <n v="29"/>
    <n v="763"/>
    <n v="22044.3"/>
    <n v="22.05"/>
    <n v="29.17"/>
  </r>
  <r>
    <n v="64"/>
    <x v="14"/>
    <s v="Grains/Cereals"/>
    <n v="30"/>
    <n v="740"/>
    <n v="21957.97"/>
    <n v="22.93"/>
    <n v="31.03"/>
  </r>
  <r>
    <n v="69"/>
    <x v="15"/>
    <s v="Dairy Products"/>
    <n v="31"/>
    <n v="714"/>
    <n v="21942.36"/>
    <n v="9.36"/>
    <n v="33.450000000000003"/>
  </r>
  <r>
    <n v="10"/>
    <x v="16"/>
    <s v="Seafood"/>
    <n v="33"/>
    <n v="742"/>
    <n v="20867.34"/>
    <n v="15.9"/>
    <n v="29.68"/>
  </r>
  <r>
    <n v="53"/>
    <x v="17"/>
    <s v="Meat/Poultry"/>
    <n v="30"/>
    <n v="722"/>
    <n v="20574.169999999998"/>
    <n v="12.62"/>
    <n v="30.16"/>
  </r>
  <r>
    <n v="26"/>
    <x v="18"/>
    <s v="Confections"/>
    <n v="32"/>
    <n v="753"/>
    <n v="19849.14"/>
    <n v="11.86"/>
    <n v="28.86"/>
  </r>
  <r>
    <n v="71"/>
    <x v="19"/>
    <s v="Dairy Products"/>
    <n v="42"/>
    <n v="1057"/>
    <n v="19551.03"/>
    <n v="8.34"/>
    <n v="19.760000000000002"/>
  </r>
  <r>
    <n v="40"/>
    <x v="20"/>
    <s v="Seafood"/>
    <n v="41"/>
    <n v="1103"/>
    <n v="17910.63"/>
    <n v="13.64"/>
    <n v="17.23"/>
  </r>
  <r>
    <n v="55"/>
    <x v="21"/>
    <s v="Meat/Poultry"/>
    <n v="33"/>
    <n v="903"/>
    <n v="17426.400000000001"/>
    <n v="10.69"/>
    <n v="22.4"/>
  </r>
  <r>
    <n v="16"/>
    <x v="22"/>
    <s v="Confections"/>
    <n v="43"/>
    <n v="1158"/>
    <n v="17215.78"/>
    <n v="10.29"/>
    <n v="16.38"/>
  </r>
  <r>
    <n v="63"/>
    <x v="23"/>
    <s v="Condiments"/>
    <n v="17"/>
    <n v="445"/>
    <n v="16701.099999999999"/>
    <n v="15.75"/>
    <n v="40.79"/>
  </r>
  <r>
    <n v="2"/>
    <x v="24"/>
    <s v="Beverages"/>
    <n v="44"/>
    <n v="1057"/>
    <n v="16355.96"/>
    <n v="6.11"/>
    <n v="17.88"/>
  </r>
  <r>
    <n v="76"/>
    <x v="25"/>
    <s v="Beverages"/>
    <n v="39"/>
    <n v="981"/>
    <n v="15760.44"/>
    <n v="5.88"/>
    <n v="16.98"/>
  </r>
  <r>
    <n v="27"/>
    <x v="26"/>
    <s v="Confections"/>
    <n v="9"/>
    <n v="365"/>
    <n v="15099.88"/>
    <n v="9.02"/>
    <n v="40.97"/>
  </r>
  <r>
    <n v="31"/>
    <x v="27"/>
    <s v="Dairy Products"/>
    <n v="51"/>
    <n v="1397"/>
    <n v="14920.88"/>
    <n v="6.36"/>
    <n v="11.67"/>
  </r>
  <r>
    <n v="61"/>
    <x v="28"/>
    <s v="Condiments"/>
    <n v="24"/>
    <n v="603"/>
    <n v="14352.6"/>
    <n v="13.53"/>
    <n v="27.79"/>
  </r>
  <r>
    <n v="65"/>
    <x v="29"/>
    <s v="Condiments"/>
    <n v="32"/>
    <n v="745"/>
    <n v="13869.89"/>
    <n v="13.08"/>
    <n v="19.46"/>
  </r>
  <r>
    <n v="35"/>
    <x v="30"/>
    <s v="Beverages"/>
    <n v="36"/>
    <n v="883"/>
    <n v="13644"/>
    <n v="5.09"/>
    <n v="17"/>
  </r>
  <r>
    <n v="36"/>
    <x v="31"/>
    <s v="Seafood"/>
    <n v="31"/>
    <n v="805"/>
    <n v="13458.46"/>
    <n v="10.25"/>
    <n v="17.899999999999999"/>
  </r>
  <r>
    <n v="30"/>
    <x v="32"/>
    <s v="Seafood"/>
    <n v="32"/>
    <n v="612"/>
    <n v="13424.2"/>
    <n v="10.23"/>
    <n v="24.27"/>
  </r>
  <r>
    <n v="11"/>
    <x v="33"/>
    <s v="Dairy Products"/>
    <n v="38"/>
    <n v="706"/>
    <n v="12901.77"/>
    <n v="5.5"/>
    <n v="19.600000000000001"/>
  </r>
  <r>
    <n v="1"/>
    <x v="34"/>
    <s v="Beverages"/>
    <n v="38"/>
    <n v="828"/>
    <n v="12788.1"/>
    <n v="4.7699999999999996"/>
    <n v="17.149999999999999"/>
  </r>
  <r>
    <n v="8"/>
    <x v="35"/>
    <s v="Condiments"/>
    <n v="13"/>
    <n v="372"/>
    <n v="12772"/>
    <n v="12.04"/>
    <n v="38.770000000000003"/>
  </r>
  <r>
    <n v="39"/>
    <x v="36"/>
    <s v="Beverages"/>
    <n v="30"/>
    <n v="793"/>
    <n v="12294.54"/>
    <n v="4.59"/>
    <n v="16.68"/>
  </r>
  <r>
    <n v="12"/>
    <x v="37"/>
    <s v="Dairy Products"/>
    <n v="14"/>
    <n v="344"/>
    <n v="12257.66"/>
    <n v="5.23"/>
    <n v="36.909999999999997"/>
  </r>
  <r>
    <n v="70"/>
    <x v="38"/>
    <s v="Beverages"/>
    <n v="39"/>
    <n v="817"/>
    <n v="10672.65"/>
    <n v="3.98"/>
    <n v="14.15"/>
  </r>
  <r>
    <n v="44"/>
    <x v="39"/>
    <s v="Condiments"/>
    <n v="24"/>
    <n v="601"/>
    <n v="9915.94"/>
    <n v="9.35"/>
    <n v="18.13"/>
  </r>
  <r>
    <n v="49"/>
    <x v="40"/>
    <s v="Confections"/>
    <n v="21"/>
    <n v="520"/>
    <n v="9244.6"/>
    <n v="5.52"/>
    <n v="18.48"/>
  </r>
  <r>
    <n v="77"/>
    <x v="41"/>
    <s v="Condiments"/>
    <n v="38"/>
    <n v="791"/>
    <n v="9171.6299999999992"/>
    <n v="8.65"/>
    <n v="12.11"/>
  </r>
  <r>
    <n v="21"/>
    <x v="42"/>
    <s v="Confections"/>
    <n v="39"/>
    <n v="1016"/>
    <n v="9104"/>
    <n v="5.44"/>
    <n v="9.3800000000000008"/>
  </r>
  <r>
    <n v="68"/>
    <x v="43"/>
    <s v="Confections"/>
    <n v="34"/>
    <n v="799"/>
    <n v="8714"/>
    <n v="5.21"/>
    <n v="11.54"/>
  </r>
  <r>
    <n v="41"/>
    <x v="44"/>
    <s v="Seafood"/>
    <n v="47"/>
    <n v="981"/>
    <n v="8680.35"/>
    <n v="6.61"/>
    <n v="9.19"/>
  </r>
  <r>
    <n v="42"/>
    <x v="45"/>
    <s v="Grains/Cereals"/>
    <n v="30"/>
    <n v="697"/>
    <n v="8575"/>
    <n v="8.9600000000000009"/>
    <n v="13.21"/>
  </r>
  <r>
    <n v="4"/>
    <x v="46"/>
    <s v="Condiments"/>
    <n v="20"/>
    <n v="453"/>
    <n v="8567.9"/>
    <n v="8.08"/>
    <n v="20.68"/>
  </r>
  <r>
    <n v="32"/>
    <x v="47"/>
    <s v="Dairy Products"/>
    <n v="15"/>
    <n v="297"/>
    <n v="8404.16"/>
    <n v="3.58"/>
    <n v="30.72"/>
  </r>
  <r>
    <n v="75"/>
    <x v="48"/>
    <s v="Beverages"/>
    <n v="46"/>
    <n v="1155"/>
    <n v="8177.49"/>
    <n v="3.05"/>
    <n v="7.38"/>
  </r>
  <r>
    <n v="14"/>
    <x v="49"/>
    <s v="Produce"/>
    <n v="22"/>
    <n v="404"/>
    <n v="7991.49"/>
    <n v="7.99"/>
    <n v="21.35"/>
  </r>
  <r>
    <n v="57"/>
    <x v="50"/>
    <s v="Grains/Cereals"/>
    <n v="23"/>
    <n v="434"/>
    <n v="7661.55"/>
    <n v="8"/>
    <n v="18.14"/>
  </r>
  <r>
    <n v="9"/>
    <x v="51"/>
    <s v="Meat/Poultry"/>
    <n v="5"/>
    <n v="95"/>
    <n v="7226.5"/>
    <n v="4.43"/>
    <n v="93.12"/>
  </r>
  <r>
    <n v="6"/>
    <x v="52"/>
    <s v="Condiments"/>
    <n v="12"/>
    <n v="301"/>
    <n v="7137"/>
    <n v="6.73"/>
    <n v="24.17"/>
  </r>
  <r>
    <n v="22"/>
    <x v="53"/>
    <s v="Grains/Cereals"/>
    <n v="14"/>
    <n v="348"/>
    <n v="7122.36"/>
    <n v="7.44"/>
    <n v="20.399999999999999"/>
  </r>
  <r>
    <n v="34"/>
    <x v="54"/>
    <s v="Beverages"/>
    <n v="19"/>
    <n v="506"/>
    <n v="6350.4"/>
    <n v="2.37"/>
    <n v="12.97"/>
  </r>
  <r>
    <n v="46"/>
    <x v="55"/>
    <s v="Seafood"/>
    <n v="27"/>
    <n v="548"/>
    <n v="5883"/>
    <n v="4.4800000000000004"/>
    <n v="11.11"/>
  </r>
  <r>
    <n v="58"/>
    <x v="56"/>
    <s v="Seafood"/>
    <n v="18"/>
    <n v="534"/>
    <n v="5881.68"/>
    <n v="4.4800000000000004"/>
    <n v="12.66"/>
  </r>
  <r>
    <n v="19"/>
    <x v="57"/>
    <s v="Confections"/>
    <n v="37"/>
    <n v="723"/>
    <n v="5862.62"/>
    <n v="3.5"/>
    <n v="8.5299999999999994"/>
  </r>
  <r>
    <n v="5"/>
    <x v="58"/>
    <s v="Condiments"/>
    <n v="10"/>
    <n v="298"/>
    <n v="5347.2"/>
    <n v="5.04"/>
    <n v="19.61"/>
  </r>
  <r>
    <n v="13"/>
    <x v="59"/>
    <s v="Seafood"/>
    <n v="40"/>
    <n v="891"/>
    <n v="4960.4399999999996"/>
    <n v="3.78"/>
    <n v="5.76"/>
  </r>
  <r>
    <n v="54"/>
    <x v="60"/>
    <s v="Meat/Poultry"/>
    <n v="36"/>
    <n v="755"/>
    <n v="4728.24"/>
    <n v="2.9"/>
    <n v="6.8"/>
  </r>
  <r>
    <n v="23"/>
    <x v="61"/>
    <s v="Grains/Cereals"/>
    <n v="20"/>
    <n v="580"/>
    <n v="4601.7"/>
    <n v="4.8099999999999996"/>
    <n v="8.3699999999999992"/>
  </r>
  <r>
    <n v="24"/>
    <x v="62"/>
    <s v="Beverages"/>
    <n v="51"/>
    <n v="1125"/>
    <n v="4504.3599999999997"/>
    <n v="1.68"/>
    <n v="4.24"/>
  </r>
  <r>
    <n v="45"/>
    <x v="63"/>
    <s v="Seafood"/>
    <n v="14"/>
    <n v="508"/>
    <n v="4338.17"/>
    <n v="3.3"/>
    <n v="9.23"/>
  </r>
  <r>
    <n v="73"/>
    <x v="64"/>
    <s v="Seafood"/>
    <n v="14"/>
    <n v="293"/>
    <n v="3997.2"/>
    <n v="3.05"/>
    <n v="14.36"/>
  </r>
  <r>
    <n v="47"/>
    <x v="65"/>
    <s v="Confections"/>
    <n v="21"/>
    <n v="485"/>
    <n v="3958.08"/>
    <n v="2.37"/>
    <n v="9.14"/>
  </r>
  <r>
    <n v="25"/>
    <x v="66"/>
    <s v="Confections"/>
    <n v="18"/>
    <n v="318"/>
    <n v="3704.4"/>
    <n v="2.21"/>
    <n v="13.07"/>
  </r>
  <r>
    <n v="50"/>
    <x v="67"/>
    <s v="Confections"/>
    <n v="10"/>
    <n v="235"/>
    <n v="3437.69"/>
    <n v="2.0499999999999998"/>
    <n v="14.95"/>
  </r>
  <r>
    <n v="66"/>
    <x v="68"/>
    <s v="Condiments"/>
    <n v="8"/>
    <n v="239"/>
    <n v="3383"/>
    <n v="3.19"/>
    <n v="15.3"/>
  </r>
  <r>
    <n v="52"/>
    <x v="69"/>
    <s v="Grains/Cereals"/>
    <n v="29"/>
    <n v="500"/>
    <n v="3232.95"/>
    <n v="3.38"/>
    <n v="6.76"/>
  </r>
  <r>
    <n v="3"/>
    <x v="70"/>
    <s v="Condiments"/>
    <n v="12"/>
    <n v="328"/>
    <n v="3044"/>
    <n v="2.87"/>
    <n v="9.5"/>
  </r>
  <r>
    <n v="37"/>
    <x v="71"/>
    <s v="Seafood"/>
    <n v="6"/>
    <n v="125"/>
    <n v="2688.4"/>
    <n v="2.0499999999999998"/>
    <n v="23.4"/>
  </r>
  <r>
    <n v="74"/>
    <x v="72"/>
    <s v="Produce"/>
    <n v="13"/>
    <n v="297"/>
    <n v="2432.5"/>
    <n v="2.4300000000000002"/>
    <n v="8.77"/>
  </r>
  <r>
    <n v="67"/>
    <x v="73"/>
    <s v="Beverages"/>
    <n v="10"/>
    <n v="184"/>
    <n v="2396.8000000000002"/>
    <n v="0.89"/>
    <n v="13.72"/>
  </r>
  <r>
    <n v="15"/>
    <x v="74"/>
    <s v="Condiments"/>
    <n v="6"/>
    <n v="122"/>
    <n v="1784.82"/>
    <n v="1.68"/>
    <n v="14.47"/>
  </r>
  <r>
    <n v="33"/>
    <x v="75"/>
    <s v="Dairy Products"/>
    <n v="32"/>
    <n v="755"/>
    <n v="1648.12"/>
    <n v="0.7"/>
    <n v="2.33"/>
  </r>
  <r>
    <n v="48"/>
    <x v="76"/>
    <s v="Confections"/>
    <n v="6"/>
    <n v="138"/>
    <n v="1368.71"/>
    <n v="0.82"/>
    <n v="11.9"/>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9">
  <r>
    <s v="CENTC"/>
    <s v="Centro comercial Moctezuma"/>
    <s v="Mexico"/>
    <n v="1"/>
    <s v="NULL"/>
    <s v="NULL"/>
    <s v="NULL"/>
    <x v="0"/>
  </r>
  <r>
    <s v="LACOR"/>
    <s v="La corne d'abondance"/>
    <s v="France"/>
    <n v="4"/>
    <s v="18.0"/>
    <s v="0"/>
    <s v="35"/>
    <x v="1"/>
  </r>
  <r>
    <s v="SAVEA"/>
    <s v="Save-a-lot Markets"/>
    <s v="USA"/>
    <n v="28"/>
    <s v="20.2"/>
    <s v="0"/>
    <s v="78"/>
    <x v="1"/>
  </r>
  <r>
    <s v="QUICK"/>
    <s v="QUICK-Stop"/>
    <s v="Germany"/>
    <n v="27"/>
    <s v="23.3"/>
    <s v="1"/>
    <s v="64"/>
    <x v="1"/>
  </r>
  <r>
    <s v="ERNSH"/>
    <s v="Ernst Handel"/>
    <s v="Austria"/>
    <n v="27"/>
    <s v="24.0"/>
    <s v="1"/>
    <s v="111"/>
    <x v="1"/>
  </r>
  <r>
    <s v="MEREP"/>
    <s v="MÃ¨re Paillarde"/>
    <s v="Canada"/>
    <n v="13"/>
    <s v="31.5"/>
    <s v="3"/>
    <s v="87"/>
    <x v="2"/>
  </r>
  <r>
    <s v="BERGS"/>
    <s v="Berglunds snabbkÃ¶p"/>
    <s v="Sweden"/>
    <n v="18"/>
    <s v="33.5"/>
    <s v="1"/>
    <s v="124"/>
    <x v="2"/>
  </r>
  <r>
    <s v="HUNGO"/>
    <s v="Hungry Owl All-Night Grocers"/>
    <s v="Ireland"/>
    <n v="18"/>
    <s v="33.6"/>
    <s v="7"/>
    <s v="100"/>
    <x v="2"/>
  </r>
  <r>
    <s v="BONAP"/>
    <s v="Bon app'"/>
    <s v="France"/>
    <n v="16"/>
    <s v="34.1"/>
    <s v="1"/>
    <s v="131"/>
    <x v="2"/>
  </r>
  <r>
    <s v="FOLKO"/>
    <s v="Folk och fÃ¤ HB"/>
    <s v="Sweden"/>
    <n v="18"/>
    <s v="36.5"/>
    <s v="1"/>
    <s v="130"/>
    <x v="2"/>
  </r>
  <r>
    <s v="HILAA"/>
    <s v="HILARIÃ“N-Abastos"/>
    <s v="Venezuela"/>
    <n v="17"/>
    <s v="38.6"/>
    <s v="1"/>
    <s v="163"/>
    <x v="2"/>
  </r>
  <r>
    <s v="RATTC"/>
    <s v="Rattlesnake Canyon Grocery"/>
    <s v="USA"/>
    <n v="17"/>
    <s v="38.9"/>
    <s v="2"/>
    <s v="141"/>
    <x v="2"/>
  </r>
  <r>
    <s v="WARTH"/>
    <s v="Wartian Herkku"/>
    <s v="Finland"/>
    <n v="14"/>
    <s v="39.2"/>
    <s v="3"/>
    <s v="94"/>
    <x v="2"/>
  </r>
  <r>
    <s v="LAMAI"/>
    <s v="La maison d'Asie"/>
    <s v="France"/>
    <n v="13"/>
    <s v="39.8"/>
    <s v="7"/>
    <s v="127"/>
    <x v="2"/>
  </r>
  <r>
    <s v="KOENE"/>
    <s v="KÃ¶niglich Essen"/>
    <s v="Germany"/>
    <n v="13"/>
    <s v="41.6"/>
    <s v="0"/>
    <s v="139"/>
    <x v="2"/>
  </r>
  <r>
    <s v="WILMK"/>
    <s v="Wilman Kala"/>
    <s v="Finland"/>
    <n v="7"/>
    <s v="41.8"/>
    <s v="4"/>
    <s v="122"/>
    <x v="2"/>
  </r>
  <r>
    <s v="GREAL"/>
    <s v="Great Lakes Food Market"/>
    <s v="USA"/>
    <n v="9"/>
    <s v="42.0"/>
    <s v="0"/>
    <s v="103"/>
    <x v="2"/>
  </r>
  <r>
    <s v="QUEEN"/>
    <s v="Queen Cozinha"/>
    <s v="Brazil"/>
    <n v="12"/>
    <s v="42.7"/>
    <s v="1"/>
    <s v="146"/>
    <x v="2"/>
  </r>
  <r>
    <s v="LEHMS"/>
    <s v="Lehmanns Marktstand"/>
    <s v="Germany"/>
    <n v="14"/>
    <s v="44.1"/>
    <s v="1"/>
    <s v="155"/>
    <x v="2"/>
  </r>
  <r>
    <s v="AROUT"/>
    <s v="Around the Horn"/>
    <s v="UK"/>
    <n v="12"/>
    <s v="44.2"/>
    <s v="3"/>
    <s v="134"/>
    <x v="2"/>
  </r>
  <r>
    <s v="FRANK"/>
    <s v="Frankenversand"/>
    <s v="Germany"/>
    <n v="14"/>
    <s v="44.9"/>
    <s v="3"/>
    <s v="90"/>
    <x v="2"/>
  </r>
  <r>
    <s v="BOTTM"/>
    <s v="Bottom-Dollar Markets"/>
    <s v="Canada"/>
    <n v="11"/>
    <s v="46.2"/>
    <s v="0"/>
    <s v="227"/>
    <x v="2"/>
  </r>
  <r>
    <s v="WANDK"/>
    <s v="Die Wandernde Kuh"/>
    <s v="Germany"/>
    <n v="9"/>
    <s v="46.4"/>
    <s v="7"/>
    <s v="155"/>
    <x v="2"/>
  </r>
  <r>
    <s v="LINOD"/>
    <s v="LINO-Delicateses"/>
    <s v="Venezuela"/>
    <n v="10"/>
    <s v="48.3"/>
    <s v="0"/>
    <s v="148"/>
    <x v="2"/>
  </r>
  <r>
    <s v="VAFFE"/>
    <s v="Vaffeljernet"/>
    <s v="Denmark"/>
    <n v="11"/>
    <s v="49.0"/>
    <s v="9"/>
    <s v="124"/>
    <x v="2"/>
  </r>
  <r>
    <s v="ALFKI"/>
    <s v="Alfreds Futterkiste"/>
    <s v="Germany"/>
    <n v="5"/>
    <s v="50.8"/>
    <s v="10"/>
    <s v="94"/>
    <x v="2"/>
  </r>
  <r>
    <s v="WHITC"/>
    <s v="White Clover Markets"/>
    <s v="USA"/>
    <n v="12"/>
    <s v="52.1"/>
    <s v="2"/>
    <s v="129"/>
    <x v="2"/>
  </r>
  <r>
    <s v="BLONP"/>
    <s v="Blondel pÃ¨re et fils"/>
    <s v="France"/>
    <n v="11"/>
    <s v="53.6"/>
    <s v="7"/>
    <s v="111"/>
    <x v="2"/>
  </r>
  <r>
    <s v="LILAS"/>
    <s v="LILA-Supermercado"/>
    <s v="Venezuela"/>
    <n v="12"/>
    <s v="54.1"/>
    <s v="18"/>
    <s v="209"/>
    <x v="2"/>
  </r>
  <r>
    <s v="PICCO"/>
    <s v="Piccolo und mehr"/>
    <s v="Austria"/>
    <n v="9"/>
    <s v="54.3"/>
    <s v="34"/>
    <s v="81"/>
    <x v="2"/>
  </r>
  <r>
    <s v="SEVES"/>
    <s v="Seven Seas Imports"/>
    <s v="UK"/>
    <n v="9"/>
    <s v="55.0"/>
    <s v="4"/>
    <s v="217"/>
    <x v="2"/>
  </r>
  <r>
    <s v="MAISD"/>
    <s v="Maison Dewey"/>
    <s v="Belgium"/>
    <n v="7"/>
    <s v="55.8"/>
    <s v="2"/>
    <s v="113"/>
    <x v="2"/>
  </r>
  <r>
    <s v="HANAR"/>
    <s v="Hanari Carnes"/>
    <s v="Brazil"/>
    <n v="12"/>
    <s v="57.0"/>
    <s v="1"/>
    <s v="313"/>
    <x v="2"/>
  </r>
  <r>
    <s v="ISLAT"/>
    <s v="Island Trading"/>
    <s v="UK"/>
    <n v="10"/>
    <s v="58.4"/>
    <s v="2"/>
    <s v="161"/>
    <x v="2"/>
  </r>
  <r>
    <s v="RICAR"/>
    <s v="Ricardo Adocicados"/>
    <s v="Brazil"/>
    <n v="10"/>
    <s v="59.6"/>
    <s v="14"/>
    <s v="161"/>
    <x v="2"/>
  </r>
  <r>
    <s v="FAMIA"/>
    <s v="Familia Arquibaldo"/>
    <s v="Brazil"/>
    <n v="7"/>
    <s v="59.8"/>
    <s v="27"/>
    <s v="97"/>
    <x v="2"/>
  </r>
  <r>
    <s v="GOURL"/>
    <s v="Gourmet Lanchonetes"/>
    <s v="Brazil"/>
    <n v="8"/>
    <s v="59.9"/>
    <s v="7"/>
    <s v="221"/>
    <x v="2"/>
  </r>
  <r>
    <s v="LAZYK"/>
    <s v="Lazy K Kountry Store"/>
    <s v="USA"/>
    <n v="2"/>
    <s v="62.0"/>
    <s v="62"/>
    <s v="62"/>
    <x v="2"/>
  </r>
  <r>
    <s v="VICTE"/>
    <s v="Victuailles en stock"/>
    <s v="France"/>
    <n v="10"/>
    <s v="62.7"/>
    <s v="2"/>
    <s v="222"/>
    <x v="2"/>
  </r>
  <r>
    <s v="REGGC"/>
    <s v="Reggiani Caseifici"/>
    <s v="Italy"/>
    <n v="10"/>
    <s v="62.8"/>
    <s v="13"/>
    <s v="158"/>
    <x v="2"/>
  </r>
  <r>
    <s v="SPECD"/>
    <s v="SpÃ©cialitÃ©s du monde"/>
    <s v="France"/>
    <n v="3"/>
    <s v="64.0"/>
    <s v="23"/>
    <s v="105"/>
    <x v="2"/>
  </r>
  <r>
    <s v="MAGAA"/>
    <s v="Magazzini Alimentari Riuniti"/>
    <s v="Italy"/>
    <n v="10"/>
    <s v="65.1"/>
    <s v="6"/>
    <s v="165"/>
    <x v="2"/>
  </r>
  <r>
    <s v="SUPRD"/>
    <s v="SuprÃªmes dÃ©lices"/>
    <s v="Belgium"/>
    <n v="10"/>
    <s v="67.2"/>
    <s v="2"/>
    <s v="266"/>
    <x v="2"/>
  </r>
  <r>
    <s v="BLAUS"/>
    <s v="Blauer See Delikatessen"/>
    <s v="Germany"/>
    <n v="6"/>
    <s v="68.4"/>
    <s v="8"/>
    <s v="182"/>
    <x v="2"/>
  </r>
  <r>
    <s v="HUNGC"/>
    <s v="Hungry Coyote Import Store"/>
    <s v="USA"/>
    <n v="5"/>
    <s v="69.0"/>
    <s v="19"/>
    <s v="182"/>
    <x v="2"/>
  </r>
  <r>
    <s v="OLDWO"/>
    <s v="Old World Delicatessen"/>
    <s v="USA"/>
    <n v="9"/>
    <s v="69.1"/>
    <s v="22"/>
    <s v="149"/>
    <x v="2"/>
  </r>
  <r>
    <s v="BSBEV"/>
    <s v="B's Beverages"/>
    <s v="UK"/>
    <n v="9"/>
    <s v="70.5"/>
    <s v="1"/>
    <s v="239"/>
    <x v="2"/>
  </r>
  <r>
    <s v="TORTU"/>
    <s v="Tortuga Restaurante"/>
    <s v="Mexico"/>
    <n v="9"/>
    <s v="71.0"/>
    <s v="14"/>
    <s v="205"/>
    <x v="2"/>
  </r>
  <r>
    <s v="ANTON"/>
    <s v="Antonio Moreno TaquerÃ­a"/>
    <s v="Mexico"/>
    <n v="7"/>
    <s v="71.2"/>
    <s v="3"/>
    <s v="139"/>
    <x v="2"/>
  </r>
  <r>
    <s v="FURIB"/>
    <s v="Furia Bacalhau e Frutos do Mar"/>
    <s v="Portugal"/>
    <n v="8"/>
    <s v="74.4"/>
    <s v="27"/>
    <s v="190"/>
    <x v="2"/>
  </r>
  <r>
    <s v="SPLIR"/>
    <s v="Split Rail Beer &amp; Ale"/>
    <s v="USA"/>
    <n v="9"/>
    <s v="75.1"/>
    <s v="15"/>
    <s v="300"/>
    <x v="2"/>
  </r>
  <r>
    <s v="WELLI"/>
    <s v="Wellington Importadora"/>
    <s v="Brazil"/>
    <n v="9"/>
    <s v="75.3"/>
    <s v="2"/>
    <s v="190"/>
    <x v="2"/>
  </r>
  <r>
    <s v="LETSS"/>
    <s v="Let's Stop N Shop"/>
    <s v="USA"/>
    <n v="4"/>
    <s v="77.3"/>
    <s v="14"/>
    <s v="124"/>
    <x v="2"/>
  </r>
  <r>
    <s v="QUEDE"/>
    <s v="Que DelÃ­cia"/>
    <s v="Brazil"/>
    <n v="9"/>
    <s v="77.5"/>
    <s v="39"/>
    <s v="162"/>
    <x v="2"/>
  </r>
  <r>
    <s v="OTTIK"/>
    <s v="Ottilies KÃ¤seladen"/>
    <s v="Germany"/>
    <n v="9"/>
    <s v="77.9"/>
    <s v="27"/>
    <s v="172"/>
    <x v="2"/>
  </r>
  <r>
    <s v="GODOS"/>
    <s v="Godos Cocina TÃ­pica"/>
    <s v="Spain"/>
    <n v="8"/>
    <s v="78.3"/>
    <s v="1"/>
    <s v="259"/>
    <x v="2"/>
  </r>
  <r>
    <s v="CACTU"/>
    <s v="Cactus Comidas para llevar"/>
    <s v="Argentina"/>
    <n v="5"/>
    <s v="78.8"/>
    <s v="21"/>
    <s v="232"/>
    <x v="2"/>
  </r>
  <r>
    <s v="SIMOB"/>
    <s v="Simons bistro"/>
    <s v="Denmark"/>
    <n v="6"/>
    <s v="85.2"/>
    <s v="24"/>
    <s v="138"/>
    <x v="2"/>
  </r>
  <r>
    <s v="LONEP"/>
    <s v="Lonesome Pine Restaurant"/>
    <s v="USA"/>
    <n v="7"/>
    <s v="85.5"/>
    <s v="2"/>
    <s v="233"/>
    <x v="2"/>
  </r>
  <r>
    <s v="FOLIG"/>
    <s v="Folies gourmandes"/>
    <s v="France"/>
    <n v="5"/>
    <s v="87.0"/>
    <s v="19"/>
    <s v="148"/>
    <x v="2"/>
  </r>
  <r>
    <s v="RICSU"/>
    <s v="Richter Supermarkt"/>
    <s v="Switzerland"/>
    <n v="8"/>
    <s v="87.4"/>
    <s v="4"/>
    <s v="192"/>
    <x v="2"/>
  </r>
  <r>
    <s v="FRANR"/>
    <s v="France restauration"/>
    <s v="France"/>
    <n v="3"/>
    <s v="94.0"/>
    <s v="54"/>
    <s v="134"/>
    <x v="3"/>
  </r>
  <r>
    <s v="WOLZA"/>
    <s v="Wolski  Zajazd"/>
    <s v="Poland"/>
    <n v="6"/>
    <s v="96.8"/>
    <s v="21"/>
    <s v="232"/>
    <x v="3"/>
  </r>
  <r>
    <s v="TRAIH"/>
    <s v="Trail's Head Gourmet Provisioners"/>
    <s v="USA"/>
    <n v="3"/>
    <s v="101.5"/>
    <s v="4"/>
    <s v="199"/>
    <x v="3"/>
  </r>
  <r>
    <s v="TRADH"/>
    <s v="TradiÃ§Ã£o Hipermercados"/>
    <s v="Brazil"/>
    <n v="6"/>
    <s v="101.8"/>
    <s v="2"/>
    <s v="219"/>
    <x v="3"/>
  </r>
  <r>
    <s v="SANTG"/>
    <s v="SantÃ© Gourmet"/>
    <s v="Norway"/>
    <n v="5"/>
    <s v="108.8"/>
    <s v="43"/>
    <s v="147"/>
    <x v="3"/>
  </r>
  <r>
    <s v="OCEAN"/>
    <s v="OcÃ©ano AtlÃ¡ntico Ltda."/>
    <s v="Argentina"/>
    <n v="5"/>
    <s v="111.3"/>
    <s v="12"/>
    <s v="288"/>
    <x v="3"/>
  </r>
  <r>
    <s v="FRANS"/>
    <s v="Franchi S.p.A."/>
    <s v="Italy"/>
    <n v="4"/>
    <s v="114.3"/>
    <s v="36"/>
    <s v="271"/>
    <x v="3"/>
  </r>
  <r>
    <s v="GALED"/>
    <s v="GalerÃ­a del gastrÃ³nomo"/>
    <s v="Spain"/>
    <n v="5"/>
    <s v="115.5"/>
    <s v="20"/>
    <s v="245"/>
    <x v="3"/>
  </r>
  <r>
    <s v="THECR"/>
    <s v="The Cracker Box"/>
    <s v="USA"/>
    <n v="3"/>
    <s v="121.0"/>
    <s v="115"/>
    <s v="127"/>
    <x v="3"/>
  </r>
  <r>
    <s v="EASTC"/>
    <s v="Eastern Connection"/>
    <s v="UK"/>
    <n v="5"/>
    <s v="122.5"/>
    <s v="36"/>
    <s v="178"/>
    <x v="3"/>
  </r>
  <r>
    <s v="CHOPS"/>
    <s v="Chop-suey Chinese"/>
    <s v="Switzerland"/>
    <n v="6"/>
    <s v="123.4"/>
    <s v="13"/>
    <s v="192"/>
    <x v="3"/>
  </r>
  <r>
    <s v="VINET"/>
    <s v="Vins et alcools Chevalier"/>
    <s v="France"/>
    <n v="5"/>
    <s v="124.0"/>
    <s v="1"/>
    <s v="435"/>
    <x v="3"/>
  </r>
  <r>
    <s v="RANCH"/>
    <s v="Rancho grande"/>
    <s v="Argentina"/>
    <n v="4"/>
    <s v="125.0"/>
    <s v="45"/>
    <s v="249"/>
    <x v="3"/>
  </r>
  <r>
    <s v="TOMSP"/>
    <s v="Toms SpezialitÃ¤ten"/>
    <s v="Germany"/>
    <n v="6"/>
    <s v="125.2"/>
    <s v="8"/>
    <s v="243"/>
    <x v="3"/>
  </r>
  <r>
    <s v="PRINI"/>
    <s v="Princesa Isabel Vinhos"/>
    <s v="Portugal"/>
    <n v="5"/>
    <s v="133.0"/>
    <s v="38"/>
    <s v="387"/>
    <x v="3"/>
  </r>
  <r>
    <s v="DRACD"/>
    <s v="Drachenblut Delikatessen"/>
    <s v="Germany"/>
    <n v="4"/>
    <s v="136.3"/>
    <s v="15"/>
    <s v="367"/>
    <x v="3"/>
  </r>
  <r>
    <s v="PERIC"/>
    <s v="Pericles Comidas clÃ¡sicas"/>
    <s v="Mexico"/>
    <n v="5"/>
    <s v="136.3"/>
    <s v="28"/>
    <s v="357"/>
    <x v="3"/>
  </r>
  <r>
    <s v="LAUGB"/>
    <s v="Laughing Bacchus Wine Cellars"/>
    <s v="Canada"/>
    <n v="3"/>
    <s v="136.5"/>
    <s v="124"/>
    <s v="149"/>
    <x v="3"/>
  </r>
  <r>
    <s v="MORGK"/>
    <s v="Morgenstern Gesundkost"/>
    <s v="Germany"/>
    <n v="5"/>
    <s v="145.0"/>
    <s v="68"/>
    <s v="315"/>
    <x v="3"/>
  </r>
  <r>
    <s v="DUMON"/>
    <s v="Du monde entier"/>
    <s v="France"/>
    <n v="4"/>
    <s v="171.3"/>
    <s v="64"/>
    <s v="307"/>
    <x v="3"/>
  </r>
  <r>
    <s v="CONSH"/>
    <s v="Consolidated Holdings"/>
    <s v="UK"/>
    <n v="3"/>
    <s v="176.5"/>
    <s v="27"/>
    <s v="326"/>
    <x v="3"/>
  </r>
  <r>
    <s v="ANATR"/>
    <s v="Ana Trujillo Emparedados y helados"/>
    <s v="Mexico"/>
    <n v="4"/>
    <s v="177.3"/>
    <s v="96"/>
    <s v="324"/>
    <x v="3"/>
  </r>
  <r>
    <s v="THEBI"/>
    <s v="The Big Cheese"/>
    <s v="USA"/>
    <n v="4"/>
    <s v="186.0"/>
    <s v="74"/>
    <s v="392"/>
    <x v="0"/>
  </r>
  <r>
    <s v="ROMEY"/>
    <s v="Romero y tomillo"/>
    <s v="Spain"/>
    <n v="4"/>
    <s v="188.3"/>
    <s v="1"/>
    <s v="532"/>
    <x v="0"/>
  </r>
  <r>
    <s v="COMMI"/>
    <s v="ComÃ©rcio Mineiro"/>
    <s v="Brazil"/>
    <n v="4"/>
    <s v="191.0"/>
    <s v="27"/>
    <s v="355"/>
    <x v="0"/>
  </r>
  <r>
    <s v="NORTS"/>
    <s v="North/South"/>
    <s v="UK"/>
    <n v="2"/>
    <s v="214.0"/>
    <s v="214"/>
    <s v="214"/>
    <x v="0"/>
  </r>
  <r>
    <s v="BOLID"/>
    <s v="BÃ³lido Comidas preparadas"/>
    <s v="Spain"/>
    <n v="3"/>
    <s v="265.0"/>
    <s v="85"/>
    <s v="445"/>
    <x v="0"/>
  </r>
  <r>
    <s v="GROSR"/>
    <s v="GROSELLA-Restaurante"/>
    <s v="Venezuela"/>
    <n v="2"/>
    <s v="506.0"/>
    <s v="506"/>
    <s v="506"/>
    <x v="0"/>
  </r>
</pivotCacheRecords>
</file>

<file path=xl/pivotCache/pivotCacheRecords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x v="0"/>
    <n v="4"/>
    <s v="Sales Manager, Sales Representative"/>
  </r>
  <r>
    <x v="1"/>
    <x v="1"/>
    <n v="2"/>
    <s v="Inside Sales Coordinator, Sales Representative"/>
  </r>
  <r>
    <x v="1"/>
    <x v="2"/>
    <n v="1"/>
    <s v="Sales Representative"/>
  </r>
  <r>
    <x v="1"/>
    <x v="3"/>
    <n v="1"/>
    <s v="Sales Representative"/>
  </r>
</pivotCacheRecords>
</file>

<file path=xl/pivotCache/pivotCacheRecords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6"/>
    <x v="0"/>
    <x v="0"/>
  </r>
  <r>
    <x v="1"/>
    <n v="1"/>
    <x v="1"/>
    <x v="1"/>
  </r>
  <r>
    <x v="2"/>
    <n v="1"/>
    <x v="2"/>
    <x v="2"/>
  </r>
</pivotCacheRecords>
</file>

<file path=xl/pivotCache/pivotCacheRecords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
  <r>
    <x v="0"/>
    <x v="0"/>
    <x v="0"/>
    <x v="0"/>
    <d v="1992-04-01T00:00:00"/>
    <d v="1992-05-01T00:00:00"/>
    <n v="35.5"/>
  </r>
  <r>
    <x v="0"/>
    <x v="1"/>
    <x v="0"/>
    <x v="1"/>
    <d v="1993-05-03T00:00:00"/>
    <d v="1993-05-03T00:00:00"/>
    <n v="55"/>
  </r>
  <r>
    <x v="1"/>
    <x v="1"/>
    <x v="1"/>
    <x v="1"/>
    <d v="1993-10-17T00:00:00"/>
    <d v="1993-10-17T00:00:00"/>
    <n v="38"/>
  </r>
  <r>
    <x v="0"/>
    <x v="1"/>
    <x v="1"/>
    <x v="1"/>
    <d v="1993-10-17T00:00:00"/>
    <d v="1993-10-17T00:00:00"/>
    <n v="30"/>
  </r>
  <r>
    <x v="2"/>
    <x v="2"/>
    <x v="2"/>
    <x v="1"/>
    <d v="1994-03-05T00:00:00"/>
    <d v="1994-03-05T00:00:00"/>
    <n v="36"/>
  </r>
  <r>
    <x v="0"/>
    <x v="2"/>
    <x v="2"/>
    <x v="1"/>
    <d v="1994-01-02T00:00:00"/>
    <d v="1994-01-02T00:00:00"/>
    <n v="33"/>
  </r>
  <r>
    <x v="0"/>
    <x v="2"/>
    <x v="1"/>
    <x v="1"/>
    <d v="1994-11-15T00:00:00"/>
    <d v="1994-11-15T00:00:00"/>
    <n v="28"/>
  </r>
</pivotCacheRecords>
</file>

<file path=xl/pivotCache/pivotCacheRecords1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s v="Nancy Davolio"/>
    <x v="0"/>
    <d v="1992-05-01T00:00:00"/>
    <n v="34"/>
    <n v="77"/>
  </r>
  <r>
    <s v="Janet Leverling"/>
    <x v="0"/>
    <d v="1992-04-01T00:00:00"/>
    <n v="34"/>
    <n v="62"/>
  </r>
  <r>
    <s v="Margaret Peacock"/>
    <x v="0"/>
    <d v="1993-05-03T00:00:00"/>
    <n v="32"/>
    <n v="88"/>
  </r>
  <r>
    <s v="Steven Buchanan"/>
    <x v="1"/>
    <d v="1993-10-17T00:00:00"/>
    <n v="32"/>
    <n v="71"/>
  </r>
  <r>
    <s v="Michael Suyama"/>
    <x v="0"/>
    <d v="1993-10-17T00:00:00"/>
    <n v="32"/>
    <n v="62"/>
  </r>
  <r>
    <s v="Robert King"/>
    <x v="0"/>
    <d v="1994-01-02T00:00:00"/>
    <n v="32"/>
    <n v="65"/>
  </r>
  <r>
    <s v="Laura Callahan"/>
    <x v="2"/>
    <d v="1994-03-05T00:00:00"/>
    <n v="32"/>
    <n v="68"/>
  </r>
  <r>
    <s v="Anne Dodsworth"/>
    <x v="0"/>
    <d v="1994-11-15T00:00:00"/>
    <n v="31"/>
    <n v="60"/>
  </r>
</pivotCacheRecords>
</file>

<file path=xl/pivotCache/pivotCacheRecords1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
  <r>
    <x v="0"/>
    <n v="4"/>
    <n v="50"/>
    <x v="0"/>
  </r>
  <r>
    <x v="1"/>
    <n v="3"/>
    <n v="37.5"/>
    <x v="1"/>
  </r>
  <r>
    <x v="2"/>
    <n v="1"/>
    <n v="12.5"/>
    <x v="2"/>
  </r>
</pivotCacheRecords>
</file>

<file path=xl/pivotCache/pivotCacheRecords1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x v="0"/>
    <n v="2"/>
    <n v="63.5"/>
    <n v="32"/>
  </r>
  <r>
    <x v="0"/>
    <x v="1"/>
    <n v="1"/>
    <n v="71"/>
    <n v="32"/>
  </r>
  <r>
    <x v="1"/>
    <x v="0"/>
    <n v="1"/>
    <n v="88"/>
    <n v="32"/>
  </r>
  <r>
    <x v="2"/>
    <x v="0"/>
    <n v="3"/>
    <n v="66.333299999999994"/>
    <n v="33"/>
  </r>
  <r>
    <x v="2"/>
    <x v="2"/>
    <n v="1"/>
    <n v="68"/>
    <n v="32"/>
  </r>
</pivotCacheRecords>
</file>

<file path=xl/pivotCache/pivotCacheRecords1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
  <r>
    <n v="38"/>
    <x v="0"/>
    <x v="0"/>
    <n v="263.5"/>
    <x v="0"/>
    <n v="0"/>
    <x v="0"/>
    <n v="0"/>
    <n v="24"/>
    <n v="623"/>
    <n v="141396.74"/>
    <n v="245.93"/>
    <n v="0.03"/>
    <s v="Adequate"/>
  </r>
  <r>
    <n v="29"/>
    <x v="1"/>
    <x v="1"/>
    <n v="123.79"/>
    <x v="1"/>
    <n v="0"/>
    <x v="1"/>
    <n v="1"/>
    <n v="32"/>
    <n v="746"/>
    <n v="80368.67"/>
    <n v="116.04"/>
    <n v="0"/>
    <s v="Out of Stock"/>
  </r>
  <r>
    <n v="59"/>
    <x v="2"/>
    <x v="2"/>
    <n v="55"/>
    <x v="2"/>
    <n v="0"/>
    <x v="1"/>
    <n v="0"/>
    <n v="54"/>
    <n v="1496"/>
    <n v="71155.7"/>
    <n v="51.13"/>
    <n v="0.05"/>
    <s v="Adequate"/>
  </r>
  <r>
    <n v="62"/>
    <x v="3"/>
    <x v="3"/>
    <n v="49.3"/>
    <x v="0"/>
    <n v="0"/>
    <x v="1"/>
    <n v="0"/>
    <n v="48"/>
    <n v="1083"/>
    <n v="47234.97"/>
    <n v="46.41"/>
    <n v="0.02"/>
    <s v="Adequate"/>
  </r>
  <r>
    <n v="60"/>
    <x v="4"/>
    <x v="2"/>
    <n v="34"/>
    <x v="3"/>
    <n v="0"/>
    <x v="1"/>
    <n v="0"/>
    <n v="51"/>
    <n v="1577"/>
    <n v="46825.48"/>
    <n v="32.130000000000003"/>
    <n v="0.01"/>
    <s v="Adequate"/>
  </r>
  <r>
    <n v="56"/>
    <x v="5"/>
    <x v="4"/>
    <n v="38"/>
    <x v="4"/>
    <n v="10"/>
    <x v="2"/>
    <n v="0"/>
    <n v="50"/>
    <n v="1263"/>
    <n v="42593.06"/>
    <n v="35.42"/>
    <n v="0.02"/>
    <s v="Below Reorder"/>
  </r>
  <r>
    <n v="51"/>
    <x v="6"/>
    <x v="5"/>
    <n v="53"/>
    <x v="5"/>
    <n v="0"/>
    <x v="3"/>
    <n v="0"/>
    <n v="39"/>
    <n v="886"/>
    <n v="41819.65"/>
    <n v="50.55"/>
    <n v="0.02"/>
    <s v="Adequate"/>
  </r>
  <r>
    <n v="17"/>
    <x v="7"/>
    <x v="1"/>
    <n v="39"/>
    <x v="1"/>
    <n v="0"/>
    <x v="1"/>
    <n v="1"/>
    <n v="37"/>
    <n v="978"/>
    <n v="32698.38"/>
    <n v="36.47"/>
    <n v="0"/>
    <s v="Out of Stock"/>
  </r>
  <r>
    <n v="18"/>
    <x v="8"/>
    <x v="6"/>
    <n v="62.5"/>
    <x v="6"/>
    <n v="0"/>
    <x v="1"/>
    <n v="0"/>
    <n v="27"/>
    <n v="539"/>
    <n v="29171.88"/>
    <n v="59.72"/>
    <n v="0.08"/>
    <s v="Adequate"/>
  </r>
  <r>
    <n v="28"/>
    <x v="9"/>
    <x v="5"/>
    <n v="45.6"/>
    <x v="7"/>
    <n v="0"/>
    <x v="1"/>
    <n v="1"/>
    <n v="33"/>
    <n v="640"/>
    <n v="25696.639999999999"/>
    <n v="41.98"/>
    <n v="0.04"/>
    <s v="Adequate"/>
  </r>
  <r>
    <n v="72"/>
    <x v="10"/>
    <x v="2"/>
    <n v="34.799999999999997"/>
    <x v="8"/>
    <n v="0"/>
    <x v="1"/>
    <n v="0"/>
    <n v="38"/>
    <n v="806"/>
    <n v="24900.13"/>
    <n v="32.04"/>
    <n v="0.02"/>
    <s v="Adequate"/>
  </r>
  <r>
    <n v="43"/>
    <x v="11"/>
    <x v="0"/>
    <n v="46"/>
    <x v="0"/>
    <n v="10"/>
    <x v="4"/>
    <n v="0"/>
    <n v="28"/>
    <n v="580"/>
    <n v="23526.7"/>
    <n v="43.04"/>
    <n v="0.03"/>
    <s v="Below Reorder"/>
  </r>
  <r>
    <n v="20"/>
    <x v="12"/>
    <x v="3"/>
    <n v="81"/>
    <x v="9"/>
    <n v="0"/>
    <x v="1"/>
    <n v="0"/>
    <n v="16"/>
    <n v="313"/>
    <n v="22563.360000000001"/>
    <n v="75.94"/>
    <n v="0.13"/>
    <s v="Adequate"/>
  </r>
  <r>
    <n v="7"/>
    <x v="13"/>
    <x v="5"/>
    <n v="30"/>
    <x v="10"/>
    <n v="0"/>
    <x v="3"/>
    <n v="0"/>
    <n v="29"/>
    <n v="763"/>
    <n v="22044.3"/>
    <n v="29.17"/>
    <n v="0.02"/>
    <s v="Adequate"/>
  </r>
  <r>
    <n v="64"/>
    <x v="14"/>
    <x v="4"/>
    <n v="33.25"/>
    <x v="11"/>
    <n v="80"/>
    <x v="2"/>
    <n v="0"/>
    <n v="30"/>
    <n v="740"/>
    <n v="21957.97"/>
    <n v="31.03"/>
    <n v="0.03"/>
    <s v="Below Reorder"/>
  </r>
  <r>
    <n v="69"/>
    <x v="15"/>
    <x v="2"/>
    <n v="36"/>
    <x v="7"/>
    <n v="0"/>
    <x v="0"/>
    <n v="0"/>
    <n v="31"/>
    <n v="714"/>
    <n v="21942.36"/>
    <n v="33.450000000000003"/>
    <n v="0.04"/>
    <s v="Adequate"/>
  </r>
  <r>
    <n v="10"/>
    <x v="16"/>
    <x v="6"/>
    <n v="31"/>
    <x v="12"/>
    <n v="0"/>
    <x v="1"/>
    <n v="0"/>
    <n v="33"/>
    <n v="742"/>
    <n v="20867.34"/>
    <n v="29.68"/>
    <n v="0.04"/>
    <s v="Adequate"/>
  </r>
  <r>
    <n v="53"/>
    <x v="17"/>
    <x v="1"/>
    <n v="32.799999999999997"/>
    <x v="1"/>
    <n v="0"/>
    <x v="1"/>
    <n v="1"/>
    <n v="30"/>
    <n v="722"/>
    <n v="20574.169999999998"/>
    <n v="30.16"/>
    <n v="0"/>
    <s v="Out of Stock"/>
  </r>
  <r>
    <n v="26"/>
    <x v="18"/>
    <x v="3"/>
    <n v="31.23"/>
    <x v="10"/>
    <n v="0"/>
    <x v="1"/>
    <n v="0"/>
    <n v="32"/>
    <n v="753"/>
    <n v="19849.14"/>
    <n v="28.86"/>
    <n v="0.02"/>
    <s v="Adequate"/>
  </r>
  <r>
    <n v="71"/>
    <x v="19"/>
    <x v="2"/>
    <n v="21.5"/>
    <x v="7"/>
    <n v="0"/>
    <x v="1"/>
    <n v="0"/>
    <n v="42"/>
    <n v="1057"/>
    <n v="19551.03"/>
    <n v="19.760000000000002"/>
    <n v="0.02"/>
    <s v="Adequate"/>
  </r>
  <r>
    <n v="40"/>
    <x v="20"/>
    <x v="6"/>
    <n v="18.399999999999999"/>
    <x v="13"/>
    <n v="0"/>
    <x v="2"/>
    <n v="0"/>
    <n v="41"/>
    <n v="1103"/>
    <n v="17910.63"/>
    <n v="17.23"/>
    <n v="0.11"/>
    <s v="Adequate"/>
  </r>
  <r>
    <n v="55"/>
    <x v="21"/>
    <x v="1"/>
    <n v="24"/>
    <x v="14"/>
    <n v="0"/>
    <x v="5"/>
    <n v="0"/>
    <n v="33"/>
    <n v="903"/>
    <n v="17426.400000000001"/>
    <n v="22.4"/>
    <n v="0.13"/>
    <s v="Adequate"/>
  </r>
  <r>
    <n v="16"/>
    <x v="22"/>
    <x v="3"/>
    <n v="17.45"/>
    <x v="15"/>
    <n v="0"/>
    <x v="3"/>
    <n v="0"/>
    <n v="43"/>
    <n v="1158"/>
    <n v="17215.78"/>
    <n v="16.38"/>
    <n v="0.03"/>
    <s v="Adequate"/>
  </r>
  <r>
    <n v="63"/>
    <x v="23"/>
    <x v="7"/>
    <n v="43.9"/>
    <x v="16"/>
    <n v="0"/>
    <x v="6"/>
    <n v="0"/>
    <n v="17"/>
    <n v="445"/>
    <n v="16701.09"/>
    <n v="40.79"/>
    <n v="0.05"/>
    <s v="Adequate"/>
  </r>
  <r>
    <n v="2"/>
    <x v="24"/>
    <x v="0"/>
    <n v="19"/>
    <x v="0"/>
    <n v="40"/>
    <x v="4"/>
    <n v="0"/>
    <n v="44"/>
    <n v="1057"/>
    <n v="16355.96"/>
    <n v="17.88"/>
    <n v="0.02"/>
    <s v="Below Reorder"/>
  </r>
  <r>
    <n v="76"/>
    <x v="25"/>
    <x v="0"/>
    <n v="18"/>
    <x v="17"/>
    <n v="0"/>
    <x v="5"/>
    <n v="0"/>
    <n v="39"/>
    <n v="981"/>
    <n v="15760.44"/>
    <n v="16.98"/>
    <n v="0.06"/>
    <s v="Adequate"/>
  </r>
  <r>
    <n v="27"/>
    <x v="26"/>
    <x v="3"/>
    <n v="43.9"/>
    <x v="18"/>
    <n v="0"/>
    <x v="2"/>
    <n v="0"/>
    <n v="9"/>
    <n v="365"/>
    <n v="15099.88"/>
    <n v="40.97"/>
    <n v="0.13"/>
    <s v="Adequate"/>
  </r>
  <r>
    <n v="31"/>
    <x v="27"/>
    <x v="2"/>
    <n v="12.5"/>
    <x v="1"/>
    <n v="70"/>
    <x v="5"/>
    <n v="0"/>
    <n v="51"/>
    <n v="1397"/>
    <n v="14920.88"/>
    <n v="11.67"/>
    <n v="0"/>
    <s v="Out of Stock"/>
  </r>
  <r>
    <n v="61"/>
    <x v="28"/>
    <x v="7"/>
    <n v="28.5"/>
    <x v="19"/>
    <n v="0"/>
    <x v="4"/>
    <n v="0"/>
    <n v="24"/>
    <n v="603"/>
    <n v="14352.6"/>
    <n v="27.79"/>
    <n v="0.19"/>
    <s v="Adequate"/>
  </r>
  <r>
    <n v="65"/>
    <x v="29"/>
    <x v="7"/>
    <n v="21.05"/>
    <x v="20"/>
    <n v="0"/>
    <x v="1"/>
    <n v="0"/>
    <n v="32"/>
    <n v="745"/>
    <n v="13869.89"/>
    <n v="19.46"/>
    <n v="0.1"/>
    <s v="Adequate"/>
  </r>
  <r>
    <n v="35"/>
    <x v="30"/>
    <x v="0"/>
    <n v="18"/>
    <x v="5"/>
    <n v="0"/>
    <x v="0"/>
    <n v="0"/>
    <n v="36"/>
    <n v="883"/>
    <n v="13644"/>
    <n v="17"/>
    <n v="0.02"/>
    <s v="Adequate"/>
  </r>
  <r>
    <n v="36"/>
    <x v="31"/>
    <x v="6"/>
    <n v="19"/>
    <x v="21"/>
    <n v="0"/>
    <x v="5"/>
    <n v="0"/>
    <n v="31"/>
    <n v="805"/>
    <n v="13458.46"/>
    <n v="17.899999999999999"/>
    <n v="0.14000000000000001"/>
    <s v="Adequate"/>
  </r>
  <r>
    <n v="30"/>
    <x v="32"/>
    <x v="6"/>
    <n v="25.89"/>
    <x v="22"/>
    <n v="0"/>
    <x v="0"/>
    <n v="0"/>
    <n v="32"/>
    <n v="612"/>
    <n v="13424.2"/>
    <n v="24.27"/>
    <n v="0.02"/>
    <s v="Below Reorder"/>
  </r>
  <r>
    <n v="11"/>
    <x v="33"/>
    <x v="2"/>
    <n v="21"/>
    <x v="11"/>
    <n v="30"/>
    <x v="2"/>
    <n v="0"/>
    <n v="38"/>
    <n v="706"/>
    <n v="12901.77"/>
    <n v="19.600000000000001"/>
    <n v="0.03"/>
    <s v="Below Reorder"/>
  </r>
  <r>
    <n v="1"/>
    <x v="34"/>
    <x v="0"/>
    <n v="18"/>
    <x v="23"/>
    <n v="0"/>
    <x v="3"/>
    <n v="0"/>
    <n v="38"/>
    <n v="828"/>
    <n v="12788.1"/>
    <n v="17.149999999999999"/>
    <n v="0.05"/>
    <s v="Adequate"/>
  </r>
  <r>
    <n v="8"/>
    <x v="35"/>
    <x v="7"/>
    <n v="40"/>
    <x v="24"/>
    <n v="0"/>
    <x v="1"/>
    <n v="0"/>
    <n v="13"/>
    <n v="372"/>
    <n v="12772"/>
    <n v="38.770000000000003"/>
    <n v="0.02"/>
    <s v="Adequate"/>
  </r>
  <r>
    <n v="39"/>
    <x v="36"/>
    <x v="0"/>
    <n v="18"/>
    <x v="25"/>
    <n v="0"/>
    <x v="6"/>
    <n v="0"/>
    <n v="30"/>
    <n v="793"/>
    <n v="12294.54"/>
    <n v="16.68"/>
    <n v="0.09"/>
    <s v="Adequate"/>
  </r>
  <r>
    <n v="12"/>
    <x v="37"/>
    <x v="2"/>
    <n v="38"/>
    <x v="26"/>
    <n v="0"/>
    <x v="1"/>
    <n v="0"/>
    <n v="14"/>
    <n v="344"/>
    <n v="12257.66"/>
    <n v="36.909999999999997"/>
    <n v="0.25"/>
    <s v="Adequate"/>
  </r>
  <r>
    <n v="70"/>
    <x v="38"/>
    <x v="0"/>
    <n v="15"/>
    <x v="10"/>
    <n v="10"/>
    <x v="2"/>
    <n v="0"/>
    <n v="39"/>
    <n v="817"/>
    <n v="10672.65"/>
    <n v="14.15"/>
    <n v="0.02"/>
    <s v="Below Reorder"/>
  </r>
  <r>
    <n v="44"/>
    <x v="39"/>
    <x v="7"/>
    <n v="19.45"/>
    <x v="27"/>
    <n v="0"/>
    <x v="0"/>
    <n v="0"/>
    <n v="24"/>
    <n v="601"/>
    <n v="9915.94"/>
    <n v="18.13"/>
    <n v="0.04"/>
    <s v="Adequate"/>
  </r>
  <r>
    <n v="49"/>
    <x v="40"/>
    <x v="3"/>
    <n v="20"/>
    <x v="22"/>
    <n v="60"/>
    <x v="0"/>
    <n v="0"/>
    <n v="21"/>
    <n v="520"/>
    <n v="9244.6"/>
    <n v="18.48"/>
    <n v="0.02"/>
    <s v="Below Reorder"/>
  </r>
  <r>
    <n v="77"/>
    <x v="41"/>
    <x v="7"/>
    <n v="13"/>
    <x v="28"/>
    <n v="0"/>
    <x v="0"/>
    <n v="0"/>
    <n v="38"/>
    <n v="791"/>
    <n v="9171.6299999999992"/>
    <n v="12.11"/>
    <n v="0.04"/>
    <s v="Adequate"/>
  </r>
  <r>
    <n v="21"/>
    <x v="42"/>
    <x v="3"/>
    <n v="10"/>
    <x v="29"/>
    <n v="40"/>
    <x v="6"/>
    <n v="0"/>
    <n v="39"/>
    <n v="1016"/>
    <n v="9104"/>
    <n v="9.3800000000000008"/>
    <n v="0"/>
    <s v="Below Reorder"/>
  </r>
  <r>
    <n v="68"/>
    <x v="43"/>
    <x v="3"/>
    <n v="12.5"/>
    <x v="24"/>
    <n v="10"/>
    <x v="0"/>
    <n v="0"/>
    <n v="34"/>
    <n v="799"/>
    <n v="8714"/>
    <n v="11.54"/>
    <n v="0.01"/>
    <s v="Below Reorder"/>
  </r>
  <r>
    <n v="41"/>
    <x v="44"/>
    <x v="6"/>
    <n v="9.65"/>
    <x v="30"/>
    <n v="0"/>
    <x v="3"/>
    <n v="0"/>
    <n v="47"/>
    <n v="981"/>
    <n v="8680.34"/>
    <n v="9.19"/>
    <n v="0.09"/>
    <s v="Adequate"/>
  </r>
  <r>
    <n v="42"/>
    <x v="45"/>
    <x v="4"/>
    <n v="14"/>
    <x v="7"/>
    <n v="0"/>
    <x v="1"/>
    <n v="1"/>
    <n v="30"/>
    <n v="697"/>
    <n v="8575"/>
    <n v="13.21"/>
    <n v="0.04"/>
    <s v="Adequate"/>
  </r>
  <r>
    <n v="4"/>
    <x v="46"/>
    <x v="7"/>
    <n v="22"/>
    <x v="31"/>
    <n v="0"/>
    <x v="1"/>
    <n v="0"/>
    <n v="20"/>
    <n v="453"/>
    <n v="8567.9"/>
    <n v="20.68"/>
    <n v="0.12"/>
    <s v="Adequate"/>
  </r>
  <r>
    <n v="32"/>
    <x v="47"/>
    <x v="2"/>
    <n v="32"/>
    <x v="32"/>
    <n v="40"/>
    <x v="4"/>
    <n v="0"/>
    <n v="15"/>
    <n v="297"/>
    <n v="8404.16"/>
    <n v="30.72"/>
    <n v="0.03"/>
    <s v="Below Reorder"/>
  </r>
  <r>
    <n v="75"/>
    <x v="48"/>
    <x v="0"/>
    <n v="7.75"/>
    <x v="33"/>
    <n v="0"/>
    <x v="4"/>
    <n v="0"/>
    <n v="46"/>
    <n v="1155"/>
    <n v="8177.49"/>
    <n v="7.38"/>
    <n v="0.11"/>
    <s v="Adequate"/>
  </r>
  <r>
    <n v="14"/>
    <x v="49"/>
    <x v="5"/>
    <n v="23.25"/>
    <x v="34"/>
    <n v="0"/>
    <x v="1"/>
    <n v="0"/>
    <n v="22"/>
    <n v="404"/>
    <n v="7991.49"/>
    <n v="21.35"/>
    <n v="0.09"/>
    <s v="Adequate"/>
  </r>
  <r>
    <n v="57"/>
    <x v="50"/>
    <x v="4"/>
    <n v="19.5"/>
    <x v="35"/>
    <n v="0"/>
    <x v="5"/>
    <n v="0"/>
    <n v="23"/>
    <n v="434"/>
    <n v="7661.55"/>
    <n v="18.14"/>
    <n v="0.08"/>
    <s v="Adequate"/>
  </r>
  <r>
    <n v="9"/>
    <x v="51"/>
    <x v="1"/>
    <n v="97"/>
    <x v="15"/>
    <n v="0"/>
    <x v="1"/>
    <n v="1"/>
    <n v="5"/>
    <n v="95"/>
    <n v="7226.5"/>
    <n v="93.12"/>
    <n v="0.31"/>
    <s v="Adequate"/>
  </r>
  <r>
    <n v="6"/>
    <x v="52"/>
    <x v="7"/>
    <n v="25"/>
    <x v="36"/>
    <n v="0"/>
    <x v="4"/>
    <n v="0"/>
    <n v="12"/>
    <n v="301"/>
    <n v="7137"/>
    <n v="24.17"/>
    <n v="0.4"/>
    <s v="Adequate"/>
  </r>
  <r>
    <n v="22"/>
    <x v="53"/>
    <x v="4"/>
    <n v="21"/>
    <x v="37"/>
    <n v="0"/>
    <x v="4"/>
    <n v="0"/>
    <n v="14"/>
    <n v="348"/>
    <n v="7122.36"/>
    <n v="20.399999999999999"/>
    <n v="0.3"/>
    <s v="Adequate"/>
  </r>
  <r>
    <n v="34"/>
    <x v="54"/>
    <x v="0"/>
    <n v="14"/>
    <x v="38"/>
    <n v="0"/>
    <x v="0"/>
    <n v="0"/>
    <n v="19"/>
    <n v="506"/>
    <n v="6350.4"/>
    <n v="12.97"/>
    <n v="0.22"/>
    <s v="Adequate"/>
  </r>
  <r>
    <n v="46"/>
    <x v="55"/>
    <x v="6"/>
    <n v="12"/>
    <x v="39"/>
    <n v="0"/>
    <x v="1"/>
    <n v="0"/>
    <n v="27"/>
    <n v="548"/>
    <n v="5883"/>
    <n v="11.11"/>
    <n v="0.17"/>
    <s v="Adequate"/>
  </r>
  <r>
    <n v="58"/>
    <x v="56"/>
    <x v="6"/>
    <n v="13.25"/>
    <x v="40"/>
    <n v="0"/>
    <x v="5"/>
    <n v="0"/>
    <n v="18"/>
    <n v="534"/>
    <n v="5881.68"/>
    <n v="12.66"/>
    <n v="0.12"/>
    <s v="Adequate"/>
  </r>
  <r>
    <n v="19"/>
    <x v="57"/>
    <x v="3"/>
    <n v="9.1999999999999993"/>
    <x v="41"/>
    <n v="0"/>
    <x v="6"/>
    <n v="0"/>
    <n v="37"/>
    <n v="723"/>
    <n v="5862.62"/>
    <n v="8.5299999999999994"/>
    <n v="0.03"/>
    <s v="Adequate"/>
  </r>
  <r>
    <n v="5"/>
    <x v="58"/>
    <x v="7"/>
    <n v="21.35"/>
    <x v="1"/>
    <n v="0"/>
    <x v="1"/>
    <n v="1"/>
    <n v="10"/>
    <n v="298"/>
    <n v="5347.2"/>
    <n v="19.61"/>
    <n v="0"/>
    <s v="Out of Stock"/>
  </r>
  <r>
    <n v="13"/>
    <x v="59"/>
    <x v="6"/>
    <n v="6"/>
    <x v="16"/>
    <n v="0"/>
    <x v="6"/>
    <n v="0"/>
    <n v="40"/>
    <n v="891"/>
    <n v="4960.4399999999996"/>
    <n v="5.76"/>
    <n v="0.03"/>
    <s v="Adequate"/>
  </r>
  <r>
    <n v="54"/>
    <x v="60"/>
    <x v="1"/>
    <n v="7.45"/>
    <x v="4"/>
    <n v="0"/>
    <x v="3"/>
    <n v="0"/>
    <n v="36"/>
    <n v="755"/>
    <n v="4728.24"/>
    <n v="6.8"/>
    <n v="0.03"/>
    <s v="Adequate"/>
  </r>
  <r>
    <n v="23"/>
    <x v="61"/>
    <x v="4"/>
    <n v="9"/>
    <x v="42"/>
    <n v="0"/>
    <x v="4"/>
    <n v="0"/>
    <n v="20"/>
    <n v="580"/>
    <n v="4601.7"/>
    <n v="8.3699999999999992"/>
    <n v="0.11"/>
    <s v="Adequate"/>
  </r>
  <r>
    <n v="24"/>
    <x v="62"/>
    <x v="0"/>
    <n v="4.5"/>
    <x v="5"/>
    <n v="0"/>
    <x v="1"/>
    <n v="1"/>
    <n v="51"/>
    <n v="1125"/>
    <n v="4504.37"/>
    <n v="4.24"/>
    <n v="0.02"/>
    <s v="Adequate"/>
  </r>
  <r>
    <n v="45"/>
    <x v="63"/>
    <x v="6"/>
    <n v="9.5"/>
    <x v="43"/>
    <n v="70"/>
    <x v="0"/>
    <n v="0"/>
    <n v="14"/>
    <n v="508"/>
    <n v="4338.18"/>
    <n v="9.23"/>
    <n v="0.01"/>
    <s v="Below Reorder"/>
  </r>
  <r>
    <n v="73"/>
    <x v="64"/>
    <x v="6"/>
    <n v="15"/>
    <x v="44"/>
    <n v="0"/>
    <x v="6"/>
    <n v="0"/>
    <n v="14"/>
    <n v="293"/>
    <n v="3997.2"/>
    <n v="14.36"/>
    <n v="0.34"/>
    <s v="Adequate"/>
  </r>
  <r>
    <n v="47"/>
    <x v="65"/>
    <x v="3"/>
    <n v="9.5"/>
    <x v="35"/>
    <n v="0"/>
    <x v="1"/>
    <n v="0"/>
    <n v="21"/>
    <n v="485"/>
    <n v="3958.08"/>
    <n v="9.14"/>
    <n v="7.0000000000000007E-2"/>
    <s v="Adequate"/>
  </r>
  <r>
    <n v="25"/>
    <x v="66"/>
    <x v="3"/>
    <n v="14"/>
    <x v="20"/>
    <n v="0"/>
    <x v="2"/>
    <n v="0"/>
    <n v="18"/>
    <n v="318"/>
    <n v="3704.4"/>
    <n v="13.07"/>
    <n v="0.24"/>
    <s v="Adequate"/>
  </r>
  <r>
    <n v="50"/>
    <x v="67"/>
    <x v="3"/>
    <n v="16.25"/>
    <x v="45"/>
    <n v="0"/>
    <x v="2"/>
    <n v="0"/>
    <n v="10"/>
    <n v="235"/>
    <n v="3437.69"/>
    <n v="14.95"/>
    <n v="0.28000000000000003"/>
    <s v="Adequate"/>
  </r>
  <r>
    <n v="66"/>
    <x v="68"/>
    <x v="7"/>
    <n v="17"/>
    <x v="46"/>
    <n v="100"/>
    <x v="5"/>
    <n v="0"/>
    <n v="8"/>
    <n v="239"/>
    <n v="3383"/>
    <n v="15.3"/>
    <n v="0.02"/>
    <s v="Below Reorder"/>
  </r>
  <r>
    <n v="52"/>
    <x v="69"/>
    <x v="4"/>
    <n v="7"/>
    <x v="47"/>
    <n v="0"/>
    <x v="4"/>
    <n v="0"/>
    <n v="29"/>
    <n v="500"/>
    <n v="3232.95"/>
    <n v="6.76"/>
    <n v="0.08"/>
    <s v="Adequate"/>
  </r>
  <r>
    <n v="3"/>
    <x v="70"/>
    <x v="7"/>
    <n v="10"/>
    <x v="48"/>
    <n v="70"/>
    <x v="4"/>
    <n v="0"/>
    <n v="12"/>
    <n v="328"/>
    <n v="3044"/>
    <n v="9.5"/>
    <n v="0.04"/>
    <s v="Below Reorder"/>
  </r>
  <r>
    <n v="37"/>
    <x v="71"/>
    <x v="6"/>
    <n v="26"/>
    <x v="49"/>
    <n v="50"/>
    <x v="4"/>
    <n v="0"/>
    <n v="6"/>
    <n v="125"/>
    <n v="2688.4"/>
    <n v="23.4"/>
    <n v="0.09"/>
    <s v="Below Reorder"/>
  </r>
  <r>
    <n v="74"/>
    <x v="72"/>
    <x v="5"/>
    <n v="10"/>
    <x v="46"/>
    <n v="20"/>
    <x v="6"/>
    <n v="0"/>
    <n v="13"/>
    <n v="297"/>
    <n v="2432.5"/>
    <n v="8.77"/>
    <n v="0.01"/>
    <s v="Below Reorder"/>
  </r>
  <r>
    <n v="67"/>
    <x v="73"/>
    <x v="0"/>
    <n v="14"/>
    <x v="50"/>
    <n v="0"/>
    <x v="3"/>
    <n v="0"/>
    <n v="10"/>
    <n v="184"/>
    <n v="2396.8000000000002"/>
    <n v="13.72"/>
    <n v="0.28000000000000003"/>
    <s v="Adequate"/>
  </r>
  <r>
    <n v="15"/>
    <x v="74"/>
    <x v="7"/>
    <n v="15.5"/>
    <x v="23"/>
    <n v="0"/>
    <x v="6"/>
    <n v="0"/>
    <n v="6"/>
    <n v="122"/>
    <n v="1784.82"/>
    <n v="14.47"/>
    <n v="0.32"/>
    <s v="Adequate"/>
  </r>
  <r>
    <n v="33"/>
    <x v="75"/>
    <x v="2"/>
    <n v="2.5"/>
    <x v="21"/>
    <n v="0"/>
    <x v="5"/>
    <n v="0"/>
    <n v="32"/>
    <n v="755"/>
    <n v="1648.12"/>
    <n v="2.33"/>
    <n v="0.15"/>
    <s v="Adequate"/>
  </r>
  <r>
    <n v="48"/>
    <x v="76"/>
    <x v="3"/>
    <n v="12.75"/>
    <x v="10"/>
    <n v="70"/>
    <x v="4"/>
    <n v="0"/>
    <n v="6"/>
    <n v="138"/>
    <n v="1368.71"/>
    <n v="11.9"/>
    <n v="0.11"/>
    <s v="Below Reorder"/>
  </r>
</pivotCacheRecords>
</file>

<file path=xl/pivotCache/pivotCacheRecords1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76">
  <r>
    <x v="0"/>
    <x v="0"/>
    <x v="0"/>
    <n v="3"/>
    <x v="0"/>
    <x v="0"/>
    <n v="11"/>
    <n v="272"/>
    <n v="3182.5"/>
  </r>
  <r>
    <x v="0"/>
    <x v="0"/>
    <x v="0"/>
    <n v="3"/>
    <x v="0"/>
    <x v="1"/>
    <n v="6"/>
    <n v="139"/>
    <n v="1878.2"/>
  </r>
  <r>
    <x v="0"/>
    <x v="0"/>
    <x v="0"/>
    <n v="3"/>
    <x v="0"/>
    <x v="2"/>
    <n v="8"/>
    <n v="245"/>
    <n v="5775.15"/>
  </r>
  <r>
    <x v="0"/>
    <x v="0"/>
    <x v="0"/>
    <n v="3"/>
    <x v="0"/>
    <x v="3"/>
    <n v="9"/>
    <n v="304"/>
    <n v="6838.34"/>
  </r>
  <r>
    <x v="0"/>
    <x v="0"/>
    <x v="0"/>
    <n v="3"/>
    <x v="0"/>
    <x v="4"/>
    <n v="4"/>
    <n v="83"/>
    <n v="1256.8599999999999"/>
  </r>
  <r>
    <x v="0"/>
    <x v="0"/>
    <x v="0"/>
    <n v="3"/>
    <x v="0"/>
    <x v="5"/>
    <n v="4"/>
    <n v="76"/>
    <n v="2661.72"/>
  </r>
  <r>
    <x v="0"/>
    <x v="0"/>
    <x v="0"/>
    <n v="3"/>
    <x v="0"/>
    <x v="6"/>
    <n v="5"/>
    <n v="156"/>
    <n v="3868.8"/>
  </r>
  <r>
    <x v="0"/>
    <x v="0"/>
    <x v="0"/>
    <n v="3"/>
    <x v="0"/>
    <x v="7"/>
    <n v="7"/>
    <n v="187"/>
    <n v="2400.3200000000002"/>
  </r>
  <r>
    <x v="0"/>
    <x v="1"/>
    <x v="1"/>
    <n v="3"/>
    <x v="0"/>
    <x v="0"/>
    <n v="11"/>
    <n v="347"/>
    <n v="4866.88"/>
  </r>
  <r>
    <x v="0"/>
    <x v="1"/>
    <x v="1"/>
    <n v="3"/>
    <x v="0"/>
    <x v="1"/>
    <n v="7"/>
    <n v="154"/>
    <n v="2296.6"/>
  </r>
  <r>
    <x v="0"/>
    <x v="1"/>
    <x v="1"/>
    <n v="3"/>
    <x v="0"/>
    <x v="2"/>
    <n v="10"/>
    <n v="170"/>
    <n v="5006.7700000000004"/>
  </r>
  <r>
    <x v="0"/>
    <x v="1"/>
    <x v="1"/>
    <n v="3"/>
    <x v="0"/>
    <x v="3"/>
    <n v="9"/>
    <n v="250"/>
    <n v="4761.7"/>
  </r>
  <r>
    <x v="0"/>
    <x v="1"/>
    <x v="1"/>
    <n v="3"/>
    <x v="0"/>
    <x v="4"/>
    <n v="2"/>
    <n v="11"/>
    <n v="270.60000000000002"/>
  </r>
  <r>
    <x v="0"/>
    <x v="1"/>
    <x v="1"/>
    <n v="3"/>
    <x v="0"/>
    <x v="5"/>
    <n v="6"/>
    <n v="111"/>
    <n v="3495.66"/>
  </r>
  <r>
    <x v="0"/>
    <x v="1"/>
    <x v="1"/>
    <n v="3"/>
    <x v="0"/>
    <x v="6"/>
    <n v="2"/>
    <n v="22"/>
    <n v="804.32"/>
  </r>
  <r>
    <x v="0"/>
    <x v="1"/>
    <x v="1"/>
    <n v="3"/>
    <x v="0"/>
    <x v="7"/>
    <n v="9"/>
    <n v="257"/>
    <n v="3982.74"/>
  </r>
  <r>
    <x v="0"/>
    <x v="2"/>
    <x v="2"/>
    <n v="4"/>
    <x v="1"/>
    <x v="0"/>
    <n v="10"/>
    <n v="285"/>
    <n v="5088.3999999999996"/>
  </r>
  <r>
    <x v="0"/>
    <x v="2"/>
    <x v="2"/>
    <n v="4"/>
    <x v="1"/>
    <x v="1"/>
    <n v="3"/>
    <n v="110"/>
    <n v="1813.6"/>
  </r>
  <r>
    <x v="0"/>
    <x v="2"/>
    <x v="2"/>
    <n v="4"/>
    <x v="1"/>
    <x v="2"/>
    <n v="10"/>
    <n v="248"/>
    <n v="6337"/>
  </r>
  <r>
    <x v="0"/>
    <x v="2"/>
    <x v="2"/>
    <n v="4"/>
    <x v="1"/>
    <x v="3"/>
    <n v="8"/>
    <n v="140"/>
    <n v="3857.6"/>
  </r>
  <r>
    <x v="0"/>
    <x v="2"/>
    <x v="2"/>
    <n v="4"/>
    <x v="1"/>
    <x v="4"/>
    <n v="4"/>
    <n v="32"/>
    <n v="819.2"/>
  </r>
  <r>
    <x v="0"/>
    <x v="2"/>
    <x v="2"/>
    <n v="4"/>
    <x v="1"/>
    <x v="5"/>
    <n v="4"/>
    <n v="100"/>
    <n v="4291"/>
  </r>
  <r>
    <x v="0"/>
    <x v="2"/>
    <x v="2"/>
    <n v="4"/>
    <x v="1"/>
    <x v="6"/>
    <n v="2"/>
    <n v="32"/>
    <n v="1164.8"/>
  </r>
  <r>
    <x v="0"/>
    <x v="2"/>
    <x v="2"/>
    <n v="4"/>
    <x v="1"/>
    <x v="7"/>
    <n v="8"/>
    <n v="177"/>
    <n v="3009.8"/>
  </r>
  <r>
    <x v="0"/>
    <x v="3"/>
    <x v="3"/>
    <n v="4"/>
    <x v="1"/>
    <x v="0"/>
    <n v="11"/>
    <n v="286"/>
    <n v="7971.36"/>
  </r>
  <r>
    <x v="0"/>
    <x v="3"/>
    <x v="3"/>
    <n v="4"/>
    <x v="1"/>
    <x v="1"/>
    <n v="7"/>
    <n v="183"/>
    <n v="4124.32"/>
  </r>
  <r>
    <x v="0"/>
    <x v="3"/>
    <x v="3"/>
    <n v="4"/>
    <x v="1"/>
    <x v="2"/>
    <n v="10"/>
    <n v="183"/>
    <n v="3490.59"/>
  </r>
  <r>
    <x v="0"/>
    <x v="3"/>
    <x v="3"/>
    <n v="4"/>
    <x v="1"/>
    <x v="3"/>
    <n v="11"/>
    <n v="367"/>
    <n v="7260.43"/>
  </r>
  <r>
    <x v="0"/>
    <x v="3"/>
    <x v="3"/>
    <n v="4"/>
    <x v="1"/>
    <x v="4"/>
    <n v="6"/>
    <n v="106"/>
    <n v="1130.56"/>
  </r>
  <r>
    <x v="0"/>
    <x v="3"/>
    <x v="3"/>
    <n v="4"/>
    <x v="1"/>
    <x v="5"/>
    <n v="5"/>
    <n v="153"/>
    <n v="3651.3"/>
  </r>
  <r>
    <x v="0"/>
    <x v="3"/>
    <x v="3"/>
    <n v="4"/>
    <x v="1"/>
    <x v="6"/>
    <n v="4"/>
    <n v="81"/>
    <n v="2491.16"/>
  </r>
  <r>
    <x v="0"/>
    <x v="3"/>
    <x v="3"/>
    <n v="4"/>
    <x v="1"/>
    <x v="7"/>
    <n v="10"/>
    <n v="310"/>
    <n v="5812"/>
  </r>
  <r>
    <x v="0"/>
    <x v="4"/>
    <x v="4"/>
    <n v="4"/>
    <x v="1"/>
    <x v="0"/>
    <n v="13"/>
    <n v="347"/>
    <n v="17378.060000000001"/>
  </r>
  <r>
    <x v="0"/>
    <x v="4"/>
    <x v="4"/>
    <n v="4"/>
    <x v="1"/>
    <x v="1"/>
    <n v="5"/>
    <n v="294"/>
    <n v="6290.22"/>
  </r>
  <r>
    <x v="0"/>
    <x v="4"/>
    <x v="4"/>
    <n v="4"/>
    <x v="1"/>
    <x v="2"/>
    <n v="9"/>
    <n v="271"/>
    <n v="3203.38"/>
  </r>
  <r>
    <x v="0"/>
    <x v="4"/>
    <x v="4"/>
    <n v="4"/>
    <x v="1"/>
    <x v="3"/>
    <n v="9"/>
    <n v="372"/>
    <n v="7309.72"/>
  </r>
  <r>
    <x v="0"/>
    <x v="4"/>
    <x v="4"/>
    <n v="4"/>
    <x v="1"/>
    <x v="4"/>
    <n v="6"/>
    <n v="189"/>
    <n v="3836.7"/>
  </r>
  <r>
    <x v="0"/>
    <x v="4"/>
    <x v="4"/>
    <n v="4"/>
    <x v="1"/>
    <x v="5"/>
    <n v="8"/>
    <n v="201"/>
    <n v="5757.18"/>
  </r>
  <r>
    <x v="0"/>
    <x v="4"/>
    <x v="4"/>
    <n v="4"/>
    <x v="1"/>
    <x v="6"/>
    <n v="3"/>
    <n v="63"/>
    <n v="2365.88"/>
  </r>
  <r>
    <x v="0"/>
    <x v="4"/>
    <x v="4"/>
    <n v="4"/>
    <x v="1"/>
    <x v="7"/>
    <n v="4"/>
    <n v="67"/>
    <n v="1042.9000000000001"/>
  </r>
  <r>
    <x v="1"/>
    <x v="5"/>
    <x v="5"/>
    <n v="1"/>
    <x v="2"/>
    <x v="0"/>
    <n v="11"/>
    <n v="305"/>
    <n v="9431.7999999999993"/>
  </r>
  <r>
    <x v="1"/>
    <x v="5"/>
    <x v="5"/>
    <n v="1"/>
    <x v="2"/>
    <x v="1"/>
    <n v="3"/>
    <n v="82"/>
    <n v="1497.44"/>
  </r>
  <r>
    <x v="1"/>
    <x v="5"/>
    <x v="5"/>
    <n v="1"/>
    <x v="2"/>
    <x v="2"/>
    <n v="9"/>
    <n v="240"/>
    <n v="5872.65"/>
  </r>
  <r>
    <x v="1"/>
    <x v="5"/>
    <x v="5"/>
    <n v="1"/>
    <x v="2"/>
    <x v="3"/>
    <n v="16"/>
    <n v="653"/>
    <n v="10952.66"/>
  </r>
  <r>
    <x v="1"/>
    <x v="5"/>
    <x v="5"/>
    <n v="1"/>
    <x v="2"/>
    <x v="4"/>
    <n v="5"/>
    <n v="128"/>
    <n v="2194"/>
  </r>
  <r>
    <x v="1"/>
    <x v="5"/>
    <x v="5"/>
    <n v="1"/>
    <x v="2"/>
    <x v="5"/>
    <n v="8"/>
    <n v="309"/>
    <n v="8956.7999999999993"/>
  </r>
  <r>
    <x v="1"/>
    <x v="5"/>
    <x v="5"/>
    <n v="1"/>
    <x v="2"/>
    <x v="6"/>
    <n v="9"/>
    <n v="195"/>
    <n v="3190.82"/>
  </r>
  <r>
    <x v="1"/>
    <x v="5"/>
    <x v="5"/>
    <n v="1"/>
    <x v="2"/>
    <x v="7"/>
    <n v="13"/>
    <n v="288"/>
    <n v="3143.46"/>
  </r>
  <r>
    <x v="1"/>
    <x v="6"/>
    <x v="6"/>
    <n v="1"/>
    <x v="2"/>
    <x v="0"/>
    <n v="8"/>
    <n v="330"/>
    <n v="21904.16"/>
  </r>
  <r>
    <x v="1"/>
    <x v="6"/>
    <x v="6"/>
    <n v="1"/>
    <x v="2"/>
    <x v="1"/>
    <n v="7"/>
    <n v="236"/>
    <n v="4330.7"/>
  </r>
  <r>
    <x v="1"/>
    <x v="6"/>
    <x v="6"/>
    <n v="1"/>
    <x v="2"/>
    <x v="2"/>
    <n v="14"/>
    <n v="493"/>
    <n v="7788.11"/>
  </r>
  <r>
    <x v="1"/>
    <x v="6"/>
    <x v="6"/>
    <n v="1"/>
    <x v="2"/>
    <x v="3"/>
    <n v="8"/>
    <n v="378"/>
    <n v="6602.4"/>
  </r>
  <r>
    <x v="1"/>
    <x v="6"/>
    <x v="6"/>
    <n v="1"/>
    <x v="2"/>
    <x v="4"/>
    <n v="5"/>
    <n v="202"/>
    <n v="3635.8"/>
  </r>
  <r>
    <x v="1"/>
    <x v="6"/>
    <x v="6"/>
    <n v="1"/>
    <x v="2"/>
    <x v="5"/>
    <n v="7"/>
    <n v="84"/>
    <n v="4313.6499999999996"/>
  </r>
  <r>
    <x v="1"/>
    <x v="6"/>
    <x v="6"/>
    <n v="1"/>
    <x v="2"/>
    <x v="6"/>
    <n v="5"/>
    <n v="124"/>
    <n v="2704.92"/>
  </r>
  <r>
    <x v="1"/>
    <x v="6"/>
    <x v="6"/>
    <n v="1"/>
    <x v="2"/>
    <x v="7"/>
    <n v="7"/>
    <n v="104"/>
    <n v="1260.5"/>
  </r>
  <r>
    <x v="1"/>
    <x v="7"/>
    <x v="7"/>
    <n v="1"/>
    <x v="2"/>
    <x v="0"/>
    <n v="12"/>
    <n v="220"/>
    <n v="2845.84"/>
  </r>
  <r>
    <x v="1"/>
    <x v="7"/>
    <x v="7"/>
    <n v="1"/>
    <x v="2"/>
    <x v="1"/>
    <n v="7"/>
    <n v="428"/>
    <n v="7050.24"/>
  </r>
  <r>
    <x v="1"/>
    <x v="7"/>
    <x v="7"/>
    <n v="1"/>
    <x v="2"/>
    <x v="2"/>
    <n v="19"/>
    <n v="555"/>
    <n v="8318.8799999999992"/>
  </r>
  <r>
    <x v="1"/>
    <x v="7"/>
    <x v="7"/>
    <n v="1"/>
    <x v="2"/>
    <x v="3"/>
    <n v="13"/>
    <n v="318"/>
    <n v="8048.84"/>
  </r>
  <r>
    <x v="1"/>
    <x v="7"/>
    <x v="7"/>
    <n v="1"/>
    <x v="2"/>
    <x v="4"/>
    <n v="10"/>
    <n v="246"/>
    <n v="5605.7"/>
  </r>
  <r>
    <x v="1"/>
    <x v="7"/>
    <x v="7"/>
    <n v="1"/>
    <x v="2"/>
    <x v="5"/>
    <n v="12"/>
    <n v="515"/>
    <n v="10090.219999999999"/>
  </r>
  <r>
    <x v="1"/>
    <x v="7"/>
    <x v="7"/>
    <n v="1"/>
    <x v="2"/>
    <x v="6"/>
    <n v="5"/>
    <n v="103"/>
    <n v="2679.6"/>
  </r>
  <r>
    <x v="1"/>
    <x v="7"/>
    <x v="7"/>
    <n v="1"/>
    <x v="2"/>
    <x v="7"/>
    <n v="9"/>
    <n v="197"/>
    <n v="2562.15"/>
  </r>
  <r>
    <x v="1"/>
    <x v="8"/>
    <x v="8"/>
    <n v="2"/>
    <x v="3"/>
    <x v="0"/>
    <n v="13"/>
    <n v="435"/>
    <n v="10413.68"/>
  </r>
  <r>
    <x v="1"/>
    <x v="8"/>
    <x v="8"/>
    <n v="2"/>
    <x v="3"/>
    <x v="1"/>
    <n v="5"/>
    <n v="128"/>
    <n v="1385.63"/>
  </r>
  <r>
    <x v="1"/>
    <x v="8"/>
    <x v="8"/>
    <n v="2"/>
    <x v="3"/>
    <x v="2"/>
    <n v="10"/>
    <n v="235"/>
    <n v="2909.92"/>
  </r>
  <r>
    <x v="1"/>
    <x v="8"/>
    <x v="8"/>
    <n v="2"/>
    <x v="3"/>
    <x v="3"/>
    <n v="10"/>
    <n v="251"/>
    <n v="7088.9"/>
  </r>
  <r>
    <x v="1"/>
    <x v="8"/>
    <x v="8"/>
    <n v="2"/>
    <x v="3"/>
    <x v="4"/>
    <n v="6"/>
    <n v="174"/>
    <n v="3167.6"/>
  </r>
  <r>
    <x v="1"/>
    <x v="8"/>
    <x v="8"/>
    <n v="2"/>
    <x v="3"/>
    <x v="5"/>
    <n v="5"/>
    <n v="102"/>
    <n v="2998.48"/>
  </r>
  <r>
    <x v="1"/>
    <x v="8"/>
    <x v="8"/>
    <n v="2"/>
    <x v="3"/>
    <x v="6"/>
    <n v="5"/>
    <n v="122"/>
    <n v="3676.8"/>
  </r>
  <r>
    <x v="1"/>
    <x v="8"/>
    <x v="8"/>
    <n v="2"/>
    <x v="3"/>
    <x v="7"/>
    <n v="10"/>
    <n v="175"/>
    <n v="3483.5"/>
  </r>
  <r>
    <x v="1"/>
    <x v="9"/>
    <x v="9"/>
    <n v="2"/>
    <x v="3"/>
    <x v="0"/>
    <n v="15"/>
    <n v="304"/>
    <n v="7297.55"/>
  </r>
  <r>
    <x v="1"/>
    <x v="9"/>
    <x v="9"/>
    <n v="2"/>
    <x v="3"/>
    <x v="1"/>
    <n v="12"/>
    <n v="281"/>
    <n v="5803.91"/>
  </r>
  <r>
    <x v="1"/>
    <x v="9"/>
    <x v="9"/>
    <n v="2"/>
    <x v="3"/>
    <x v="2"/>
    <n v="12"/>
    <n v="424"/>
    <n v="11838.61"/>
  </r>
  <r>
    <x v="1"/>
    <x v="9"/>
    <x v="9"/>
    <n v="2"/>
    <x v="3"/>
    <x v="3"/>
    <n v="9"/>
    <n v="291"/>
    <n v="8415.6"/>
  </r>
  <r>
    <x v="1"/>
    <x v="9"/>
    <x v="9"/>
    <n v="2"/>
    <x v="3"/>
    <x v="4"/>
    <n v="9"/>
    <n v="240"/>
    <n v="6544.4"/>
  </r>
  <r>
    <x v="1"/>
    <x v="9"/>
    <x v="9"/>
    <n v="2"/>
    <x v="3"/>
    <x v="5"/>
    <n v="6"/>
    <n v="93"/>
    <n v="6613.44"/>
  </r>
  <r>
    <x v="1"/>
    <x v="9"/>
    <x v="9"/>
    <n v="2"/>
    <x v="3"/>
    <x v="6"/>
    <n v="6"/>
    <n v="186"/>
    <n v="5893.86"/>
  </r>
  <r>
    <x v="1"/>
    <x v="9"/>
    <x v="9"/>
    <n v="2"/>
    <x v="3"/>
    <x v="7"/>
    <n v="9"/>
    <n v="241"/>
    <n v="4048.29"/>
  </r>
  <r>
    <x v="1"/>
    <x v="10"/>
    <x v="10"/>
    <n v="2"/>
    <x v="3"/>
    <x v="0"/>
    <n v="12"/>
    <n v="322"/>
    <n v="15422.25"/>
  </r>
  <r>
    <x v="1"/>
    <x v="10"/>
    <x v="10"/>
    <n v="2"/>
    <x v="3"/>
    <x v="1"/>
    <n v="9"/>
    <n v="300"/>
    <n v="5453.02"/>
  </r>
  <r>
    <x v="1"/>
    <x v="10"/>
    <x v="10"/>
    <n v="2"/>
    <x v="3"/>
    <x v="2"/>
    <n v="9"/>
    <n v="291"/>
    <n v="7689.82"/>
  </r>
  <r>
    <x v="1"/>
    <x v="10"/>
    <x v="10"/>
    <n v="2"/>
    <x v="3"/>
    <x v="3"/>
    <n v="17"/>
    <n v="494"/>
    <n v="10435.58"/>
  </r>
  <r>
    <x v="1"/>
    <x v="10"/>
    <x v="10"/>
    <n v="2"/>
    <x v="3"/>
    <x v="4"/>
    <n v="5"/>
    <n v="149"/>
    <n v="2267.25"/>
  </r>
  <r>
    <x v="1"/>
    <x v="10"/>
    <x v="10"/>
    <n v="2"/>
    <x v="3"/>
    <x v="5"/>
    <n v="7"/>
    <n v="136"/>
    <n v="3395.51"/>
  </r>
  <r>
    <x v="1"/>
    <x v="10"/>
    <x v="10"/>
    <n v="2"/>
    <x v="3"/>
    <x v="6"/>
    <n v="4"/>
    <n v="71"/>
    <n v="3099.6"/>
  </r>
  <r>
    <x v="1"/>
    <x v="10"/>
    <x v="10"/>
    <n v="2"/>
    <x v="3"/>
    <x v="7"/>
    <n v="14"/>
    <n v="401"/>
    <n v="6018.26"/>
  </r>
  <r>
    <x v="1"/>
    <x v="11"/>
    <x v="11"/>
    <n v="3"/>
    <x v="0"/>
    <x v="0"/>
    <n v="14"/>
    <n v="313"/>
    <n v="3485.42"/>
  </r>
  <r>
    <x v="1"/>
    <x v="11"/>
    <x v="11"/>
    <n v="3"/>
    <x v="0"/>
    <x v="1"/>
    <n v="6"/>
    <n v="95"/>
    <n v="1855.28"/>
  </r>
  <r>
    <x v="1"/>
    <x v="11"/>
    <x v="11"/>
    <n v="3"/>
    <x v="0"/>
    <x v="2"/>
    <n v="6"/>
    <n v="107"/>
    <n v="2174.89"/>
  </r>
  <r>
    <x v="1"/>
    <x v="11"/>
    <x v="11"/>
    <n v="3"/>
    <x v="0"/>
    <x v="3"/>
    <n v="13"/>
    <n v="405"/>
    <n v="8455.7999999999993"/>
  </r>
  <r>
    <x v="1"/>
    <x v="11"/>
    <x v="11"/>
    <n v="3"/>
    <x v="0"/>
    <x v="4"/>
    <n v="10"/>
    <n v="292"/>
    <n v="6345.85"/>
  </r>
  <r>
    <x v="1"/>
    <x v="11"/>
    <x v="11"/>
    <n v="3"/>
    <x v="0"/>
    <x v="5"/>
    <n v="5"/>
    <n v="130"/>
    <n v="4923.5"/>
  </r>
  <r>
    <x v="1"/>
    <x v="11"/>
    <x v="11"/>
    <n v="3"/>
    <x v="0"/>
    <x v="6"/>
    <n v="6"/>
    <n v="149"/>
    <n v="5823.7"/>
  </r>
  <r>
    <x v="1"/>
    <x v="11"/>
    <x v="11"/>
    <n v="3"/>
    <x v="0"/>
    <x v="7"/>
    <n v="9"/>
    <n v="144"/>
    <n v="3298.37"/>
  </r>
  <r>
    <x v="1"/>
    <x v="0"/>
    <x v="0"/>
    <n v="3"/>
    <x v="0"/>
    <x v="0"/>
    <n v="14"/>
    <n v="327"/>
    <n v="7889.22"/>
  </r>
  <r>
    <x v="1"/>
    <x v="0"/>
    <x v="0"/>
    <n v="3"/>
    <x v="0"/>
    <x v="1"/>
    <n v="9"/>
    <n v="300"/>
    <n v="5519.84"/>
  </r>
  <r>
    <x v="1"/>
    <x v="0"/>
    <x v="0"/>
    <n v="3"/>
    <x v="0"/>
    <x v="2"/>
    <n v="13"/>
    <n v="210"/>
    <n v="6462.6"/>
  </r>
  <r>
    <x v="1"/>
    <x v="0"/>
    <x v="0"/>
    <n v="3"/>
    <x v="0"/>
    <x v="3"/>
    <n v="11"/>
    <n v="374"/>
    <n v="12387.35"/>
  </r>
  <r>
    <x v="1"/>
    <x v="0"/>
    <x v="0"/>
    <n v="3"/>
    <x v="0"/>
    <x v="4"/>
    <n v="8"/>
    <n v="243"/>
    <n v="4457.8"/>
  </r>
  <r>
    <x v="1"/>
    <x v="0"/>
    <x v="0"/>
    <n v="3"/>
    <x v="0"/>
    <x v="5"/>
    <n v="5"/>
    <n v="179"/>
    <n v="4806.3"/>
  </r>
  <r>
    <x v="1"/>
    <x v="0"/>
    <x v="0"/>
    <n v="3"/>
    <x v="0"/>
    <x v="6"/>
    <n v="2"/>
    <n v="55"/>
    <n v="1650"/>
  </r>
  <r>
    <x v="1"/>
    <x v="0"/>
    <x v="0"/>
    <n v="3"/>
    <x v="0"/>
    <x v="7"/>
    <n v="9"/>
    <n v="366"/>
    <n v="7847.75"/>
  </r>
  <r>
    <x v="1"/>
    <x v="1"/>
    <x v="1"/>
    <n v="3"/>
    <x v="0"/>
    <x v="0"/>
    <n v="16"/>
    <n v="334"/>
    <n v="5836.92"/>
  </r>
  <r>
    <x v="1"/>
    <x v="1"/>
    <x v="1"/>
    <n v="3"/>
    <x v="0"/>
    <x v="1"/>
    <n v="7"/>
    <n v="206"/>
    <n v="4220.0200000000004"/>
  </r>
  <r>
    <x v="1"/>
    <x v="1"/>
    <x v="1"/>
    <n v="3"/>
    <x v="0"/>
    <x v="2"/>
    <n v="10"/>
    <n v="335"/>
    <n v="7105.63"/>
  </r>
  <r>
    <x v="1"/>
    <x v="1"/>
    <x v="1"/>
    <n v="3"/>
    <x v="0"/>
    <x v="3"/>
    <n v="10"/>
    <n v="256"/>
    <n v="6826.55"/>
  </r>
  <r>
    <x v="1"/>
    <x v="1"/>
    <x v="1"/>
    <n v="3"/>
    <x v="0"/>
    <x v="4"/>
    <n v="9"/>
    <n v="204"/>
    <n v="5415.25"/>
  </r>
  <r>
    <x v="1"/>
    <x v="1"/>
    <x v="1"/>
    <n v="3"/>
    <x v="0"/>
    <x v="5"/>
    <n v="5"/>
    <n v="105"/>
    <n v="4888.24"/>
  </r>
  <r>
    <x v="1"/>
    <x v="1"/>
    <x v="1"/>
    <n v="3"/>
    <x v="0"/>
    <x v="6"/>
    <n v="6"/>
    <n v="119"/>
    <n v="4284"/>
  </r>
  <r>
    <x v="1"/>
    <x v="1"/>
    <x v="1"/>
    <n v="3"/>
    <x v="0"/>
    <x v="7"/>
    <n v="12"/>
    <n v="302"/>
    <n v="8711.0499999999993"/>
  </r>
  <r>
    <x v="1"/>
    <x v="2"/>
    <x v="2"/>
    <n v="4"/>
    <x v="1"/>
    <x v="0"/>
    <n v="8"/>
    <n v="174"/>
    <n v="5726.7"/>
  </r>
  <r>
    <x v="1"/>
    <x v="2"/>
    <x v="2"/>
    <n v="4"/>
    <x v="1"/>
    <x v="1"/>
    <n v="9"/>
    <n v="222"/>
    <n v="3575.18"/>
  </r>
  <r>
    <x v="1"/>
    <x v="2"/>
    <x v="2"/>
    <n v="4"/>
    <x v="1"/>
    <x v="2"/>
    <n v="16"/>
    <n v="371"/>
    <n v="6708.59"/>
  </r>
  <r>
    <x v="1"/>
    <x v="2"/>
    <x v="2"/>
    <n v="4"/>
    <x v="1"/>
    <x v="3"/>
    <n v="14"/>
    <n v="435"/>
    <n v="11420.3"/>
  </r>
  <r>
    <x v="1"/>
    <x v="2"/>
    <x v="2"/>
    <n v="4"/>
    <x v="1"/>
    <x v="4"/>
    <n v="12"/>
    <n v="262"/>
    <n v="5371.48"/>
  </r>
  <r>
    <x v="1"/>
    <x v="2"/>
    <x v="2"/>
    <n v="4"/>
    <x v="1"/>
    <x v="5"/>
    <n v="7"/>
    <n v="176"/>
    <n v="10945.97"/>
  </r>
  <r>
    <x v="1"/>
    <x v="2"/>
    <x v="2"/>
    <n v="4"/>
    <x v="1"/>
    <x v="6"/>
    <n v="4"/>
    <n v="73"/>
    <n v="2827.28"/>
  </r>
  <r>
    <x v="1"/>
    <x v="2"/>
    <x v="2"/>
    <n v="4"/>
    <x v="1"/>
    <x v="7"/>
    <n v="16"/>
    <n v="630"/>
    <n v="9053.76"/>
  </r>
  <r>
    <x v="1"/>
    <x v="3"/>
    <x v="3"/>
    <n v="4"/>
    <x v="1"/>
    <x v="0"/>
    <n v="17"/>
    <n v="491"/>
    <n v="8374.9"/>
  </r>
  <r>
    <x v="1"/>
    <x v="3"/>
    <x v="3"/>
    <n v="4"/>
    <x v="1"/>
    <x v="1"/>
    <n v="12"/>
    <n v="270"/>
    <n v="6565.91"/>
  </r>
  <r>
    <x v="1"/>
    <x v="3"/>
    <x v="3"/>
    <n v="4"/>
    <x v="1"/>
    <x v="2"/>
    <n v="15"/>
    <n v="390"/>
    <n v="7800.7"/>
  </r>
  <r>
    <x v="1"/>
    <x v="3"/>
    <x v="3"/>
    <n v="4"/>
    <x v="1"/>
    <x v="3"/>
    <n v="15"/>
    <n v="422"/>
    <n v="12869"/>
  </r>
  <r>
    <x v="1"/>
    <x v="3"/>
    <x v="3"/>
    <n v="4"/>
    <x v="1"/>
    <x v="4"/>
    <n v="4"/>
    <n v="108"/>
    <n v="3003"/>
  </r>
  <r>
    <x v="1"/>
    <x v="3"/>
    <x v="3"/>
    <n v="4"/>
    <x v="1"/>
    <x v="5"/>
    <n v="10"/>
    <n v="372"/>
    <n v="14059.64"/>
  </r>
  <r>
    <x v="1"/>
    <x v="3"/>
    <x v="3"/>
    <n v="4"/>
    <x v="1"/>
    <x v="6"/>
    <n v="4"/>
    <n v="185"/>
    <n v="7017.4"/>
  </r>
  <r>
    <x v="1"/>
    <x v="3"/>
    <x v="3"/>
    <n v="4"/>
    <x v="1"/>
    <x v="7"/>
    <n v="13"/>
    <n v="419"/>
    <n v="6770.88"/>
  </r>
  <r>
    <x v="1"/>
    <x v="4"/>
    <x v="4"/>
    <n v="4"/>
    <x v="1"/>
    <x v="0"/>
    <n v="10"/>
    <n v="248"/>
    <n v="3851"/>
  </r>
  <r>
    <x v="1"/>
    <x v="4"/>
    <x v="4"/>
    <n v="4"/>
    <x v="1"/>
    <x v="1"/>
    <n v="8"/>
    <n v="172"/>
    <n v="3784.68"/>
  </r>
  <r>
    <x v="1"/>
    <x v="4"/>
    <x v="4"/>
    <n v="4"/>
    <x v="1"/>
    <x v="2"/>
    <n v="10"/>
    <n v="255"/>
    <n v="5081.8500000000004"/>
  </r>
  <r>
    <x v="1"/>
    <x v="4"/>
    <x v="4"/>
    <n v="4"/>
    <x v="1"/>
    <x v="3"/>
    <n v="15"/>
    <n v="344"/>
    <n v="12992.48"/>
  </r>
  <r>
    <x v="1"/>
    <x v="4"/>
    <x v="4"/>
    <n v="4"/>
    <x v="1"/>
    <x v="4"/>
    <n v="11"/>
    <n v="314"/>
    <n v="5815.35"/>
  </r>
  <r>
    <x v="1"/>
    <x v="4"/>
    <x v="4"/>
    <n v="4"/>
    <x v="1"/>
    <x v="5"/>
    <n v="3"/>
    <n v="38"/>
    <n v="1173"/>
  </r>
  <r>
    <x v="1"/>
    <x v="4"/>
    <x v="4"/>
    <n v="4"/>
    <x v="1"/>
    <x v="6"/>
    <n v="5"/>
    <n v="81"/>
    <n v="3125.71"/>
  </r>
  <r>
    <x v="1"/>
    <x v="4"/>
    <x v="4"/>
    <n v="4"/>
    <x v="1"/>
    <x v="7"/>
    <n v="17"/>
    <n v="426"/>
    <n v="7997.55"/>
  </r>
  <r>
    <x v="2"/>
    <x v="5"/>
    <x v="5"/>
    <n v="1"/>
    <x v="2"/>
    <x v="0"/>
    <n v="20"/>
    <n v="498"/>
    <n v="10876.65"/>
  </r>
  <r>
    <x v="2"/>
    <x v="5"/>
    <x v="5"/>
    <n v="1"/>
    <x v="2"/>
    <x v="1"/>
    <n v="9"/>
    <n v="257"/>
    <n v="5824.2"/>
  </r>
  <r>
    <x v="2"/>
    <x v="5"/>
    <x v="5"/>
    <n v="1"/>
    <x v="2"/>
    <x v="2"/>
    <n v="16"/>
    <n v="471"/>
    <n v="8778.15"/>
  </r>
  <r>
    <x v="2"/>
    <x v="5"/>
    <x v="5"/>
    <n v="1"/>
    <x v="2"/>
    <x v="3"/>
    <n v="16"/>
    <n v="406"/>
    <n v="9844.85"/>
  </r>
  <r>
    <x v="2"/>
    <x v="5"/>
    <x v="5"/>
    <n v="1"/>
    <x v="2"/>
    <x v="4"/>
    <n v="11"/>
    <n v="202"/>
    <n v="5242.3500000000004"/>
  </r>
  <r>
    <x v="2"/>
    <x v="5"/>
    <x v="5"/>
    <n v="1"/>
    <x v="2"/>
    <x v="5"/>
    <n v="11"/>
    <n v="259"/>
    <n v="12767.16"/>
  </r>
  <r>
    <x v="2"/>
    <x v="5"/>
    <x v="5"/>
    <n v="1"/>
    <x v="2"/>
    <x v="6"/>
    <n v="10"/>
    <n v="315"/>
    <n v="12157.9"/>
  </r>
  <r>
    <x v="2"/>
    <x v="5"/>
    <x v="5"/>
    <n v="1"/>
    <x v="2"/>
    <x v="7"/>
    <n v="14"/>
    <n v="274"/>
    <n v="5907.17"/>
  </r>
  <r>
    <x v="2"/>
    <x v="6"/>
    <x v="6"/>
    <n v="1"/>
    <x v="2"/>
    <x v="0"/>
    <n v="30"/>
    <n v="622"/>
    <n v="27245.4"/>
  </r>
  <r>
    <x v="2"/>
    <x v="6"/>
    <x v="6"/>
    <n v="1"/>
    <x v="2"/>
    <x v="1"/>
    <n v="13"/>
    <n v="269"/>
    <n v="4737.8999999999996"/>
  </r>
  <r>
    <x v="2"/>
    <x v="6"/>
    <x v="6"/>
    <n v="1"/>
    <x v="2"/>
    <x v="2"/>
    <n v="22"/>
    <n v="440"/>
    <n v="10834.53"/>
  </r>
  <r>
    <x v="2"/>
    <x v="6"/>
    <x v="6"/>
    <n v="1"/>
    <x v="2"/>
    <x v="3"/>
    <n v="17"/>
    <n v="562"/>
    <n v="17691.349999999999"/>
  </r>
  <r>
    <x v="2"/>
    <x v="6"/>
    <x v="6"/>
    <n v="1"/>
    <x v="2"/>
    <x v="4"/>
    <n v="15"/>
    <n v="536"/>
    <n v="12022.82"/>
  </r>
  <r>
    <x v="2"/>
    <x v="6"/>
    <x v="6"/>
    <n v="1"/>
    <x v="2"/>
    <x v="5"/>
    <n v="7"/>
    <n v="91"/>
    <n v="3511.47"/>
  </r>
  <r>
    <x v="2"/>
    <x v="6"/>
    <x v="6"/>
    <n v="1"/>
    <x v="2"/>
    <x v="6"/>
    <n v="6"/>
    <n v="58"/>
    <n v="1526"/>
  </r>
  <r>
    <x v="2"/>
    <x v="6"/>
    <x v="6"/>
    <n v="1"/>
    <x v="2"/>
    <x v="7"/>
    <n v="19"/>
    <n v="715"/>
    <n v="12548.23"/>
  </r>
  <r>
    <x v="2"/>
    <x v="7"/>
    <x v="7"/>
    <n v="1"/>
    <x v="2"/>
    <x v="0"/>
    <n v="22"/>
    <n v="834"/>
    <n v="34599.15"/>
  </r>
  <r>
    <x v="2"/>
    <x v="7"/>
    <x v="7"/>
    <n v="1"/>
    <x v="2"/>
    <x v="1"/>
    <n v="12"/>
    <n v="289"/>
    <n v="6293.97"/>
  </r>
  <r>
    <x v="2"/>
    <x v="7"/>
    <x v="7"/>
    <n v="1"/>
    <x v="2"/>
    <x v="2"/>
    <n v="19"/>
    <n v="475"/>
    <n v="10074.08"/>
  </r>
  <r>
    <x v="2"/>
    <x v="7"/>
    <x v="7"/>
    <n v="1"/>
    <x v="2"/>
    <x v="3"/>
    <n v="14"/>
    <n v="506"/>
    <n v="11454.5"/>
  </r>
  <r>
    <x v="2"/>
    <x v="7"/>
    <x v="7"/>
    <n v="1"/>
    <x v="2"/>
    <x v="4"/>
    <n v="10"/>
    <n v="219"/>
    <n v="4060.01"/>
  </r>
  <r>
    <x v="2"/>
    <x v="7"/>
    <x v="7"/>
    <n v="1"/>
    <x v="2"/>
    <x v="5"/>
    <n v="12"/>
    <n v="344"/>
    <n v="23334.05"/>
  </r>
  <r>
    <x v="2"/>
    <x v="7"/>
    <x v="7"/>
    <n v="1"/>
    <x v="2"/>
    <x v="6"/>
    <n v="4"/>
    <n v="37"/>
    <n v="1172.8"/>
  </r>
  <r>
    <x v="2"/>
    <x v="7"/>
    <x v="7"/>
    <n v="1"/>
    <x v="2"/>
    <x v="7"/>
    <n v="22"/>
    <n v="584"/>
    <n v="12531.12"/>
  </r>
  <r>
    <x v="2"/>
    <x v="8"/>
    <x v="8"/>
    <n v="2"/>
    <x v="3"/>
    <x v="0"/>
    <n v="33"/>
    <n v="925"/>
    <n v="27761.58"/>
  </r>
  <r>
    <x v="2"/>
    <x v="8"/>
    <x v="8"/>
    <n v="2"/>
    <x v="3"/>
    <x v="1"/>
    <n v="17"/>
    <n v="378"/>
    <n v="10773.27"/>
  </r>
  <r>
    <x v="2"/>
    <x v="8"/>
    <x v="8"/>
    <n v="2"/>
    <x v="3"/>
    <x v="2"/>
    <n v="25"/>
    <n v="880"/>
    <n v="22877.18"/>
  </r>
  <r>
    <x v="2"/>
    <x v="8"/>
    <x v="8"/>
    <n v="2"/>
    <x v="3"/>
    <x v="3"/>
    <n v="23"/>
    <n v="581"/>
    <n v="13685.32"/>
  </r>
  <r>
    <x v="2"/>
    <x v="8"/>
    <x v="8"/>
    <n v="2"/>
    <x v="3"/>
    <x v="4"/>
    <n v="13"/>
    <n v="189"/>
    <n v="3325.4"/>
  </r>
  <r>
    <x v="2"/>
    <x v="8"/>
    <x v="8"/>
    <n v="2"/>
    <x v="3"/>
    <x v="5"/>
    <n v="8"/>
    <n v="92"/>
    <n v="4083.66"/>
  </r>
  <r>
    <x v="2"/>
    <x v="8"/>
    <x v="8"/>
    <n v="2"/>
    <x v="3"/>
    <x v="6"/>
    <n v="15"/>
    <n v="351"/>
    <n v="13031.2"/>
  </r>
  <r>
    <x v="2"/>
    <x v="8"/>
    <x v="8"/>
    <n v="2"/>
    <x v="3"/>
    <x v="7"/>
    <n v="29"/>
    <n v="669"/>
    <n v="9316.5400000000009"/>
  </r>
  <r>
    <x v="2"/>
    <x v="9"/>
    <x v="9"/>
    <n v="2"/>
    <x v="3"/>
    <x v="0"/>
    <n v="9"/>
    <n v="327"/>
    <n v="3987.25"/>
  </r>
  <r>
    <x v="2"/>
    <x v="9"/>
    <x v="9"/>
    <n v="2"/>
    <x v="3"/>
    <x v="1"/>
    <n v="5"/>
    <n v="179"/>
    <n v="4060.2"/>
  </r>
  <r>
    <x v="2"/>
    <x v="9"/>
    <x v="9"/>
    <n v="2"/>
    <x v="3"/>
    <x v="2"/>
    <n v="2"/>
    <n v="71"/>
    <n v="837.38"/>
  </r>
  <r>
    <x v="2"/>
    <x v="9"/>
    <x v="9"/>
    <n v="2"/>
    <x v="3"/>
    <x v="3"/>
    <n v="5"/>
    <n v="84"/>
    <n v="3296.1"/>
  </r>
  <r>
    <x v="2"/>
    <x v="9"/>
    <x v="9"/>
    <n v="2"/>
    <x v="3"/>
    <x v="4"/>
    <n v="6"/>
    <n v="133"/>
    <n v="1741.6"/>
  </r>
  <r>
    <x v="2"/>
    <x v="9"/>
    <x v="9"/>
    <n v="2"/>
    <x v="3"/>
    <x v="5"/>
    <n v="6"/>
    <n v="173"/>
    <n v="8495.7099999999991"/>
  </r>
  <r>
    <x v="2"/>
    <x v="9"/>
    <x v="9"/>
    <n v="2"/>
    <x v="3"/>
    <x v="6"/>
    <n v="4"/>
    <n v="115"/>
    <n v="3815.25"/>
  </r>
  <r>
    <x v="2"/>
    <x v="9"/>
    <x v="9"/>
    <n v="2"/>
    <x v="3"/>
    <x v="7"/>
    <n v="6"/>
    <n v="166"/>
    <n v="1436.66"/>
  </r>
</pivotCacheRecords>
</file>

<file path=xl/pivotCache/pivotCacheRecords1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7">
  <r>
    <n v="38"/>
    <x v="0"/>
    <x v="0"/>
    <n v="24"/>
    <n v="623"/>
    <n v="141396.73000000001"/>
    <n v="4.5999999999999996"/>
    <n v="245.93"/>
    <n v="6.18"/>
    <n v="-0.13"/>
    <n v="-0.49"/>
    <x v="0"/>
  </r>
  <r>
    <n v="29"/>
    <x v="1"/>
    <x v="1"/>
    <n v="32"/>
    <n v="746"/>
    <n v="80368.67"/>
    <n v="6.4"/>
    <n v="116.04"/>
    <n v="3.16"/>
    <n v="0.24"/>
    <n v="0.43"/>
    <x v="0"/>
  </r>
  <r>
    <n v="59"/>
    <x v="2"/>
    <x v="2"/>
    <n v="54"/>
    <n v="1496"/>
    <n v="71155.7"/>
    <n v="4.7"/>
    <n v="51.13"/>
    <n v="2.7"/>
    <n v="2.54"/>
    <n v="-0.44"/>
    <x v="0"/>
  </r>
  <r>
    <n v="62"/>
    <x v="3"/>
    <x v="3"/>
    <n v="48"/>
    <n v="1083"/>
    <n v="47234.97"/>
    <n v="5.4"/>
    <n v="46.41"/>
    <n v="1.52"/>
    <n v="1.27"/>
    <n v="-0.09"/>
    <x v="1"/>
  </r>
  <r>
    <n v="60"/>
    <x v="4"/>
    <x v="2"/>
    <n v="51"/>
    <n v="1577"/>
    <n v="46825.48"/>
    <n v="6.4"/>
    <n v="32.130000000000003"/>
    <n v="1.5"/>
    <n v="2.78"/>
    <n v="0.43"/>
    <x v="2"/>
  </r>
  <r>
    <n v="56"/>
    <x v="5"/>
    <x v="4"/>
    <n v="50"/>
    <n v="1263"/>
    <n v="42593.06"/>
    <n v="6.2"/>
    <n v="35.42"/>
    <n v="1.29"/>
    <n v="1.82"/>
    <n v="0.32"/>
    <x v="1"/>
  </r>
  <r>
    <n v="51"/>
    <x v="6"/>
    <x v="5"/>
    <n v="39"/>
    <n v="886"/>
    <n v="41819.65"/>
    <n v="5.0999999999999996"/>
    <n v="50.55"/>
    <n v="1.25"/>
    <n v="0.67"/>
    <n v="-0.24"/>
    <x v="1"/>
  </r>
  <r>
    <n v="17"/>
    <x v="7"/>
    <x v="1"/>
    <n v="37"/>
    <n v="978"/>
    <n v="32698.38"/>
    <n v="6.2"/>
    <n v="36.47"/>
    <n v="0.8"/>
    <n v="0.95"/>
    <n v="0.32"/>
    <x v="1"/>
  </r>
  <r>
    <n v="48"/>
    <x v="8"/>
    <x v="3"/>
    <n v="6"/>
    <n v="138"/>
    <n v="1368.71"/>
    <n v="10.8"/>
    <n v="11.9"/>
    <n v="-0.74"/>
    <n v="-1.62"/>
    <n v="2.68"/>
    <x v="3"/>
  </r>
  <r>
    <n v="33"/>
    <x v="9"/>
    <x v="2"/>
    <n v="32"/>
    <n v="755"/>
    <n v="1648.12"/>
    <n v="4.4000000000000004"/>
    <n v="2.33"/>
    <n v="-0.73"/>
    <n v="0.27"/>
    <n v="-0.6"/>
    <x v="1"/>
  </r>
  <r>
    <n v="15"/>
    <x v="10"/>
    <x v="6"/>
    <n v="6"/>
    <n v="122"/>
    <n v="1784.82"/>
    <n v="1.7"/>
    <n v="14.47"/>
    <n v="-0.72"/>
    <n v="-1.66"/>
    <n v="-1.98"/>
    <x v="1"/>
  </r>
  <r>
    <n v="67"/>
    <x v="11"/>
    <x v="0"/>
    <n v="10"/>
    <n v="184"/>
    <n v="2396.8000000000002"/>
    <n v="6"/>
    <n v="13.72"/>
    <n v="-0.69"/>
    <n v="-1.47"/>
    <n v="0.22"/>
    <x v="1"/>
  </r>
  <r>
    <n v="74"/>
    <x v="12"/>
    <x v="5"/>
    <n v="13"/>
    <n v="297"/>
    <n v="2432.5"/>
    <n v="5"/>
    <n v="8.77"/>
    <n v="-0.69"/>
    <n v="-1.1299999999999999"/>
    <n v="-0.28999999999999998"/>
    <x v="1"/>
  </r>
  <r>
    <n v="37"/>
    <x v="13"/>
    <x v="7"/>
    <n v="6"/>
    <n v="125"/>
    <n v="2688.4"/>
    <n v="5"/>
    <n v="23.4"/>
    <n v="-0.68"/>
    <n v="-1.66"/>
    <n v="-0.28999999999999998"/>
    <x v="1"/>
  </r>
  <r>
    <n v="3"/>
    <x v="14"/>
    <x v="6"/>
    <n v="12"/>
    <n v="328"/>
    <n v="3044"/>
    <n v="1.7"/>
    <n v="9.5"/>
    <n v="-0.66"/>
    <n v="-1.03"/>
    <n v="-1.98"/>
    <x v="1"/>
  </r>
  <r>
    <n v="52"/>
    <x v="15"/>
    <x v="4"/>
    <n v="29"/>
    <n v="500"/>
    <n v="3232.95"/>
    <n v="4.0999999999999996"/>
    <n v="6.76"/>
    <n v="-0.65"/>
    <n v="-0.51"/>
    <n v="-0.75"/>
    <x v="1"/>
  </r>
  <r>
    <n v="66"/>
    <x v="16"/>
    <x v="6"/>
    <n v="8"/>
    <n v="239"/>
    <n v="3383"/>
    <n v="3.1"/>
    <n v="15.3"/>
    <n v="-0.65"/>
    <n v="-1.31"/>
    <n v="-1.26"/>
    <x v="1"/>
  </r>
  <r>
    <n v="50"/>
    <x v="17"/>
    <x v="3"/>
    <n v="10"/>
    <n v="235"/>
    <n v="3437.69"/>
    <n v="2.5"/>
    <n v="14.95"/>
    <n v="-0.64"/>
    <n v="-1.32"/>
    <n v="-1.57"/>
    <x v="1"/>
  </r>
  <r>
    <n v="18"/>
    <x v="18"/>
    <x v="7"/>
    <n v="27"/>
    <n v="539"/>
    <n v="29171.88"/>
    <n v="8"/>
    <n v="59.72"/>
    <n v="0.63"/>
    <n v="-0.39"/>
    <n v="1.24"/>
    <x v="1"/>
  </r>
  <r>
    <n v="25"/>
    <x v="19"/>
    <x v="3"/>
    <n v="18"/>
    <n v="318"/>
    <n v="3704.4"/>
    <n v="8.6"/>
    <n v="13.07"/>
    <n v="-0.63"/>
    <n v="-1.07"/>
    <n v="1.55"/>
    <x v="1"/>
  </r>
  <r>
    <n v="47"/>
    <x v="20"/>
    <x v="3"/>
    <n v="21"/>
    <n v="485"/>
    <n v="3958.08"/>
    <n v="7.4"/>
    <n v="9.14"/>
    <n v="-0.62"/>
    <n v="-0.55000000000000004"/>
    <n v="0.94"/>
    <x v="1"/>
  </r>
  <r>
    <n v="73"/>
    <x v="21"/>
    <x v="7"/>
    <n v="14"/>
    <n v="293"/>
    <n v="3997.2"/>
    <n v="4.7"/>
    <n v="14.36"/>
    <n v="-0.61"/>
    <n v="-1.1399999999999999"/>
    <n v="-0.44"/>
    <x v="1"/>
  </r>
  <r>
    <n v="45"/>
    <x v="22"/>
    <x v="7"/>
    <n v="14"/>
    <n v="508"/>
    <n v="4338.17"/>
    <n v="7.5"/>
    <n v="9.23"/>
    <n v="-0.6"/>
    <n v="-0.48"/>
    <n v="0.99"/>
    <x v="1"/>
  </r>
  <r>
    <n v="23"/>
    <x v="23"/>
    <x v="4"/>
    <n v="20"/>
    <n v="580"/>
    <n v="4601.7"/>
    <n v="3.8"/>
    <n v="8.3699999999999992"/>
    <n v="-0.59"/>
    <n v="-0.26"/>
    <n v="-0.9"/>
    <x v="1"/>
  </r>
  <r>
    <n v="24"/>
    <x v="24"/>
    <x v="0"/>
    <n v="51"/>
    <n v="1125"/>
    <n v="4504.3599999999997"/>
    <n v="5.7"/>
    <n v="4.24"/>
    <n v="-0.59"/>
    <n v="1.4"/>
    <n v="7.0000000000000007E-2"/>
    <x v="1"/>
  </r>
  <r>
    <n v="54"/>
    <x v="25"/>
    <x v="1"/>
    <n v="36"/>
    <n v="755"/>
    <n v="4728.24"/>
    <n v="7.2"/>
    <n v="6.8"/>
    <n v="-0.57999999999999996"/>
    <n v="0.27"/>
    <n v="0.83"/>
    <x v="1"/>
  </r>
  <r>
    <n v="13"/>
    <x v="26"/>
    <x v="7"/>
    <n v="40"/>
    <n v="891"/>
    <n v="4960.4399999999996"/>
    <n v="4.2"/>
    <n v="5.76"/>
    <n v="-0.56999999999999995"/>
    <n v="0.69"/>
    <n v="-0.7"/>
    <x v="1"/>
  </r>
  <r>
    <n v="5"/>
    <x v="27"/>
    <x v="6"/>
    <n v="10"/>
    <n v="298"/>
    <n v="5347.2"/>
    <n v="7.5"/>
    <n v="19.61"/>
    <n v="-0.55000000000000004"/>
    <n v="-1.1299999999999999"/>
    <n v="0.99"/>
    <x v="1"/>
  </r>
  <r>
    <n v="58"/>
    <x v="28"/>
    <x v="7"/>
    <n v="18"/>
    <n v="534"/>
    <n v="5881.67"/>
    <n v="10"/>
    <n v="12.66"/>
    <n v="-0.52"/>
    <n v="-0.4"/>
    <n v="2.27"/>
    <x v="3"/>
  </r>
  <r>
    <n v="19"/>
    <x v="29"/>
    <x v="3"/>
    <n v="37"/>
    <n v="723"/>
    <n v="5862.62"/>
    <n v="5.5"/>
    <n v="8.5299999999999994"/>
    <n v="-0.52"/>
    <n v="0.17"/>
    <n v="-0.03"/>
    <x v="1"/>
  </r>
  <r>
    <n v="46"/>
    <x v="30"/>
    <x v="7"/>
    <n v="27"/>
    <n v="548"/>
    <n v="5883"/>
    <n v="6.4"/>
    <n v="11.11"/>
    <n v="-0.52"/>
    <n v="-0.36"/>
    <n v="0.43"/>
    <x v="1"/>
  </r>
  <r>
    <n v="34"/>
    <x v="31"/>
    <x v="0"/>
    <n v="19"/>
    <n v="506"/>
    <n v="6350.4"/>
    <n v="5"/>
    <n v="12.97"/>
    <n v="-0.5"/>
    <n v="-0.49"/>
    <n v="-0.28999999999999998"/>
    <x v="1"/>
  </r>
  <r>
    <n v="28"/>
    <x v="32"/>
    <x v="5"/>
    <n v="33"/>
    <n v="640"/>
    <n v="25696.639999999999"/>
    <n v="3.8"/>
    <n v="41.98"/>
    <n v="0.46"/>
    <n v="-0.08"/>
    <n v="-0.9"/>
    <x v="1"/>
  </r>
  <r>
    <n v="6"/>
    <x v="33"/>
    <x v="6"/>
    <n v="12"/>
    <n v="301"/>
    <n v="7137"/>
    <n v="3.1"/>
    <n v="24.17"/>
    <n v="-0.46"/>
    <n v="-1.1200000000000001"/>
    <n v="-1.26"/>
    <x v="1"/>
  </r>
  <r>
    <n v="9"/>
    <x v="34"/>
    <x v="1"/>
    <n v="5"/>
    <n v="95"/>
    <n v="7226.5"/>
    <n v="10"/>
    <n v="93.12"/>
    <n v="-0.46"/>
    <n v="-1.75"/>
    <n v="2.27"/>
    <x v="3"/>
  </r>
  <r>
    <n v="22"/>
    <x v="35"/>
    <x v="4"/>
    <n v="14"/>
    <n v="348"/>
    <n v="7122.36"/>
    <n v="2.1"/>
    <n v="20.399999999999999"/>
    <n v="-0.46"/>
    <n v="-0.97"/>
    <n v="-1.77"/>
    <x v="1"/>
  </r>
  <r>
    <n v="57"/>
    <x v="36"/>
    <x v="4"/>
    <n v="23"/>
    <n v="434"/>
    <n v="7661.55"/>
    <n v="2.8"/>
    <n v="18.14"/>
    <n v="-0.43"/>
    <n v="-0.71"/>
    <n v="-1.41"/>
    <x v="1"/>
  </r>
  <r>
    <n v="14"/>
    <x v="37"/>
    <x v="5"/>
    <n v="22"/>
    <n v="404"/>
    <n v="7991.49"/>
    <n v="6.7"/>
    <n v="21.35"/>
    <n v="-0.42"/>
    <n v="-0.8"/>
    <n v="0.57999999999999996"/>
    <x v="1"/>
  </r>
  <r>
    <n v="72"/>
    <x v="38"/>
    <x v="2"/>
    <n v="38"/>
    <n v="806"/>
    <n v="24900.13"/>
    <n v="2.4"/>
    <n v="32.04"/>
    <n v="0.42"/>
    <n v="0.43"/>
    <n v="-1.62"/>
    <x v="1"/>
  </r>
  <r>
    <n v="75"/>
    <x v="39"/>
    <x v="0"/>
    <n v="46"/>
    <n v="1155"/>
    <n v="8177.49"/>
    <n v="5.2"/>
    <n v="7.38"/>
    <n v="-0.41"/>
    <n v="1.49"/>
    <n v="-0.19"/>
    <x v="1"/>
  </r>
  <r>
    <n v="32"/>
    <x v="40"/>
    <x v="2"/>
    <n v="15"/>
    <n v="297"/>
    <n v="8404.16"/>
    <n v="7.3"/>
    <n v="30.72"/>
    <n v="-0.4"/>
    <n v="-1.1299999999999999"/>
    <n v="0.89"/>
    <x v="1"/>
  </r>
  <r>
    <n v="4"/>
    <x v="41"/>
    <x v="6"/>
    <n v="20"/>
    <n v="453"/>
    <n v="8567.9"/>
    <n v="7.5"/>
    <n v="20.68"/>
    <n v="-0.39"/>
    <n v="-0.65"/>
    <n v="0.99"/>
    <x v="1"/>
  </r>
  <r>
    <n v="42"/>
    <x v="42"/>
    <x v="4"/>
    <n v="30"/>
    <n v="697"/>
    <n v="8575"/>
    <n v="5.5"/>
    <n v="13.21"/>
    <n v="-0.39"/>
    <n v="0.09"/>
    <n v="-0.03"/>
    <x v="1"/>
  </r>
  <r>
    <n v="68"/>
    <x v="43"/>
    <x v="3"/>
    <n v="34"/>
    <n v="799"/>
    <n v="8714"/>
    <n v="5.9"/>
    <n v="11.54"/>
    <n v="-0.38"/>
    <n v="0.41"/>
    <n v="0.17"/>
    <x v="1"/>
  </r>
  <r>
    <n v="41"/>
    <x v="44"/>
    <x v="7"/>
    <n v="47"/>
    <n v="981"/>
    <n v="8680.34"/>
    <n v="4"/>
    <n v="9.19"/>
    <n v="-0.38"/>
    <n v="0.96"/>
    <n v="-0.8"/>
    <x v="1"/>
  </r>
  <r>
    <n v="49"/>
    <x v="45"/>
    <x v="3"/>
    <n v="21"/>
    <n v="520"/>
    <n v="9244.6"/>
    <n v="3.1"/>
    <n v="18.48"/>
    <n v="-0.36"/>
    <n v="-0.45"/>
    <n v="-1.26"/>
    <x v="1"/>
  </r>
  <r>
    <n v="21"/>
    <x v="46"/>
    <x v="3"/>
    <n v="39"/>
    <n v="1016"/>
    <n v="9104"/>
    <n v="5.6"/>
    <n v="9.3800000000000008"/>
    <n v="-0.36"/>
    <n v="1.07"/>
    <n v="0.02"/>
    <x v="1"/>
  </r>
  <r>
    <n v="77"/>
    <x v="47"/>
    <x v="6"/>
    <n v="38"/>
    <n v="791"/>
    <n v="9171.6299999999992"/>
    <n v="5.0999999999999996"/>
    <n v="12.11"/>
    <n v="-0.36"/>
    <n v="0.38"/>
    <n v="-0.24"/>
    <x v="1"/>
  </r>
  <r>
    <n v="43"/>
    <x v="48"/>
    <x v="0"/>
    <n v="28"/>
    <n v="580"/>
    <n v="23526.7"/>
    <n v="5"/>
    <n v="43.04"/>
    <n v="0.35"/>
    <n v="-0.26"/>
    <n v="-0.28999999999999998"/>
    <x v="1"/>
  </r>
  <r>
    <n v="44"/>
    <x v="49"/>
    <x v="6"/>
    <n v="24"/>
    <n v="601"/>
    <n v="9915.94"/>
    <n v="6"/>
    <n v="18.13"/>
    <n v="-0.32"/>
    <n v="-0.2"/>
    <n v="0.22"/>
    <x v="1"/>
  </r>
  <r>
    <n v="20"/>
    <x v="50"/>
    <x v="3"/>
    <n v="16"/>
    <n v="313"/>
    <n v="22563.360000000001"/>
    <n v="4.5999999999999996"/>
    <n v="75.94"/>
    <n v="0.3"/>
    <n v="-1.08"/>
    <n v="-0.49"/>
    <x v="1"/>
  </r>
  <r>
    <n v="7"/>
    <x v="51"/>
    <x v="5"/>
    <n v="29"/>
    <n v="763"/>
    <n v="22044.3"/>
    <n v="2.8"/>
    <n v="29.17"/>
    <n v="0.28000000000000003"/>
    <n v="0.3"/>
    <n v="-1.41"/>
    <x v="1"/>
  </r>
  <r>
    <n v="70"/>
    <x v="52"/>
    <x v="0"/>
    <n v="39"/>
    <n v="817"/>
    <n v="10672.65"/>
    <n v="6.3"/>
    <n v="14.15"/>
    <n v="-0.28000000000000003"/>
    <n v="0.46"/>
    <n v="0.37"/>
    <x v="1"/>
  </r>
  <r>
    <n v="64"/>
    <x v="53"/>
    <x v="4"/>
    <n v="30"/>
    <n v="740"/>
    <n v="21957.97"/>
    <n v="4.0999999999999996"/>
    <n v="31.03"/>
    <n v="0.27"/>
    <n v="0.22"/>
    <n v="-0.75"/>
    <x v="1"/>
  </r>
  <r>
    <n v="69"/>
    <x v="54"/>
    <x v="2"/>
    <n v="31"/>
    <n v="714"/>
    <n v="21942.36"/>
    <n v="7.4"/>
    <n v="33.450000000000003"/>
    <n v="0.27"/>
    <n v="0.15"/>
    <n v="0.94"/>
    <x v="1"/>
  </r>
  <r>
    <n v="10"/>
    <x v="55"/>
    <x v="7"/>
    <n v="33"/>
    <n v="742"/>
    <n v="20867.34"/>
    <n v="4.4000000000000004"/>
    <n v="29.68"/>
    <n v="0.22"/>
    <n v="0.23"/>
    <n v="-0.6"/>
    <x v="1"/>
  </r>
  <r>
    <n v="12"/>
    <x v="56"/>
    <x v="2"/>
    <n v="14"/>
    <n v="344"/>
    <n v="12257.66"/>
    <n v="6.4"/>
    <n v="36.909999999999997"/>
    <n v="-0.21"/>
    <n v="-0.99"/>
    <n v="0.43"/>
    <x v="1"/>
  </r>
  <r>
    <n v="39"/>
    <x v="57"/>
    <x v="0"/>
    <n v="30"/>
    <n v="793"/>
    <n v="12294.54"/>
    <n v="6.7"/>
    <n v="16.68"/>
    <n v="-0.2"/>
    <n v="0.39"/>
    <n v="0.57999999999999996"/>
    <x v="1"/>
  </r>
  <r>
    <n v="53"/>
    <x v="58"/>
    <x v="1"/>
    <n v="30"/>
    <n v="722"/>
    <n v="20574.169999999998"/>
    <n v="3.8"/>
    <n v="30.16"/>
    <n v="0.2"/>
    <n v="0.17"/>
    <n v="-0.9"/>
    <x v="1"/>
  </r>
  <r>
    <n v="1"/>
    <x v="59"/>
    <x v="0"/>
    <n v="38"/>
    <n v="828"/>
    <n v="12788.1"/>
    <n v="7.8"/>
    <n v="17.149999999999999"/>
    <n v="-0.18"/>
    <n v="0.49"/>
    <n v="1.1399999999999999"/>
    <x v="1"/>
  </r>
  <r>
    <n v="8"/>
    <x v="60"/>
    <x v="6"/>
    <n v="13"/>
    <n v="372"/>
    <n v="12772"/>
    <n v="6.5"/>
    <n v="38.770000000000003"/>
    <n v="-0.18"/>
    <n v="-0.9"/>
    <n v="0.48"/>
    <x v="1"/>
  </r>
  <r>
    <n v="26"/>
    <x v="61"/>
    <x v="3"/>
    <n v="32"/>
    <n v="753"/>
    <n v="19849.14"/>
    <n v="5.2"/>
    <n v="28.86"/>
    <n v="0.17"/>
    <n v="0.26"/>
    <n v="-0.19"/>
    <x v="1"/>
  </r>
  <r>
    <n v="11"/>
    <x v="62"/>
    <x v="2"/>
    <n v="38"/>
    <n v="706"/>
    <n v="12901.77"/>
    <n v="5.7"/>
    <n v="19.600000000000001"/>
    <n v="-0.17"/>
    <n v="0.12"/>
    <n v="7.0000000000000007E-2"/>
    <x v="1"/>
  </r>
  <r>
    <n v="30"/>
    <x v="63"/>
    <x v="7"/>
    <n v="32"/>
    <n v="612"/>
    <n v="13424.2"/>
    <n v="8.1"/>
    <n v="24.27"/>
    <n v="-0.15"/>
    <n v="-0.17"/>
    <n v="1.29"/>
    <x v="1"/>
  </r>
  <r>
    <n v="71"/>
    <x v="64"/>
    <x v="2"/>
    <n v="42"/>
    <n v="1057"/>
    <n v="19551.03"/>
    <n v="4.3"/>
    <n v="19.760000000000002"/>
    <n v="0.15"/>
    <n v="1.19"/>
    <n v="-0.65"/>
    <x v="1"/>
  </r>
  <r>
    <n v="36"/>
    <x v="65"/>
    <x v="7"/>
    <n v="31"/>
    <n v="805"/>
    <n v="13458.46"/>
    <n v="7.9"/>
    <n v="17.899999999999999"/>
    <n v="-0.15"/>
    <n v="0.42"/>
    <n v="1.19"/>
    <x v="1"/>
  </r>
  <r>
    <n v="35"/>
    <x v="66"/>
    <x v="0"/>
    <n v="36"/>
    <n v="883"/>
    <n v="13644"/>
    <n v="4.7"/>
    <n v="17"/>
    <n v="-0.14000000000000001"/>
    <n v="0.66"/>
    <n v="-0.44"/>
    <x v="1"/>
  </r>
  <r>
    <n v="65"/>
    <x v="67"/>
    <x v="6"/>
    <n v="32"/>
    <n v="745"/>
    <n v="13869.89"/>
    <n v="4.8"/>
    <n v="19.46"/>
    <n v="-0.13"/>
    <n v="0.24"/>
    <n v="-0.39"/>
    <x v="1"/>
  </r>
  <r>
    <n v="61"/>
    <x v="68"/>
    <x v="6"/>
    <n v="24"/>
    <n v="603"/>
    <n v="14352.6"/>
    <n v="7.1"/>
    <n v="27.79"/>
    <n v="-0.1"/>
    <n v="-0.19"/>
    <n v="0.78"/>
    <x v="1"/>
  </r>
  <r>
    <n v="31"/>
    <x v="69"/>
    <x v="2"/>
    <n v="51"/>
    <n v="1397"/>
    <n v="14920.88"/>
    <n v="6.3"/>
    <n v="11.67"/>
    <n v="-0.08"/>
    <n v="2.23"/>
    <n v="0.37"/>
    <x v="2"/>
  </r>
  <r>
    <n v="27"/>
    <x v="70"/>
    <x v="3"/>
    <n v="9"/>
    <n v="365"/>
    <n v="15099.88"/>
    <n v="2.8"/>
    <n v="40.97"/>
    <n v="-7.0000000000000007E-2"/>
    <n v="-0.92"/>
    <n v="-1.41"/>
    <x v="1"/>
  </r>
  <r>
    <n v="40"/>
    <x v="71"/>
    <x v="7"/>
    <n v="41"/>
    <n v="1103"/>
    <n v="17910.63"/>
    <n v="5.0999999999999996"/>
    <n v="17.23"/>
    <n v="7.0000000000000007E-2"/>
    <n v="1.33"/>
    <n v="-0.24"/>
    <x v="1"/>
  </r>
  <r>
    <n v="55"/>
    <x v="72"/>
    <x v="1"/>
    <n v="33"/>
    <n v="903"/>
    <n v="17426.400000000001"/>
    <n v="7.7"/>
    <n v="22.4"/>
    <n v="0.05"/>
    <n v="0.72"/>
    <n v="1.0900000000000001"/>
    <x v="1"/>
  </r>
  <r>
    <n v="16"/>
    <x v="73"/>
    <x v="3"/>
    <n v="43"/>
    <n v="1158"/>
    <n v="17215.78"/>
    <n v="6.7"/>
    <n v="16.38"/>
    <n v="0.04"/>
    <n v="1.5"/>
    <n v="0.57999999999999996"/>
    <x v="1"/>
  </r>
  <r>
    <n v="76"/>
    <x v="74"/>
    <x v="0"/>
    <n v="39"/>
    <n v="981"/>
    <n v="15760.44"/>
    <n v="5.3"/>
    <n v="16.98"/>
    <n v="-0.03"/>
    <n v="0.96"/>
    <n v="-0.14000000000000001"/>
    <x v="1"/>
  </r>
  <r>
    <n v="63"/>
    <x v="75"/>
    <x v="6"/>
    <n v="17"/>
    <n v="445"/>
    <n v="16701.099999999999"/>
    <n v="4.0999999999999996"/>
    <n v="40.79"/>
    <n v="0.01"/>
    <n v="-0.68"/>
    <n v="-0.75"/>
    <x v="1"/>
  </r>
  <r>
    <n v="2"/>
    <x v="76"/>
    <x v="0"/>
    <n v="44"/>
    <n v="1057"/>
    <n v="16355.96"/>
    <n v="10.199999999999999"/>
    <n v="17.88"/>
    <n v="0"/>
    <n v="1.19"/>
    <n v="2.37"/>
    <x v="3"/>
  </r>
</pivotCacheRecords>
</file>

<file path=xl/pivotCache/pivotCacheRecords1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
  <r>
    <n v="7"/>
    <x v="0"/>
    <x v="0"/>
    <x v="0"/>
    <s v="Victoria"/>
    <n v="5"/>
    <n v="5"/>
    <n v="35.57"/>
    <n v="15"/>
    <n v="62.5"/>
    <n v="4409.6499999999996"/>
    <n v="1"/>
  </r>
  <r>
    <n v="24"/>
    <x v="1"/>
    <x v="0"/>
    <x v="1"/>
    <s v="NSW"/>
    <n v="3"/>
    <n v="3"/>
    <n v="30.93"/>
    <n v="7"/>
    <n v="53"/>
    <n v="1326"/>
    <n v="1"/>
  </r>
  <r>
    <n v="10"/>
    <x v="2"/>
    <x v="1"/>
    <x v="2"/>
    <s v=""/>
    <n v="1"/>
    <n v="1"/>
    <n v="4.5"/>
    <n v="4.5"/>
    <n v="4.5"/>
    <n v="90"/>
    <n v="1"/>
  </r>
  <r>
    <n v="29"/>
    <x v="3"/>
    <x v="2"/>
    <x v="3"/>
    <s v="QuÃ©bec"/>
    <n v="2"/>
    <n v="2"/>
    <n v="38.9"/>
    <n v="28.5"/>
    <n v="49.3"/>
    <n v="4058.6"/>
    <n v="0"/>
  </r>
  <r>
    <n v="25"/>
    <x v="4"/>
    <x v="2"/>
    <x v="4"/>
    <s v="QuÃ©bec"/>
    <n v="2"/>
    <n v="1"/>
    <n v="15.72"/>
    <n v="7.45"/>
    <n v="24"/>
    <n v="2916.45"/>
    <n v="0"/>
  </r>
  <r>
    <n v="21"/>
    <x v="5"/>
    <x v="3"/>
    <x v="5"/>
    <s v=""/>
    <n v="2"/>
    <n v="1"/>
    <n v="10.75"/>
    <n v="9.5"/>
    <n v="12"/>
    <n v="1187.5"/>
    <n v="0"/>
  </r>
  <r>
    <n v="23"/>
    <x v="6"/>
    <x v="4"/>
    <x v="6"/>
    <s v=""/>
    <n v="3"/>
    <n v="2"/>
    <n v="18.079999999999998"/>
    <n v="16.25"/>
    <n v="20"/>
    <n v="2282.25"/>
    <n v="0"/>
  </r>
  <r>
    <n v="18"/>
    <x v="7"/>
    <x v="5"/>
    <x v="7"/>
    <s v=""/>
    <n v="2"/>
    <n v="1"/>
    <n v="140.75"/>
    <n v="18"/>
    <n v="263.5"/>
    <n v="5721.5"/>
    <n v="0"/>
  </r>
  <r>
    <n v="28"/>
    <x v="8"/>
    <x v="5"/>
    <x v="8"/>
    <s v=""/>
    <n v="2"/>
    <n v="1"/>
    <n v="44.5"/>
    <n v="34"/>
    <n v="55"/>
    <n v="4991"/>
    <n v="0"/>
  </r>
  <r>
    <n v="27"/>
    <x v="9"/>
    <x v="5"/>
    <x v="9"/>
    <s v=""/>
    <n v="1"/>
    <n v="1"/>
    <n v="13.25"/>
    <n v="13.25"/>
    <n v="13.25"/>
    <n v="821.5"/>
    <n v="0"/>
  </r>
  <r>
    <n v="12"/>
    <x v="10"/>
    <x v="6"/>
    <x v="10"/>
    <s v=""/>
    <n v="5"/>
    <n v="5"/>
    <n v="44.68"/>
    <n v="7.75"/>
    <n v="123.79"/>
    <n v="3301.85"/>
    <n v="2"/>
  </r>
  <r>
    <n v="11"/>
    <x v="11"/>
    <x v="6"/>
    <x v="11"/>
    <s v=""/>
    <n v="3"/>
    <n v="1"/>
    <n v="29.71"/>
    <n v="14"/>
    <n v="43.9"/>
    <n v="3683.55"/>
    <n v="0"/>
  </r>
  <r>
    <n v="13"/>
    <x v="12"/>
    <x v="6"/>
    <x v="12"/>
    <s v=""/>
    <n v="1"/>
    <n v="1"/>
    <n v="25.89"/>
    <n v="25.89"/>
    <n v="25.89"/>
    <n v="258.89999999999998"/>
    <n v="0"/>
  </r>
  <r>
    <n v="26"/>
    <x v="13"/>
    <x v="7"/>
    <x v="13"/>
    <s v=""/>
    <n v="2"/>
    <n v="1"/>
    <n v="28.75"/>
    <n v="19.5"/>
    <n v="38"/>
    <n v="1500"/>
    <n v="0"/>
  </r>
  <r>
    <n v="14"/>
    <x v="14"/>
    <x v="7"/>
    <x v="14"/>
    <s v=""/>
    <n v="3"/>
    <n v="1"/>
    <n v="26.43"/>
    <n v="12.5"/>
    <n v="34.799999999999997"/>
    <n v="775.2"/>
    <n v="0"/>
  </r>
  <r>
    <n v="4"/>
    <x v="15"/>
    <x v="8"/>
    <x v="15"/>
    <s v=""/>
    <n v="3"/>
    <n v="3"/>
    <n v="46"/>
    <n v="10"/>
    <n v="97"/>
    <n v="3814"/>
    <n v="1"/>
  </r>
  <r>
    <n v="6"/>
    <x v="16"/>
    <x v="8"/>
    <x v="16"/>
    <s v=""/>
    <n v="3"/>
    <n v="3"/>
    <n v="14.92"/>
    <n v="6"/>
    <n v="23.25"/>
    <n v="1562.25"/>
    <n v="0"/>
  </r>
  <r>
    <n v="22"/>
    <x v="17"/>
    <x v="9"/>
    <x v="17"/>
    <s v=""/>
    <n v="2"/>
    <n v="1"/>
    <n v="11.12"/>
    <n v="9.5"/>
    <n v="12.75"/>
    <n v="533.25"/>
    <n v="0"/>
  </r>
  <r>
    <n v="15"/>
    <x v="18"/>
    <x v="10"/>
    <x v="18"/>
    <s v=""/>
    <n v="3"/>
    <n v="1"/>
    <n v="20"/>
    <n v="2.5"/>
    <n v="36"/>
    <n v="1775"/>
    <n v="0"/>
  </r>
  <r>
    <n v="20"/>
    <x v="19"/>
    <x v="11"/>
    <x v="19"/>
    <s v=""/>
    <n v="3"/>
    <n v="3"/>
    <n v="26.48"/>
    <n v="14"/>
    <n v="46"/>
    <n v="1671.15"/>
    <n v="1"/>
  </r>
  <r>
    <n v="5"/>
    <x v="20"/>
    <x v="12"/>
    <x v="20"/>
    <s v="Asturias"/>
    <n v="2"/>
    <n v="1"/>
    <n v="29.5"/>
    <n v="21"/>
    <n v="38"/>
    <n v="3730"/>
    <n v="0"/>
  </r>
  <r>
    <n v="17"/>
    <x v="21"/>
    <x v="13"/>
    <x v="21"/>
    <s v=""/>
    <n v="3"/>
    <n v="1"/>
    <n v="20"/>
    <n v="15"/>
    <n v="26"/>
    <n v="3929"/>
    <n v="0"/>
  </r>
  <r>
    <n v="9"/>
    <x v="22"/>
    <x v="13"/>
    <x v="22"/>
    <s v=""/>
    <n v="2"/>
    <n v="1"/>
    <n v="15"/>
    <n v="9"/>
    <n v="21"/>
    <n v="2733"/>
    <n v="0"/>
  </r>
  <r>
    <n v="8"/>
    <x v="23"/>
    <x v="14"/>
    <x v="23"/>
    <s v=""/>
    <n v="4"/>
    <n v="1"/>
    <n v="28.18"/>
    <n v="9.1999999999999993"/>
    <n v="81"/>
    <n v="3575"/>
    <n v="0"/>
  </r>
  <r>
    <n v="1"/>
    <x v="24"/>
    <x v="14"/>
    <x v="24"/>
    <s v=""/>
    <n v="3"/>
    <n v="2"/>
    <n v="15.67"/>
    <n v="10"/>
    <n v="19"/>
    <n v="1155"/>
    <n v="0"/>
  </r>
  <r>
    <n v="3"/>
    <x v="25"/>
    <x v="15"/>
    <x v="25"/>
    <s v="MI"/>
    <n v="3"/>
    <n v="2"/>
    <n v="31.67"/>
    <n v="25"/>
    <n v="40"/>
    <n v="3690"/>
    <n v="0"/>
  </r>
  <r>
    <n v="2"/>
    <x v="26"/>
    <x v="15"/>
    <x v="26"/>
    <s v="LA"/>
    <n v="4"/>
    <n v="1"/>
    <n v="20.350000000000001"/>
    <n v="17"/>
    <n v="22"/>
    <n v="2833.8"/>
    <n v="1"/>
  </r>
  <r>
    <n v="16"/>
    <x v="27"/>
    <x v="15"/>
    <x v="27"/>
    <s v="OR"/>
    <n v="3"/>
    <n v="1"/>
    <n v="15.33"/>
    <n v="14"/>
    <n v="18"/>
    <n v="2642"/>
    <n v="0"/>
  </r>
  <r>
    <n v="19"/>
    <x v="28"/>
    <x v="15"/>
    <x v="28"/>
    <s v="MA"/>
    <n v="2"/>
    <n v="1"/>
    <n v="14.02"/>
    <n v="9.65"/>
    <n v="18.399999999999999"/>
    <n v="3083.45"/>
    <n v="0"/>
  </r>
</pivotCacheRecords>
</file>

<file path=xl/pivotCache/pivotCacheRecords17.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6">
  <r>
    <x v="0"/>
    <n v="4"/>
    <n v="12"/>
    <n v="20.87"/>
    <n v="12249.25"/>
  </r>
  <r>
    <x v="1"/>
    <n v="3"/>
    <n v="5"/>
    <n v="76.75"/>
    <n v="11534"/>
  </r>
  <r>
    <x v="2"/>
    <n v="3"/>
    <n v="9"/>
    <n v="37.6"/>
    <n v="7244.3"/>
  </r>
  <r>
    <x v="3"/>
    <n v="2"/>
    <n v="8"/>
    <n v="33.83"/>
    <n v="5735.65"/>
  </r>
  <r>
    <x v="4"/>
    <n v="2"/>
    <n v="4"/>
    <n v="27.31"/>
    <n v="6975.05"/>
  </r>
  <r>
    <x v="5"/>
    <n v="2"/>
    <n v="5"/>
    <n v="27.36"/>
    <n v="2275.1999999999998"/>
  </r>
  <r>
    <x v="6"/>
    <n v="2"/>
    <n v="6"/>
    <n v="30.46"/>
    <n v="5376.25"/>
  </r>
  <r>
    <x v="7"/>
    <n v="2"/>
    <n v="5"/>
    <n v="18"/>
    <n v="6662"/>
  </r>
  <r>
    <x v="8"/>
    <n v="2"/>
    <n v="7"/>
    <n v="22.81"/>
    <n v="4730"/>
  </r>
  <r>
    <x v="9"/>
    <n v="1"/>
    <n v="1"/>
    <n v="4.5"/>
    <n v="90"/>
  </r>
  <r>
    <x v="10"/>
    <n v="1"/>
    <n v="2"/>
    <n v="10.75"/>
    <n v="1187.5"/>
  </r>
  <r>
    <x v="11"/>
    <n v="1"/>
    <n v="3"/>
    <n v="18.079999999999998"/>
    <n v="2282.25"/>
  </r>
  <r>
    <x v="12"/>
    <n v="1"/>
    <n v="2"/>
    <n v="11.12"/>
    <n v="533.25"/>
  </r>
  <r>
    <x v="13"/>
    <n v="1"/>
    <n v="3"/>
    <n v="20"/>
    <n v="1775"/>
  </r>
  <r>
    <x v="14"/>
    <n v="1"/>
    <n v="3"/>
    <n v="26.48"/>
    <n v="1671.15"/>
  </r>
  <r>
    <x v="15"/>
    <n v="1"/>
    <n v="2"/>
    <n v="29.5"/>
    <n v="3730"/>
  </r>
</pivotCacheRecords>
</file>

<file path=xl/pivotCache/pivotCacheRecords18.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
  <r>
    <x v="0"/>
    <n v="1"/>
    <n v="3"/>
    <n v="31.67"/>
    <n v="3690"/>
  </r>
  <r>
    <x v="1"/>
    <n v="1"/>
    <n v="2"/>
    <n v="44.5"/>
    <n v="4991"/>
  </r>
  <r>
    <x v="2"/>
    <n v="1"/>
    <n v="3"/>
    <n v="15.33"/>
    <n v="2642"/>
  </r>
  <r>
    <x v="3"/>
    <n v="1"/>
    <n v="3"/>
    <n v="29.71"/>
    <n v="3683.55"/>
  </r>
  <r>
    <x v="4"/>
    <n v="1"/>
    <n v="2"/>
    <n v="14.02"/>
    <n v="3083.45"/>
  </r>
  <r>
    <x v="5"/>
    <n v="1"/>
    <n v="1"/>
    <n v="25.89"/>
    <n v="258.89999999999998"/>
  </r>
  <r>
    <x v="6"/>
    <n v="1"/>
    <n v="5"/>
    <n v="44.68"/>
    <n v="3301.85"/>
  </r>
  <r>
    <x v="7"/>
    <n v="1"/>
    <n v="2"/>
    <n v="15"/>
    <n v="2733"/>
  </r>
  <r>
    <x v="8"/>
    <n v="1"/>
    <n v="3"/>
    <n v="18.079999999999998"/>
    <n v="2282.25"/>
  </r>
  <r>
    <x v="9"/>
    <n v="1"/>
    <n v="3"/>
    <n v="15.67"/>
    <n v="1155"/>
  </r>
  <r>
    <x v="10"/>
    <n v="1"/>
    <n v="2"/>
    <n v="10.75"/>
    <n v="1187.5"/>
  </r>
  <r>
    <x v="11"/>
    <n v="1"/>
    <n v="4"/>
    <n v="28.18"/>
    <n v="3575"/>
  </r>
  <r>
    <x v="12"/>
    <n v="1"/>
    <n v="5"/>
    <n v="35.57"/>
    <n v="4409.6499999999996"/>
  </r>
  <r>
    <x v="13"/>
    <n v="1"/>
    <n v="1"/>
    <n v="13.25"/>
    <n v="821.5"/>
  </r>
  <r>
    <x v="14"/>
    <n v="1"/>
    <n v="2"/>
    <n v="15.72"/>
    <n v="2916.45"/>
  </r>
  <r>
    <x v="15"/>
    <n v="1"/>
    <n v="4"/>
    <n v="20.350000000000001"/>
    <n v="2833.8"/>
  </r>
  <r>
    <x v="16"/>
    <n v="1"/>
    <n v="3"/>
    <n v="14.92"/>
    <n v="1562.25"/>
  </r>
  <r>
    <x v="17"/>
    <n v="1"/>
    <n v="2"/>
    <n v="29.5"/>
    <n v="3730"/>
  </r>
  <r>
    <x v="18"/>
    <n v="1"/>
    <n v="2"/>
    <n v="140.75"/>
    <n v="5721.5"/>
  </r>
  <r>
    <x v="19"/>
    <n v="1"/>
    <n v="3"/>
    <n v="26.43"/>
    <n v="775.2"/>
  </r>
  <r>
    <x v="20"/>
    <n v="1"/>
    <n v="1"/>
    <n v="4.5"/>
    <n v="90"/>
  </r>
  <r>
    <x v="21"/>
    <n v="1"/>
    <n v="2"/>
    <n v="28.75"/>
    <n v="1500"/>
  </r>
  <r>
    <x v="22"/>
    <n v="1"/>
    <n v="3"/>
    <n v="20"/>
    <n v="1775"/>
  </r>
  <r>
    <x v="23"/>
    <n v="1"/>
    <n v="3"/>
    <n v="26.48"/>
    <n v="1671.15"/>
  </r>
  <r>
    <x v="24"/>
    <n v="1"/>
    <n v="2"/>
    <n v="38.9"/>
    <n v="4058.6"/>
  </r>
  <r>
    <x v="25"/>
    <n v="1"/>
    <n v="3"/>
    <n v="20"/>
    <n v="3929"/>
  </r>
  <r>
    <x v="26"/>
    <n v="1"/>
    <n v="3"/>
    <n v="30.93"/>
    <n v="1326"/>
  </r>
  <r>
    <x v="27"/>
    <n v="1"/>
    <n v="3"/>
    <n v="46"/>
    <n v="3814"/>
  </r>
  <r>
    <x v="28"/>
    <n v="1"/>
    <n v="2"/>
    <n v="11.12"/>
    <n v="533.25"/>
  </r>
</pivotCacheRecords>
</file>

<file path=xl/pivotCache/pivotCacheRecords19.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
  <r>
    <n v="16"/>
    <x v="0"/>
    <x v="0"/>
    <n v="1"/>
    <x v="0"/>
    <x v="0"/>
    <n v="15.33"/>
    <n v="183"/>
  </r>
  <r>
    <n v="1"/>
    <x v="1"/>
    <x v="1"/>
    <n v="1"/>
    <x v="0"/>
    <x v="1"/>
    <n v="18.5"/>
    <n v="56"/>
  </r>
  <r>
    <n v="18"/>
    <x v="2"/>
    <x v="2"/>
    <n v="1"/>
    <x v="0"/>
    <x v="1"/>
    <n v="140.75"/>
    <n v="86"/>
  </r>
  <r>
    <n v="7"/>
    <x v="3"/>
    <x v="3"/>
    <n v="1"/>
    <x v="0"/>
    <x v="2"/>
    <n v="15"/>
    <n v="15"/>
  </r>
  <r>
    <n v="20"/>
    <x v="4"/>
    <x v="4"/>
    <n v="1"/>
    <x v="0"/>
    <x v="2"/>
    <n v="46"/>
    <n v="17"/>
  </r>
  <r>
    <n v="10"/>
    <x v="5"/>
    <x v="5"/>
    <n v="1"/>
    <x v="0"/>
    <x v="2"/>
    <n v="4.5"/>
    <n v="20"/>
  </r>
  <r>
    <n v="12"/>
    <x v="6"/>
    <x v="6"/>
    <n v="1"/>
    <x v="0"/>
    <x v="2"/>
    <n v="7.75"/>
    <n v="125"/>
  </r>
  <r>
    <n v="23"/>
    <x v="7"/>
    <x v="7"/>
    <n v="1"/>
    <x v="0"/>
    <x v="2"/>
    <n v="18"/>
    <n v="57"/>
  </r>
  <r>
    <n v="2"/>
    <x v="8"/>
    <x v="0"/>
    <n v="2"/>
    <x v="1"/>
    <x v="3"/>
    <n v="20.350000000000001"/>
    <n v="133"/>
  </r>
  <r>
    <n v="3"/>
    <x v="9"/>
    <x v="0"/>
    <n v="2"/>
    <x v="1"/>
    <x v="1"/>
    <n v="32.5"/>
    <n v="126"/>
  </r>
  <r>
    <n v="1"/>
    <x v="1"/>
    <x v="1"/>
    <n v="2"/>
    <x v="1"/>
    <x v="2"/>
    <n v="10"/>
    <n v="13"/>
  </r>
  <r>
    <n v="20"/>
    <x v="4"/>
    <x v="4"/>
    <n v="2"/>
    <x v="1"/>
    <x v="2"/>
    <n v="19.45"/>
    <n v="27"/>
  </r>
  <r>
    <n v="12"/>
    <x v="6"/>
    <x v="6"/>
    <n v="2"/>
    <x v="1"/>
    <x v="2"/>
    <n v="13"/>
    <n v="32"/>
  </r>
  <r>
    <n v="6"/>
    <x v="10"/>
    <x v="8"/>
    <n v="2"/>
    <x v="1"/>
    <x v="2"/>
    <n v="15.5"/>
    <n v="39"/>
  </r>
  <r>
    <n v="7"/>
    <x v="3"/>
    <x v="3"/>
    <n v="2"/>
    <x v="1"/>
    <x v="2"/>
    <n v="43.9"/>
    <n v="24"/>
  </r>
  <r>
    <n v="29"/>
    <x v="11"/>
    <x v="9"/>
    <n v="2"/>
    <x v="1"/>
    <x v="2"/>
    <n v="28.5"/>
    <n v="113"/>
  </r>
  <r>
    <n v="8"/>
    <x v="12"/>
    <x v="1"/>
    <n v="3"/>
    <x v="2"/>
    <x v="3"/>
    <n v="28.18"/>
    <n v="74"/>
  </r>
  <r>
    <n v="11"/>
    <x v="13"/>
    <x v="6"/>
    <n v="3"/>
    <x v="2"/>
    <x v="0"/>
    <n v="29.71"/>
    <n v="140"/>
  </r>
  <r>
    <n v="22"/>
    <x v="14"/>
    <x v="10"/>
    <n v="3"/>
    <x v="2"/>
    <x v="1"/>
    <n v="11.12"/>
    <n v="51"/>
  </r>
  <r>
    <n v="23"/>
    <x v="7"/>
    <x v="7"/>
    <n v="3"/>
    <x v="2"/>
    <x v="1"/>
    <n v="18.12"/>
    <n v="75"/>
  </r>
  <r>
    <n v="7"/>
    <x v="3"/>
    <x v="3"/>
    <n v="3"/>
    <x v="2"/>
    <x v="2"/>
    <n v="17.45"/>
    <n v="29"/>
  </r>
  <r>
    <n v="29"/>
    <x v="11"/>
    <x v="9"/>
    <n v="3"/>
    <x v="2"/>
    <x v="2"/>
    <n v="49.3"/>
    <n v="17"/>
  </r>
  <r>
    <n v="15"/>
    <x v="15"/>
    <x v="11"/>
    <n v="4"/>
    <x v="3"/>
    <x v="0"/>
    <n v="20"/>
    <n v="164"/>
  </r>
  <r>
    <n v="14"/>
    <x v="16"/>
    <x v="12"/>
    <n v="4"/>
    <x v="3"/>
    <x v="0"/>
    <n v="26.43"/>
    <n v="23"/>
  </r>
  <r>
    <n v="5"/>
    <x v="17"/>
    <x v="13"/>
    <n v="4"/>
    <x v="3"/>
    <x v="1"/>
    <n v="29.5"/>
    <n v="108"/>
  </r>
  <r>
    <n v="28"/>
    <x v="18"/>
    <x v="2"/>
    <n v="4"/>
    <x v="3"/>
    <x v="1"/>
    <n v="44.5"/>
    <n v="98"/>
  </r>
  <r>
    <n v="9"/>
    <x v="19"/>
    <x v="14"/>
    <n v="5"/>
    <x v="4"/>
    <x v="1"/>
    <n v="15"/>
    <n v="165"/>
  </r>
  <r>
    <n v="26"/>
    <x v="20"/>
    <x v="12"/>
    <n v="5"/>
    <x v="4"/>
    <x v="1"/>
    <n v="28.75"/>
    <n v="57"/>
  </r>
  <r>
    <n v="12"/>
    <x v="6"/>
    <x v="6"/>
    <n v="5"/>
    <x v="4"/>
    <x v="2"/>
    <n v="33.25"/>
    <n v="22"/>
  </r>
  <r>
    <n v="20"/>
    <x v="4"/>
    <x v="4"/>
    <n v="5"/>
    <x v="4"/>
    <x v="2"/>
    <n v="14"/>
    <n v="26"/>
  </r>
  <r>
    <n v="24"/>
    <x v="21"/>
    <x v="3"/>
    <n v="5"/>
    <x v="4"/>
    <x v="2"/>
    <n v="7"/>
    <n v="38"/>
  </r>
  <r>
    <n v="25"/>
    <x v="22"/>
    <x v="9"/>
    <n v="6"/>
    <x v="5"/>
    <x v="1"/>
    <n v="15.72"/>
    <n v="136"/>
  </r>
  <r>
    <n v="4"/>
    <x v="23"/>
    <x v="8"/>
    <n v="6"/>
    <x v="5"/>
    <x v="2"/>
    <n v="97"/>
    <n v="29"/>
  </r>
  <r>
    <n v="7"/>
    <x v="3"/>
    <x v="3"/>
    <n v="6"/>
    <x v="5"/>
    <x v="2"/>
    <n v="39"/>
    <n v="0"/>
  </r>
  <r>
    <n v="12"/>
    <x v="6"/>
    <x v="6"/>
    <n v="6"/>
    <x v="5"/>
    <x v="2"/>
    <n v="123.79"/>
    <n v="0"/>
  </r>
  <r>
    <n v="24"/>
    <x v="21"/>
    <x v="3"/>
    <n v="6"/>
    <x v="5"/>
    <x v="2"/>
    <n v="32.799999999999997"/>
    <n v="0"/>
  </r>
  <r>
    <n v="4"/>
    <x v="23"/>
    <x v="8"/>
    <n v="7"/>
    <x v="6"/>
    <x v="2"/>
    <n v="10"/>
    <n v="4"/>
  </r>
  <r>
    <n v="6"/>
    <x v="10"/>
    <x v="8"/>
    <n v="7"/>
    <x v="6"/>
    <x v="2"/>
    <n v="23.25"/>
    <n v="35"/>
  </r>
  <r>
    <n v="24"/>
    <x v="21"/>
    <x v="3"/>
    <n v="7"/>
    <x v="6"/>
    <x v="2"/>
    <n v="53"/>
    <n v="20"/>
  </r>
  <r>
    <n v="3"/>
    <x v="9"/>
    <x v="0"/>
    <n v="7"/>
    <x v="6"/>
    <x v="2"/>
    <n v="30"/>
    <n v="15"/>
  </r>
  <r>
    <n v="12"/>
    <x v="6"/>
    <x v="6"/>
    <n v="7"/>
    <x v="6"/>
    <x v="2"/>
    <n v="45.6"/>
    <n v="26"/>
  </r>
  <r>
    <n v="17"/>
    <x v="24"/>
    <x v="14"/>
    <n v="8"/>
    <x v="7"/>
    <x v="0"/>
    <n v="20"/>
    <n v="224"/>
  </r>
  <r>
    <n v="19"/>
    <x v="25"/>
    <x v="0"/>
    <n v="8"/>
    <x v="7"/>
    <x v="1"/>
    <n v="14.02"/>
    <n v="208"/>
  </r>
  <r>
    <n v="21"/>
    <x v="26"/>
    <x v="15"/>
    <n v="8"/>
    <x v="7"/>
    <x v="1"/>
    <n v="10.75"/>
    <n v="100"/>
  </r>
  <r>
    <n v="13"/>
    <x v="27"/>
    <x v="6"/>
    <n v="8"/>
    <x v="7"/>
    <x v="2"/>
    <n v="25.89"/>
    <n v="10"/>
  </r>
  <r>
    <n v="7"/>
    <x v="3"/>
    <x v="3"/>
    <n v="8"/>
    <x v="7"/>
    <x v="2"/>
    <n v="62.5"/>
    <n v="42"/>
  </r>
  <r>
    <n v="6"/>
    <x v="10"/>
    <x v="8"/>
    <n v="8"/>
    <x v="7"/>
    <x v="2"/>
    <n v="6"/>
    <n v="24"/>
  </r>
  <r>
    <n v="4"/>
    <x v="23"/>
    <x v="8"/>
    <n v="8"/>
    <x v="7"/>
    <x v="2"/>
    <n v="31"/>
    <n v="31"/>
  </r>
  <r>
    <n v="27"/>
    <x v="28"/>
    <x v="2"/>
    <n v="8"/>
    <x v="7"/>
    <x v="2"/>
    <n v="13.25"/>
    <n v="62"/>
  </r>
</pivotCacheRecords>
</file>

<file path=xl/pivotCache/pivotCacheRecords20.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
  <r>
    <x v="0"/>
    <n v="4"/>
    <n v="10"/>
    <n v="28.73"/>
    <x v="0"/>
  </r>
  <r>
    <x v="1"/>
    <n v="5"/>
    <n v="7"/>
    <n v="20.25"/>
    <x v="1"/>
  </r>
  <r>
    <x v="2"/>
    <n v="5"/>
    <n v="6"/>
    <n v="54.01"/>
    <x v="2"/>
  </r>
  <r>
    <x v="3"/>
    <n v="5"/>
    <n v="5"/>
    <n v="32.369999999999997"/>
    <x v="3"/>
  </r>
  <r>
    <x v="4"/>
    <n v="6"/>
    <n v="13"/>
    <n v="25.16"/>
    <x v="4"/>
  </r>
  <r>
    <x v="5"/>
    <n v="8"/>
    <n v="12"/>
    <n v="37.979999999999997"/>
    <x v="5"/>
  </r>
  <r>
    <x v="6"/>
    <n v="8"/>
    <n v="12"/>
    <n v="23.06"/>
    <x v="6"/>
  </r>
  <r>
    <x v="7"/>
    <n v="8"/>
    <n v="12"/>
    <n v="20.68"/>
    <x v="7"/>
  </r>
</pivotCacheRecords>
</file>

<file path=xl/pivotCache/pivotCacheRecords2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
  <r>
    <x v="0"/>
    <x v="0"/>
    <x v="0"/>
    <n v="1"/>
    <n v="1"/>
    <n v="15"/>
    <n v="15"/>
    <n v="15"/>
    <n v="0"/>
    <n v="0"/>
    <n v="14.15"/>
    <n v="0.85"/>
  </r>
  <r>
    <x v="0"/>
    <x v="0"/>
    <x v="1"/>
    <n v="1"/>
    <n v="1"/>
    <n v="43.9"/>
    <n v="43.9"/>
    <n v="43.9"/>
    <n v="0"/>
    <n v="0"/>
    <n v="40.79"/>
    <n v="3.11"/>
  </r>
  <r>
    <x v="0"/>
    <x v="0"/>
    <x v="2"/>
    <n v="1"/>
    <n v="1"/>
    <n v="17.45"/>
    <n v="17.45"/>
    <n v="17.45"/>
    <n v="0"/>
    <n v="0"/>
    <n v="16.38"/>
    <n v="1.07"/>
  </r>
  <r>
    <x v="0"/>
    <x v="1"/>
    <x v="3"/>
    <n v="1"/>
    <n v="1"/>
    <n v="7"/>
    <n v="7"/>
    <n v="7"/>
    <n v="0"/>
    <n v="0"/>
    <n v="6.76"/>
    <n v="0.24"/>
  </r>
  <r>
    <x v="0"/>
    <x v="1"/>
    <x v="4"/>
    <n v="1"/>
    <n v="1"/>
    <n v="32.799999999999997"/>
    <n v="32.799999999999997"/>
    <n v="32.799999999999997"/>
    <n v="0"/>
    <n v="0"/>
    <n v="30.16"/>
    <n v="2.64"/>
  </r>
  <r>
    <x v="0"/>
    <x v="0"/>
    <x v="4"/>
    <n v="1"/>
    <n v="1"/>
    <n v="39"/>
    <n v="39"/>
    <n v="39"/>
    <n v="0"/>
    <n v="0"/>
    <n v="36.47"/>
    <n v="2.5299999999999998"/>
  </r>
  <r>
    <x v="0"/>
    <x v="1"/>
    <x v="5"/>
    <n v="1"/>
    <n v="1"/>
    <n v="53"/>
    <n v="53"/>
    <n v="53"/>
    <n v="0"/>
    <n v="0"/>
    <n v="50.55"/>
    <n v="2.4500000000000002"/>
  </r>
  <r>
    <x v="0"/>
    <x v="0"/>
    <x v="6"/>
    <n v="1"/>
    <n v="1"/>
    <n v="62.5"/>
    <n v="62.5"/>
    <n v="62.5"/>
    <n v="0"/>
    <n v="0"/>
    <n v="59.72"/>
    <n v="2.78"/>
  </r>
  <r>
    <x v="1"/>
    <x v="2"/>
    <x v="0"/>
    <n v="1"/>
    <n v="1"/>
    <n v="4.5"/>
    <n v="4.5"/>
    <n v="4.5"/>
    <n v="0"/>
    <n v="0"/>
    <n v="4.24"/>
    <n v="0.26"/>
  </r>
  <r>
    <x v="2"/>
    <x v="3"/>
    <x v="1"/>
    <n v="1"/>
    <n v="1"/>
    <n v="28.5"/>
    <n v="28.5"/>
    <n v="28.5"/>
    <n v="0"/>
    <n v="0"/>
    <n v="27.79"/>
    <n v="0.71"/>
  </r>
  <r>
    <x v="2"/>
    <x v="3"/>
    <x v="2"/>
    <n v="1"/>
    <n v="1"/>
    <n v="49.3"/>
    <n v="49.3"/>
    <n v="49.3"/>
    <n v="0"/>
    <n v="0"/>
    <n v="46.41"/>
    <n v="2.89"/>
  </r>
  <r>
    <x v="2"/>
    <x v="3"/>
    <x v="4"/>
    <n v="1"/>
    <n v="2"/>
    <n v="15.37"/>
    <n v="7.45"/>
    <n v="24"/>
    <n v="16.55"/>
    <n v="8.27"/>
    <n v="14.26"/>
    <n v="1.1000000000000001"/>
  </r>
  <r>
    <x v="3"/>
    <x v="2"/>
    <x v="6"/>
    <n v="1"/>
    <n v="2"/>
    <n v="11.15"/>
    <n v="9.5"/>
    <n v="12"/>
    <n v="2.5"/>
    <n v="1.19"/>
    <n v="10.47"/>
    <n v="0.68"/>
  </r>
  <r>
    <x v="4"/>
    <x v="2"/>
    <x v="0"/>
    <n v="1"/>
    <n v="1"/>
    <n v="18"/>
    <n v="18"/>
    <n v="18"/>
    <n v="0"/>
    <n v="0"/>
    <n v="16.98"/>
    <n v="1.02"/>
  </r>
  <r>
    <x v="4"/>
    <x v="2"/>
    <x v="2"/>
    <n v="1"/>
    <n v="2"/>
    <n v="18.79"/>
    <n v="16.25"/>
    <n v="20"/>
    <n v="3.75"/>
    <n v="1.75"/>
    <n v="17.34"/>
    <n v="1.45"/>
  </r>
  <r>
    <x v="5"/>
    <x v="2"/>
    <x v="0"/>
    <n v="1"/>
    <n v="2"/>
    <n v="127.11"/>
    <n v="18"/>
    <n v="263.5"/>
    <n v="245.5"/>
    <n v="121.99"/>
    <n v="118.57"/>
    <n v="8.5399999999999991"/>
  </r>
  <r>
    <x v="5"/>
    <x v="2"/>
    <x v="7"/>
    <n v="1"/>
    <n v="2"/>
    <n v="44.8"/>
    <n v="34"/>
    <n v="55"/>
    <n v="21"/>
    <n v="10.5"/>
    <n v="41.9"/>
    <n v="2.9"/>
  </r>
  <r>
    <x v="5"/>
    <x v="2"/>
    <x v="6"/>
    <n v="1"/>
    <n v="1"/>
    <n v="13.25"/>
    <n v="13.25"/>
    <n v="13.25"/>
    <n v="0"/>
    <n v="0"/>
    <n v="12.66"/>
    <n v="0.59"/>
  </r>
  <r>
    <x v="6"/>
    <x v="2"/>
    <x v="0"/>
    <n v="1"/>
    <n v="1"/>
    <n v="7.75"/>
    <n v="7.75"/>
    <n v="7.75"/>
    <n v="0"/>
    <n v="0"/>
    <n v="7.38"/>
    <n v="0.37"/>
  </r>
  <r>
    <x v="6"/>
    <x v="2"/>
    <x v="1"/>
    <n v="1"/>
    <n v="1"/>
    <n v="13"/>
    <n v="13"/>
    <n v="13"/>
    <n v="0"/>
    <n v="0"/>
    <n v="12.11"/>
    <n v="0.89"/>
  </r>
  <r>
    <x v="6"/>
    <x v="2"/>
    <x v="2"/>
    <n v="1"/>
    <n v="3"/>
    <n v="27.91"/>
    <n v="14"/>
    <n v="43.9"/>
    <n v="29.9"/>
    <n v="10.199999999999999"/>
    <n v="25.89"/>
    <n v="2.02"/>
  </r>
  <r>
    <x v="6"/>
    <x v="2"/>
    <x v="3"/>
    <n v="1"/>
    <n v="1"/>
    <n v="33.25"/>
    <n v="33.25"/>
    <n v="33.25"/>
    <n v="0"/>
    <n v="0"/>
    <n v="31.03"/>
    <n v="2.2200000000000002"/>
  </r>
  <r>
    <x v="6"/>
    <x v="2"/>
    <x v="4"/>
    <n v="1"/>
    <n v="1"/>
    <n v="123.79"/>
    <n v="123.79"/>
    <n v="123.79"/>
    <n v="0"/>
    <n v="0"/>
    <n v="116.04"/>
    <n v="7.75"/>
  </r>
  <r>
    <x v="6"/>
    <x v="2"/>
    <x v="5"/>
    <n v="1"/>
    <n v="1"/>
    <n v="45.6"/>
    <n v="45.6"/>
    <n v="45.6"/>
    <n v="0"/>
    <n v="0"/>
    <n v="41.98"/>
    <n v="3.62"/>
  </r>
  <r>
    <x v="6"/>
    <x v="2"/>
    <x v="6"/>
    <n v="1"/>
    <n v="1"/>
    <n v="25.89"/>
    <n v="25.89"/>
    <n v="25.89"/>
    <n v="0"/>
    <n v="0"/>
    <n v="24.27"/>
    <n v="1.62"/>
  </r>
  <r>
    <x v="7"/>
    <x v="2"/>
    <x v="7"/>
    <n v="1"/>
    <n v="3"/>
    <n v="23.46"/>
    <n v="12.5"/>
    <n v="34.799999999999997"/>
    <n v="22.3"/>
    <n v="10.79"/>
    <n v="21.86"/>
    <n v="1.6"/>
  </r>
  <r>
    <x v="7"/>
    <x v="2"/>
    <x v="3"/>
    <n v="1"/>
    <n v="2"/>
    <n v="32.17"/>
    <n v="19.5"/>
    <n v="38"/>
    <n v="18.5"/>
    <n v="8.59"/>
    <n v="29.97"/>
    <n v="2.2000000000000002"/>
  </r>
  <r>
    <x v="8"/>
    <x v="2"/>
    <x v="1"/>
    <n v="1"/>
    <n v="1"/>
    <n v="15.5"/>
    <n v="15.5"/>
    <n v="15.5"/>
    <n v="0"/>
    <n v="0"/>
    <n v="14.47"/>
    <n v="1.03"/>
  </r>
  <r>
    <x v="8"/>
    <x v="2"/>
    <x v="4"/>
    <n v="1"/>
    <n v="1"/>
    <n v="97"/>
    <n v="97"/>
    <n v="97"/>
    <n v="0"/>
    <n v="0"/>
    <n v="93.12"/>
    <n v="3.88"/>
  </r>
  <r>
    <x v="8"/>
    <x v="2"/>
    <x v="5"/>
    <n v="2"/>
    <n v="2"/>
    <n v="18.329999999999998"/>
    <n v="10"/>
    <n v="23.25"/>
    <n v="13.25"/>
    <n v="6.4"/>
    <n v="16.68"/>
    <n v="1.65"/>
  </r>
  <r>
    <x v="8"/>
    <x v="2"/>
    <x v="6"/>
    <n v="2"/>
    <n v="2"/>
    <n v="17.3"/>
    <n v="6"/>
    <n v="31"/>
    <n v="25"/>
    <n v="12.44"/>
    <n v="16.579999999999998"/>
    <n v="0.73"/>
  </r>
  <r>
    <x v="9"/>
    <x v="2"/>
    <x v="2"/>
    <n v="1"/>
    <n v="2"/>
    <n v="10.220000000000001"/>
    <n v="9.5"/>
    <n v="12.75"/>
    <n v="3.25"/>
    <n v="1.35"/>
    <n v="9.75"/>
    <n v="0.47"/>
  </r>
  <r>
    <x v="10"/>
    <x v="2"/>
    <x v="7"/>
    <n v="1"/>
    <n v="3"/>
    <n v="19.989999999999998"/>
    <n v="2.5"/>
    <n v="36"/>
    <n v="33.5"/>
    <n v="13.03"/>
    <n v="18.489999999999998"/>
    <n v="1.5"/>
  </r>
  <r>
    <x v="11"/>
    <x v="2"/>
    <x v="0"/>
    <n v="1"/>
    <n v="1"/>
    <n v="46"/>
    <n v="46"/>
    <n v="46"/>
    <n v="0"/>
    <n v="0"/>
    <n v="43.04"/>
    <n v="2.96"/>
  </r>
  <r>
    <x v="11"/>
    <x v="2"/>
    <x v="1"/>
    <n v="1"/>
    <n v="1"/>
    <n v="19.45"/>
    <n v="19.45"/>
    <n v="19.45"/>
    <n v="0"/>
    <n v="0"/>
    <n v="18.13"/>
    <n v="1.32"/>
  </r>
  <r>
    <x v="11"/>
    <x v="2"/>
    <x v="3"/>
    <n v="1"/>
    <n v="1"/>
    <n v="14"/>
    <n v="14"/>
    <n v="14"/>
    <n v="0"/>
    <n v="0"/>
    <n v="13.21"/>
    <n v="0.79"/>
  </r>
  <r>
    <x v="12"/>
    <x v="4"/>
    <x v="7"/>
    <n v="1"/>
    <n v="2"/>
    <n v="25.58"/>
    <n v="21"/>
    <n v="38"/>
    <n v="17"/>
    <n v="7.54"/>
    <n v="24.26"/>
    <n v="1.32"/>
  </r>
  <r>
    <x v="13"/>
    <x v="2"/>
    <x v="3"/>
    <n v="1"/>
    <n v="2"/>
    <n v="13.94"/>
    <n v="9"/>
    <n v="21"/>
    <n v="12"/>
    <n v="5.91"/>
    <n v="13.32"/>
    <n v="0.62"/>
  </r>
  <r>
    <x v="13"/>
    <x v="2"/>
    <x v="6"/>
    <n v="1"/>
    <n v="3"/>
    <n v="18.73"/>
    <n v="15"/>
    <n v="26"/>
    <n v="11"/>
    <n v="3.18"/>
    <n v="17.57"/>
    <n v="1.1499999999999999"/>
  </r>
  <r>
    <x v="14"/>
    <x v="2"/>
    <x v="0"/>
    <n v="1"/>
    <n v="2"/>
    <n v="18.54"/>
    <n v="18"/>
    <n v="19"/>
    <n v="1"/>
    <n v="0.5"/>
    <n v="17.54"/>
    <n v="1"/>
  </r>
  <r>
    <x v="14"/>
    <x v="2"/>
    <x v="1"/>
    <n v="1"/>
    <n v="1"/>
    <n v="10"/>
    <n v="10"/>
    <n v="10"/>
    <n v="0"/>
    <n v="0"/>
    <n v="9.5"/>
    <n v="0.5"/>
  </r>
  <r>
    <x v="14"/>
    <x v="2"/>
    <x v="2"/>
    <n v="1"/>
    <n v="4"/>
    <n v="19.46"/>
    <n v="9.1999999999999993"/>
    <n v="81"/>
    <n v="71.8"/>
    <n v="23.51"/>
    <n v="18.170000000000002"/>
    <n v="1.29"/>
  </r>
  <r>
    <x v="15"/>
    <x v="5"/>
    <x v="0"/>
    <n v="1"/>
    <n v="3"/>
    <n v="16.22"/>
    <n v="14"/>
    <n v="18"/>
    <n v="4"/>
    <n v="1.99"/>
    <n v="15.32"/>
    <n v="0.9"/>
  </r>
  <r>
    <x v="15"/>
    <x v="6"/>
    <x v="1"/>
    <n v="1"/>
    <n v="4"/>
    <n v="20.9"/>
    <n v="17"/>
    <n v="22"/>
    <n v="5"/>
    <n v="1.46"/>
    <n v="19.350000000000001"/>
    <n v="1.55"/>
  </r>
  <r>
    <x v="15"/>
    <x v="7"/>
    <x v="1"/>
    <n v="1"/>
    <n v="2"/>
    <n v="32.799999999999997"/>
    <n v="25"/>
    <n v="40"/>
    <n v="15"/>
    <n v="7.49"/>
    <n v="31.76"/>
    <n v="1.04"/>
  </r>
  <r>
    <x v="15"/>
    <x v="7"/>
    <x v="5"/>
    <n v="1"/>
    <n v="1"/>
    <n v="30"/>
    <n v="30"/>
    <n v="30"/>
    <n v="0"/>
    <n v="0"/>
    <n v="29.17"/>
    <n v="0.83"/>
  </r>
  <r>
    <x v="15"/>
    <x v="8"/>
    <x v="6"/>
    <n v="1"/>
    <n v="2"/>
    <n v="13.73"/>
    <n v="9.65"/>
    <n v="18.399999999999999"/>
    <n v="8.75"/>
    <n v="4.3600000000000003"/>
    <n v="12.94"/>
    <n v="0.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111FAA-52A5-AE42-8AA8-D3EE06BA671A}" name="PivotTable3" cacheId="1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rowHeaderCaption="Customer Segment">
  <location ref="F7:I11" firstHeaderRow="0" firstDataRow="1" firstDataCol="1"/>
  <pivotFields count="13">
    <pivotField axis="axisRow" dataField="1" showAll="0">
      <items count="90">
        <item x="62"/>
        <item x="81"/>
        <item x="44"/>
        <item x="29"/>
        <item x="9"/>
        <item x="70"/>
        <item x="16"/>
        <item x="56"/>
        <item x="13"/>
        <item x="17"/>
        <item x="55"/>
        <item x="78"/>
        <item x="88"/>
        <item x="38"/>
        <item x="60"/>
        <item x="75"/>
        <item x="73"/>
        <item x="76"/>
        <item x="40"/>
        <item x="1"/>
        <item x="57"/>
        <item x="31"/>
        <item x="7"/>
        <item x="10"/>
        <item x="63"/>
        <item x="87"/>
        <item x="47"/>
        <item x="83"/>
        <item x="33"/>
        <item x="41"/>
        <item x="18"/>
        <item x="79"/>
        <item x="5"/>
        <item x="14"/>
        <item x="66"/>
        <item x="4"/>
        <item x="48"/>
        <item x="8"/>
        <item x="72"/>
        <item x="37"/>
        <item x="85"/>
        <item x="86"/>
        <item x="19"/>
        <item x="65"/>
        <item x="25"/>
        <item x="28"/>
        <item x="69"/>
        <item x="43"/>
        <item x="36"/>
        <item x="6"/>
        <item x="53"/>
        <item x="84"/>
        <item x="59"/>
        <item x="27"/>
        <item x="30"/>
        <item x="58"/>
        <item x="15"/>
        <item x="52"/>
        <item x="46"/>
        <item x="11"/>
        <item x="0"/>
        <item x="68"/>
        <item x="3"/>
        <item x="50"/>
        <item x="34"/>
        <item x="24"/>
        <item x="82"/>
        <item x="51"/>
        <item x="2"/>
        <item x="22"/>
        <item x="21"/>
        <item x="71"/>
        <item x="32"/>
        <item x="12"/>
        <item x="61"/>
        <item x="74"/>
        <item x="54"/>
        <item x="35"/>
        <item x="45"/>
        <item x="77"/>
        <item x="23"/>
        <item x="39"/>
        <item x="80"/>
        <item x="42"/>
        <item x="26"/>
        <item x="49"/>
        <item x="20"/>
        <item x="64"/>
        <item x="67"/>
        <item t="default"/>
      </items>
    </pivotField>
    <pivotField showAll="0"/>
    <pivotField showAll="0"/>
    <pivotField showAll="0"/>
    <pivotField dataField="1" showAll="0"/>
    <pivotField dataField="1" showAll="0"/>
    <pivotField showAll="0"/>
    <pivotField numFmtId="22" showAll="0"/>
    <pivotField numFmtId="22" showAll="0"/>
    <pivotField showAll="0"/>
    <pivotField showAll="0"/>
    <pivotField showAll="0"/>
    <pivotField axis="axisRow" showAll="0">
      <items count="4">
        <item sd="0" x="0"/>
        <item sd="0" x="2"/>
        <item sd="0" x="1"/>
        <item t="default"/>
      </items>
    </pivotField>
  </pivotFields>
  <rowFields count="2">
    <field x="12"/>
    <field x="0"/>
  </rowFields>
  <rowItems count="4">
    <i>
      <x/>
    </i>
    <i>
      <x v="1"/>
    </i>
    <i>
      <x v="2"/>
    </i>
    <i t="grand">
      <x/>
    </i>
  </rowItems>
  <colFields count="1">
    <field x="-2"/>
  </colFields>
  <colItems count="3">
    <i>
      <x/>
    </i>
    <i i="1">
      <x v="1"/>
    </i>
    <i i="2">
      <x v="2"/>
    </i>
  </colItems>
  <dataFields count="3">
    <dataField name="Count of Customers" fld="0" subtotal="count" baseField="0" baseItem="0"/>
    <dataField name="0rders Total" fld="4" baseField="0" baseItem="0"/>
    <dataField name="Revenue Total" fld="5" baseField="0" baseItem="0"/>
  </dataFields>
  <chartFormats count="9">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 chart="9" format="6"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1"/>
          </reference>
        </references>
      </pivotArea>
    </chartFormat>
    <chartFormat chart="9" format="8" series="1">
      <pivotArea type="data" outline="0" fieldPosition="0">
        <references count="1">
          <reference field="4294967294" count="1" selected="0">
            <x v="2"/>
          </reference>
        </references>
      </pivotArea>
    </chartFormat>
    <chartFormat chart="18" format="0" series="1">
      <pivotArea type="data" outline="0" fieldPosition="0">
        <references count="1">
          <reference field="4294967294" count="1" selected="0">
            <x v="0"/>
          </reference>
        </references>
      </pivotArea>
    </chartFormat>
    <chartFormat chart="18" format="1" series="1">
      <pivotArea type="data" outline="0" fieldPosition="0">
        <references count="1">
          <reference field="4294967294" count="1" selected="0">
            <x v="1"/>
          </reference>
        </references>
      </pivotArea>
    </chartFormat>
    <chartFormat chart="18" format="2" series="1">
      <pivotArea type="data" outline="0" fieldPosition="0">
        <references count="1">
          <reference field="4294967294" count="1" selected="0">
            <x v="2"/>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195358-DC0A-0E47-B10E-B1D155D3ADF8}" name="PivotTable1" cacheId="1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Country">
  <location ref="B7:D29" firstHeaderRow="0" firstDataRow="1" firstDataCol="1"/>
  <pivotFields count="13">
    <pivotField dataField="1" showAll="0">
      <items count="90">
        <item x="62"/>
        <item x="81"/>
        <item x="44"/>
        <item x="29"/>
        <item x="9"/>
        <item x="70"/>
        <item x="16"/>
        <item x="56"/>
        <item x="13"/>
        <item x="17"/>
        <item x="55"/>
        <item x="78"/>
        <item x="88"/>
        <item x="38"/>
        <item x="60"/>
        <item x="75"/>
        <item x="73"/>
        <item x="76"/>
        <item x="40"/>
        <item x="1"/>
        <item x="57"/>
        <item x="31"/>
        <item x="7"/>
        <item x="10"/>
        <item x="63"/>
        <item x="87"/>
        <item x="47"/>
        <item x="83"/>
        <item x="33"/>
        <item x="41"/>
        <item x="18"/>
        <item x="79"/>
        <item x="5"/>
        <item x="14"/>
        <item x="66"/>
        <item x="4"/>
        <item x="48"/>
        <item x="8"/>
        <item x="72"/>
        <item x="37"/>
        <item x="85"/>
        <item x="86"/>
        <item x="19"/>
        <item x="65"/>
        <item x="25"/>
        <item x="28"/>
        <item x="69"/>
        <item x="43"/>
        <item x="36"/>
        <item x="6"/>
        <item x="53"/>
        <item x="84"/>
        <item x="59"/>
        <item x="27"/>
        <item x="30"/>
        <item x="58"/>
        <item x="15"/>
        <item x="52"/>
        <item x="46"/>
        <item x="11"/>
        <item x="0"/>
        <item x="68"/>
        <item x="3"/>
        <item x="50"/>
        <item x="34"/>
        <item x="24"/>
        <item x="82"/>
        <item x="51"/>
        <item x="2"/>
        <item x="22"/>
        <item x="21"/>
        <item x="71"/>
        <item x="32"/>
        <item x="12"/>
        <item x="61"/>
        <item x="74"/>
        <item x="54"/>
        <item x="35"/>
        <item x="45"/>
        <item x="77"/>
        <item x="23"/>
        <item x="39"/>
        <item x="80"/>
        <item x="42"/>
        <item x="26"/>
        <item x="49"/>
        <item x="20"/>
        <item x="64"/>
        <item x="67"/>
        <item t="default"/>
      </items>
    </pivotField>
    <pivotField showAll="0"/>
    <pivotField axis="axisRow" showAll="0" sortType="descending">
      <items count="22">
        <item x="19"/>
        <item x="1"/>
        <item x="7"/>
        <item x="4"/>
        <item x="5"/>
        <item x="10"/>
        <item x="13"/>
        <item x="8"/>
        <item x="0"/>
        <item x="3"/>
        <item x="16"/>
        <item x="15"/>
        <item x="18"/>
        <item x="20"/>
        <item x="17"/>
        <item x="14"/>
        <item x="6"/>
        <item x="12"/>
        <item x="11"/>
        <item x="2"/>
        <item x="9"/>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numFmtId="22" showAll="0"/>
    <pivotField numFmtId="22" showAll="0"/>
    <pivotField showAll="0"/>
    <pivotField showAll="0"/>
    <pivotField showAll="0"/>
    <pivotField showAll="0"/>
  </pivotFields>
  <rowFields count="1">
    <field x="2"/>
  </rowFields>
  <rowItems count="22">
    <i>
      <x v="19"/>
    </i>
    <i>
      <x v="8"/>
    </i>
    <i>
      <x v="7"/>
    </i>
    <i>
      <x v="3"/>
    </i>
    <i>
      <x v="18"/>
    </i>
    <i>
      <x v="11"/>
    </i>
    <i>
      <x v="15"/>
    </i>
    <i>
      <x v="20"/>
    </i>
    <i>
      <x v="4"/>
    </i>
    <i>
      <x/>
    </i>
    <i>
      <x v="10"/>
    </i>
    <i>
      <x v="16"/>
    </i>
    <i>
      <x v="2"/>
    </i>
    <i>
      <x v="17"/>
    </i>
    <i>
      <x v="14"/>
    </i>
    <i>
      <x v="5"/>
    </i>
    <i>
      <x v="6"/>
    </i>
    <i>
      <x v="1"/>
    </i>
    <i>
      <x v="12"/>
    </i>
    <i>
      <x v="13"/>
    </i>
    <i>
      <x v="9"/>
    </i>
    <i t="grand">
      <x/>
    </i>
  </rowItems>
  <colFields count="1">
    <field x="-2"/>
  </colFields>
  <colItems count="2">
    <i>
      <x/>
    </i>
    <i i="1">
      <x v="1"/>
    </i>
  </colItems>
  <dataFields count="2">
    <dataField name="Count of Customers" fld="0" subtotal="count" baseField="0" baseItem="0"/>
    <dataField name="Total Orders" fld="4"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9263451-2BA4-174F-BA6E-30D95381F671}" name="PivotTable2" cacheId="1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3:E4" firstHeaderRow="0" firstDataRow="1" firstDataCol="0"/>
  <pivotFields count="13">
    <pivotField showAll="0"/>
    <pivotField showAll="0"/>
    <pivotField showAll="0"/>
    <pivotField showAll="0"/>
    <pivotField dataField="1" showAll="0"/>
    <pivotField dataField="1" showAll="0"/>
    <pivotField dataField="1" showAll="0"/>
    <pivotField numFmtId="22" showAll="0"/>
    <pivotField numFmtId="22" showAll="0"/>
    <pivotField dataField="1" showAll="0"/>
    <pivotField showAll="0"/>
    <pivotField showAll="0"/>
    <pivotField showAll="0"/>
  </pivotFields>
  <rowItems count="1">
    <i/>
  </rowItems>
  <colFields count="1">
    <field x="-2"/>
  </colFields>
  <colItems count="4">
    <i>
      <x/>
    </i>
    <i i="1">
      <x v="1"/>
    </i>
    <i i="2">
      <x v="2"/>
    </i>
    <i i="3">
      <x v="3"/>
    </i>
  </colItems>
  <dataFields count="4">
    <dataField name="Average Customer Lifespan Days" fld="9" subtotal="average" baseField="0" baseItem="0"/>
    <dataField name="Average Order Value" fld="6" subtotal="average" baseField="0" baseItem="0"/>
    <dataField name="Average Total Revenue" fld="5" subtotal="average" baseField="0" baseItem="0"/>
    <dataField name="Average Total Orders" fld="4" subtotal="average" baseField="0" baseItem="0"/>
  </dataFields>
  <formats count="14">
    <format dxfId="131">
      <pivotArea dataOnly="0" labelOnly="1" outline="0" fieldPosition="0">
        <references count="1">
          <reference field="4294967294" count="4">
            <x v="0"/>
            <x v="1"/>
            <x v="2"/>
            <x v="3"/>
          </reference>
        </references>
      </pivotArea>
    </format>
    <format dxfId="130">
      <pivotArea dataOnly="0" labelOnly="1" outline="0" fieldPosition="0">
        <references count="1">
          <reference field="4294967294" count="1">
            <x v="0"/>
          </reference>
        </references>
      </pivotArea>
    </format>
    <format dxfId="129">
      <pivotArea outline="0" collapsedLevelsAreSubtotals="1" fieldPosition="0"/>
    </format>
    <format dxfId="128">
      <pivotArea outline="0" collapsedLevelsAreSubtotals="1" fieldPosition="0"/>
    </format>
    <format dxfId="127">
      <pivotArea outline="0" collapsedLevelsAreSubtotals="1" fieldPosition="0"/>
    </format>
    <format dxfId="126">
      <pivotArea outline="0" collapsedLevelsAreSubtotals="1" fieldPosition="0"/>
    </format>
    <format dxfId="125">
      <pivotArea outline="0" collapsedLevelsAreSubtotals="1" fieldPosition="0"/>
    </format>
    <format dxfId="124">
      <pivotArea dataOnly="0" labelOnly="1" outline="0" fieldPosition="0">
        <references count="1">
          <reference field="4294967294" count="1">
            <x v="0"/>
          </reference>
        </references>
      </pivotArea>
    </format>
    <format dxfId="123">
      <pivotArea dataOnly="0" labelOnly="1" outline="0" fieldPosition="0">
        <references count="1">
          <reference field="4294967294" count="1">
            <x v="1"/>
          </reference>
        </references>
      </pivotArea>
    </format>
    <format dxfId="122">
      <pivotArea dataOnly="0" outline="0" fieldPosition="0">
        <references count="1">
          <reference field="4294967294" count="1">
            <x v="2"/>
          </reference>
        </references>
      </pivotArea>
    </format>
    <format dxfId="121">
      <pivotArea dataOnly="0" labelOnly="1" outline="0" fieldPosition="0">
        <references count="1">
          <reference field="4294967294" count="1">
            <x v="2"/>
          </reference>
        </references>
      </pivotArea>
    </format>
    <format dxfId="120">
      <pivotArea dataOnly="0" labelOnly="1" outline="0" fieldPosition="0">
        <references count="1">
          <reference field="4294967294" count="1">
            <x v="3"/>
          </reference>
        </references>
      </pivotArea>
    </format>
    <format dxfId="119">
      <pivotArea dataOnly="0" labelOnly="1" outline="0" fieldPosition="0">
        <references count="1">
          <reference field="4294967294" count="1">
            <x v="3"/>
          </reference>
        </references>
      </pivotArea>
    </format>
    <format dxfId="118">
      <pivotArea dataOnly="0" labelOnly="1" outline="0" fieldPosition="0">
        <references count="1">
          <reference field="4294967294" count="1">
            <x v="1"/>
          </reference>
        </references>
      </pivotArea>
    </format>
  </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9C399A0-98A9-6D48-AF07-A983CD7AFE5D}" name="PivotTable4" cacheId="1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ountry">
  <location ref="B3:E25" firstHeaderRow="0" firstDataRow="1" firstDataCol="1"/>
  <pivotFields count="10">
    <pivotField axis="axisRow" showAll="0" sortType="descending">
      <items count="22">
        <item x="11"/>
        <item x="2"/>
        <item x="5"/>
        <item x="13"/>
        <item x="7"/>
        <item x="16"/>
        <item x="15"/>
        <item x="20"/>
        <item x="19"/>
        <item x="8"/>
        <item x="18"/>
        <item x="3"/>
        <item x="0"/>
        <item x="10"/>
        <item x="14"/>
        <item x="12"/>
        <item x="6"/>
        <item x="4"/>
        <item x="9"/>
        <item x="1"/>
        <item x="17"/>
        <item t="default"/>
      </items>
      <autoSortScope>
        <pivotArea dataOnly="0" outline="0" fieldPosition="0">
          <references count="1">
            <reference field="4294967294" count="1" selected="0">
              <x v="0"/>
            </reference>
          </references>
        </pivotArea>
      </autoSortScope>
    </pivotField>
    <pivotField showAll="0">
      <items count="70">
        <item x="24"/>
        <item x="60"/>
        <item x="3"/>
        <item x="28"/>
        <item x="65"/>
        <item x="26"/>
        <item x="42"/>
        <item x="52"/>
        <item x="37"/>
        <item x="2"/>
        <item x="9"/>
        <item x="10"/>
        <item x="35"/>
        <item x="41"/>
        <item x="61"/>
        <item x="39"/>
        <item x="63"/>
        <item x="14"/>
        <item x="4"/>
        <item x="43"/>
        <item x="0"/>
        <item x="55"/>
        <item x="20"/>
        <item x="21"/>
        <item x="25"/>
        <item x="1"/>
        <item x="53"/>
        <item x="29"/>
        <item x="30"/>
        <item x="23"/>
        <item x="62"/>
        <item x="33"/>
        <item x="49"/>
        <item x="31"/>
        <item x="32"/>
        <item x="6"/>
        <item x="11"/>
        <item x="38"/>
        <item x="13"/>
        <item x="12"/>
        <item x="51"/>
        <item x="47"/>
        <item x="57"/>
        <item x="15"/>
        <item x="8"/>
        <item x="50"/>
        <item x="27"/>
        <item x="58"/>
        <item x="45"/>
        <item x="46"/>
        <item x="64"/>
        <item x="44"/>
        <item x="5"/>
        <item x="7"/>
        <item x="17"/>
        <item x="16"/>
        <item x="54"/>
        <item x="22"/>
        <item x="34"/>
        <item x="48"/>
        <item x="18"/>
        <item x="40"/>
        <item x="68"/>
        <item x="36"/>
        <item x="19"/>
        <item x="66"/>
        <item x="59"/>
        <item x="67"/>
        <item x="56"/>
        <item t="default"/>
      </items>
    </pivotField>
    <pivotField dataField="1" showAll="0"/>
    <pivotField dataField="1" showAll="0"/>
    <pivotField showAll="0"/>
    <pivotField dataField="1" showAll="0"/>
    <pivotField showAll="0"/>
    <pivotField showAll="0"/>
    <pivotField numFmtId="22" showAll="0"/>
    <pivotField numFmtId="22" showAll="0"/>
  </pivotFields>
  <rowFields count="1">
    <field x="0"/>
  </rowFields>
  <rowItems count="22">
    <i>
      <x v="1"/>
    </i>
    <i>
      <x v="12"/>
    </i>
    <i>
      <x v="13"/>
    </i>
    <i>
      <x v="17"/>
    </i>
    <i>
      <x v="2"/>
    </i>
    <i>
      <x v="9"/>
    </i>
    <i>
      <x/>
    </i>
    <i>
      <x v="5"/>
    </i>
    <i>
      <x v="16"/>
    </i>
    <i>
      <x v="20"/>
    </i>
    <i>
      <x v="10"/>
    </i>
    <i>
      <x v="4"/>
    </i>
    <i>
      <x v="19"/>
    </i>
    <i>
      <x v="18"/>
    </i>
    <i>
      <x v="6"/>
    </i>
    <i>
      <x v="3"/>
    </i>
    <i>
      <x v="14"/>
    </i>
    <i>
      <x v="15"/>
    </i>
    <i>
      <x v="11"/>
    </i>
    <i>
      <x v="7"/>
    </i>
    <i>
      <x v="8"/>
    </i>
    <i t="grand">
      <x/>
    </i>
  </rowItems>
  <colFields count="1">
    <field x="-2"/>
  </colFields>
  <colItems count="3">
    <i>
      <x/>
    </i>
    <i i="1">
      <x v="1"/>
    </i>
    <i i="2">
      <x v="2"/>
    </i>
  </colItems>
  <dataFields count="3">
    <dataField name="Total Customers" fld="2" baseField="0" baseItem="0"/>
    <dataField name="Total Orders" fld="3" baseField="0" baseItem="0"/>
    <dataField name="Total Revenue" fld="5"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8AFEC3-192A-A449-8002-273EA2078207}" name="PivotTable6" cacheId="1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ity">
  <location ref="G3:J13" firstHeaderRow="0" firstDataRow="1" firstDataCol="1"/>
  <pivotFields count="10">
    <pivotField showAll="0"/>
    <pivotField axis="axisRow" showAll="0" measureFilter="1" sortType="descending">
      <items count="70">
        <item x="56"/>
        <item x="67"/>
        <item x="59"/>
        <item x="66"/>
        <item x="19"/>
        <item x="36"/>
        <item x="68"/>
        <item x="40"/>
        <item x="18"/>
        <item x="48"/>
        <item x="34"/>
        <item x="22"/>
        <item x="54"/>
        <item x="16"/>
        <item x="17"/>
        <item x="7"/>
        <item x="5"/>
        <item x="44"/>
        <item x="64"/>
        <item x="46"/>
        <item x="45"/>
        <item x="58"/>
        <item x="27"/>
        <item x="50"/>
        <item x="8"/>
        <item x="15"/>
        <item x="57"/>
        <item x="47"/>
        <item x="51"/>
        <item x="12"/>
        <item x="13"/>
        <item x="38"/>
        <item x="11"/>
        <item x="6"/>
        <item x="32"/>
        <item x="31"/>
        <item x="49"/>
        <item x="33"/>
        <item x="62"/>
        <item x="23"/>
        <item x="30"/>
        <item x="29"/>
        <item x="53"/>
        <item x="1"/>
        <item x="25"/>
        <item x="21"/>
        <item x="20"/>
        <item x="55"/>
        <item x="0"/>
        <item x="43"/>
        <item x="4"/>
        <item x="14"/>
        <item x="63"/>
        <item x="39"/>
        <item x="61"/>
        <item x="41"/>
        <item x="35"/>
        <item x="10"/>
        <item x="9"/>
        <item x="2"/>
        <item x="37"/>
        <item x="52"/>
        <item x="42"/>
        <item x="26"/>
        <item x="65"/>
        <item x="28"/>
        <item x="3"/>
        <item x="60"/>
        <item x="24"/>
        <item t="default"/>
      </items>
      <autoSortScope>
        <pivotArea dataOnly="0" outline="0" fieldPosition="0">
          <references count="1">
            <reference field="4294967294" count="1" selected="0">
              <x v="0"/>
            </reference>
          </references>
        </pivotArea>
      </autoSortScope>
    </pivotField>
    <pivotField dataField="1" showAll="0"/>
    <pivotField dataField="1" showAll="0"/>
    <pivotField showAll="0"/>
    <pivotField dataField="1" showAll="0"/>
    <pivotField showAll="0"/>
    <pivotField showAll="0"/>
    <pivotField numFmtId="22" showAll="0"/>
    <pivotField numFmtId="22" showAll="0"/>
  </pivotFields>
  <rowFields count="1">
    <field x="1"/>
  </rowFields>
  <rowItems count="10">
    <i>
      <x v="33"/>
    </i>
    <i>
      <x v="30"/>
    </i>
    <i>
      <x v="15"/>
    </i>
    <i>
      <x v="16"/>
    </i>
    <i>
      <x v="55"/>
    </i>
    <i>
      <x v="20"/>
    </i>
    <i>
      <x v="34"/>
    </i>
    <i>
      <x v="23"/>
    </i>
    <i>
      <x v="27"/>
    </i>
    <i t="grand">
      <x/>
    </i>
  </rowItems>
  <colFields count="1">
    <field x="-2"/>
  </colFields>
  <colItems count="3">
    <i>
      <x/>
    </i>
    <i i="1">
      <x v="1"/>
    </i>
    <i i="2">
      <x v="2"/>
    </i>
  </colItems>
  <dataFields count="3">
    <dataField name="Total Customers" fld="2" baseField="0" baseItem="0"/>
    <dataField name="Total Orders" fld="3" baseField="0" baseItem="0"/>
    <dataField name="Total Revenue" fld="5"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Dark2" showRowHeaders="1" showColHeaders="1" showRowStripes="0" showColStripes="0" showLastColumn="1"/>
  <filters count="1">
    <filter fld="1" type="count" evalOrder="-1" id="8" iMeasureFld="0">
      <autoFilter ref="A1">
        <filterColumn colId="0">
          <top10 val="9" filterVal="9"/>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234A6EF-7E8B-B843-9EEE-4AE6F17AC1B7}" name="PivotTable10" cacheId="11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referred Category">
  <location ref="B3:E11" firstHeaderRow="0" firstDataRow="1" firstDataCol="1"/>
  <pivotFields count="9">
    <pivotField dataField="1" showAll="0">
      <items count="90">
        <item x="62"/>
        <item x="81"/>
        <item x="44"/>
        <item x="29"/>
        <item x="9"/>
        <item x="70"/>
        <item x="16"/>
        <item x="56"/>
        <item x="13"/>
        <item x="17"/>
        <item x="55"/>
        <item x="78"/>
        <item x="88"/>
        <item x="38"/>
        <item x="60"/>
        <item x="75"/>
        <item x="73"/>
        <item x="76"/>
        <item x="40"/>
        <item x="1"/>
        <item x="57"/>
        <item x="31"/>
        <item x="7"/>
        <item x="10"/>
        <item x="63"/>
        <item x="87"/>
        <item x="47"/>
        <item x="83"/>
        <item x="33"/>
        <item x="41"/>
        <item x="18"/>
        <item x="79"/>
        <item x="5"/>
        <item x="14"/>
        <item x="66"/>
        <item x="4"/>
        <item x="48"/>
        <item x="8"/>
        <item x="72"/>
        <item x="37"/>
        <item x="85"/>
        <item x="86"/>
        <item x="19"/>
        <item x="65"/>
        <item x="25"/>
        <item x="28"/>
        <item x="69"/>
        <item x="43"/>
        <item x="36"/>
        <item x="6"/>
        <item x="53"/>
        <item x="84"/>
        <item x="59"/>
        <item x="27"/>
        <item x="30"/>
        <item x="58"/>
        <item x="15"/>
        <item x="52"/>
        <item x="46"/>
        <item x="11"/>
        <item x="0"/>
        <item x="68"/>
        <item x="3"/>
        <item x="50"/>
        <item x="34"/>
        <item x="24"/>
        <item x="82"/>
        <item x="51"/>
        <item x="2"/>
        <item x="22"/>
        <item x="21"/>
        <item x="71"/>
        <item x="32"/>
        <item x="12"/>
        <item x="61"/>
        <item x="74"/>
        <item x="54"/>
        <item x="35"/>
        <item x="45"/>
        <item x="77"/>
        <item x="23"/>
        <item x="39"/>
        <item x="80"/>
        <item x="42"/>
        <item x="26"/>
        <item x="49"/>
        <item x="20"/>
        <item x="64"/>
        <item x="67"/>
        <item t="default"/>
      </items>
    </pivotField>
    <pivotField showAll="0"/>
    <pivotField showAll="0"/>
    <pivotField dataField="1" showAll="0"/>
    <pivotField dataField="1" showAll="0"/>
    <pivotField showAll="0"/>
    <pivotField showAll="0"/>
    <pivotField axis="axisRow" showAll="0" sortType="descending">
      <items count="8">
        <item x="3"/>
        <item x="6"/>
        <item x="5"/>
        <item x="1"/>
        <item x="2"/>
        <item x="4"/>
        <item x="0"/>
        <item t="default"/>
      </items>
      <autoSortScope>
        <pivotArea dataOnly="0" outline="0" fieldPosition="0">
          <references count="1">
            <reference field="4294967294" count="1" selected="0">
              <x v="0"/>
            </reference>
          </references>
        </pivotArea>
      </autoSortScope>
    </pivotField>
    <pivotField showAll="0"/>
  </pivotFields>
  <rowFields count="1">
    <field x="7"/>
  </rowFields>
  <rowItems count="8">
    <i>
      <x v="6"/>
    </i>
    <i>
      <x v="4"/>
    </i>
    <i>
      <x v="3"/>
    </i>
    <i>
      <x v="2"/>
    </i>
    <i>
      <x v="5"/>
    </i>
    <i>
      <x/>
    </i>
    <i>
      <x v="1"/>
    </i>
    <i t="grand">
      <x/>
    </i>
  </rowItems>
  <colFields count="1">
    <field x="-2"/>
  </colFields>
  <colItems count="3">
    <i>
      <x/>
    </i>
    <i i="1">
      <x v="1"/>
    </i>
    <i i="2">
      <x v="2"/>
    </i>
  </colItems>
  <dataFields count="3">
    <dataField name="Count of Customers" fld="0" subtotal="count" baseField="0" baseItem="0"/>
    <dataField name="Total Spend" fld="4" baseField="0" baseItem="0"/>
    <dataField name="Order Count" fld="3"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C6A2CE0-8700-5F46-88AD-123D0C487E57}" name="PivotTable11" cacheId="1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Product Category">
  <location ref="B3:D12" firstHeaderRow="0" firstDataRow="1" firstDataCol="1"/>
  <pivotFields count="7">
    <pivotField showAll="0"/>
    <pivotField axis="axisRow" showAll="0" sortType="descending">
      <items count="9">
        <item x="0"/>
        <item x="5"/>
        <item x="2"/>
        <item x="1"/>
        <item x="7"/>
        <item x="3"/>
        <item x="6"/>
        <item x="4"/>
        <item t="default"/>
      </items>
      <autoSortScope>
        <pivotArea dataOnly="0" outline="0" fieldPosition="0">
          <references count="1">
            <reference field="4294967294" count="1" selected="0">
              <x v="1"/>
            </reference>
          </references>
        </pivotArea>
      </autoSortScope>
    </pivotField>
    <pivotField dataField="1" showAll="0"/>
    <pivotField showAll="0"/>
    <pivotField dataField="1" showAll="0"/>
    <pivotField showAll="0"/>
    <pivotField showAll="0"/>
  </pivotFields>
  <rowFields count="1">
    <field x="1"/>
  </rowFields>
  <rowItems count="9">
    <i>
      <x/>
    </i>
    <i>
      <x v="3"/>
    </i>
    <i>
      <x v="2"/>
    </i>
    <i>
      <x v="5"/>
    </i>
    <i>
      <x v="7"/>
    </i>
    <i>
      <x v="1"/>
    </i>
    <i>
      <x v="6"/>
    </i>
    <i>
      <x v="4"/>
    </i>
    <i t="grand">
      <x/>
    </i>
  </rowItems>
  <colFields count="1">
    <field x="-2"/>
  </colFields>
  <colItems count="2">
    <i>
      <x/>
    </i>
    <i i="1">
      <x v="1"/>
    </i>
  </colItems>
  <dataFields count="2">
    <dataField name="Total Orders" fld="2" baseField="0" baseItem="0"/>
    <dataField name="Total Revenue" fld="4"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38FE735-94A5-DF4F-AA98-871659B8455C}" name="PivotTable12" cacheId="1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roduct Name">
  <location ref="F3:H15" firstHeaderRow="0" firstDataRow="1" firstDataCol="1"/>
  <pivotFields count="8">
    <pivotField showAll="0"/>
    <pivotField axis="axisRow" showAll="0" measureFilter="1" sortType="descending">
      <items count="78">
        <item x="65"/>
        <item x="14"/>
        <item x="23"/>
        <item x="67"/>
        <item x="13"/>
        <item x="61"/>
        <item x="60"/>
        <item x="49"/>
        <item x="1"/>
        <item x="57"/>
        <item x="3"/>
        <item x="30"/>
        <item x="55"/>
        <item x="28"/>
        <item x="42"/>
        <item x="12"/>
        <item x="45"/>
        <item x="43"/>
        <item x="26"/>
        <item x="54"/>
        <item x="48"/>
        <item x="50"/>
        <item x="2"/>
        <item x="63"/>
        <item x="9"/>
        <item x="64"/>
        <item x="37"/>
        <item x="33"/>
        <item x="17"/>
        <item x="22"/>
        <item x="21"/>
        <item x="38"/>
        <item x="41"/>
        <item x="66"/>
        <item x="35"/>
        <item x="32"/>
        <item x="10"/>
        <item x="51"/>
        <item x="40"/>
        <item x="47"/>
        <item x="6"/>
        <item x="68"/>
        <item x="29"/>
        <item x="72"/>
        <item x="73"/>
        <item x="25"/>
        <item x="59"/>
        <item x="44"/>
        <item x="11"/>
        <item x="31"/>
        <item x="16"/>
        <item x="53"/>
        <item x="18"/>
        <item x="39"/>
        <item x="15"/>
        <item x="62"/>
        <item x="71"/>
        <item x="52"/>
        <item x="27"/>
        <item x="5"/>
        <item x="74"/>
        <item x="75"/>
        <item x="19"/>
        <item x="69"/>
        <item x="56"/>
        <item x="76"/>
        <item x="58"/>
        <item x="46"/>
        <item x="36"/>
        <item x="24"/>
        <item x="34"/>
        <item x="8"/>
        <item x="4"/>
        <item x="0"/>
        <item x="20"/>
        <item x="70"/>
        <item x="7"/>
        <item t="default"/>
      </items>
      <autoSortScope>
        <pivotArea dataOnly="0" outline="0" fieldPosition="0">
          <references count="1">
            <reference field="4294967294" count="1" selected="0">
              <x v="1"/>
            </reference>
          </references>
        </pivotArea>
      </autoSortScope>
    </pivotField>
    <pivotField showAll="0"/>
    <pivotField showAll="0"/>
    <pivotField dataField="1" showAll="0"/>
    <pivotField dataField="1" showAll="0"/>
    <pivotField showAll="0"/>
    <pivotField showAll="0"/>
  </pivotFields>
  <rowFields count="1">
    <field x="1"/>
  </rowFields>
  <rowItems count="12">
    <i>
      <x v="22"/>
    </i>
    <i>
      <x v="10"/>
    </i>
    <i>
      <x v="72"/>
    </i>
    <i>
      <x v="59"/>
    </i>
    <i>
      <x v="62"/>
    </i>
    <i>
      <x v="74"/>
    </i>
    <i>
      <x v="29"/>
    </i>
    <i>
      <x v="69"/>
    </i>
    <i>
      <x v="58"/>
    </i>
    <i>
      <x v="20"/>
    </i>
    <i>
      <x v="55"/>
    </i>
    <i t="grand">
      <x/>
    </i>
  </rowItems>
  <colFields count="1">
    <field x="-2"/>
  </colFields>
  <colItems count="2">
    <i>
      <x/>
    </i>
    <i i="1">
      <x v="1"/>
    </i>
  </colItems>
  <dataFields count="2">
    <dataField name="Total Units Sold" fld="4" baseField="0" baseItem="0"/>
    <dataField name="Total Revenue" fld="5"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Dark2" showRowHeaders="1" showColHeaders="1" showRowStripes="0" showColStripes="0" showLastColumn="1"/>
  <filters count="1">
    <filter fld="1"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E0582F7-BD20-3F4E-8A8C-DCCB61762066}" name="PivotTable18" cacheId="1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Frequency Segment">
  <location ref="B3:D8" firstHeaderRow="0" firstDataRow="1" firstDataCol="1"/>
  <pivotFields count="8">
    <pivotField dataField="1" showAll="0"/>
    <pivotField showAll="0"/>
    <pivotField showAll="0"/>
    <pivotField dataField="1" showAll="0"/>
    <pivotField showAll="0"/>
    <pivotField showAll="0"/>
    <pivotField showAll="0"/>
    <pivotField axis="axisRow" showAll="0">
      <items count="5">
        <item x="1"/>
        <item x="0"/>
        <item x="3"/>
        <item x="2"/>
        <item t="default"/>
      </items>
    </pivotField>
  </pivotFields>
  <rowFields count="1">
    <field x="7"/>
  </rowFields>
  <rowItems count="5">
    <i>
      <x/>
    </i>
    <i>
      <x v="1"/>
    </i>
    <i>
      <x v="2"/>
    </i>
    <i>
      <x v="3"/>
    </i>
    <i t="grand">
      <x/>
    </i>
  </rowItems>
  <colFields count="1">
    <field x="-2"/>
  </colFields>
  <colItems count="2">
    <i>
      <x/>
    </i>
    <i i="1">
      <x v="1"/>
    </i>
  </colItems>
  <dataFields count="2">
    <dataField name="Count of Customers" fld="0" subtotal="count" baseField="0" baseItem="0"/>
    <dataField name="Total Orders" fld="3" baseField="0" baseItem="0"/>
  </dataFields>
  <chartFormats count="2">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B5F76B2-59FF-3D43-B8F8-9183C47108FC}" name="PivotTable21" cacheId="12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Title" colHeaderCaption="Country">
  <location ref="B21:F26" firstHeaderRow="1" firstDataRow="2" firstDataCol="1"/>
  <pivotFields count="4">
    <pivotField axis="axisRow" showAll="0">
      <items count="4">
        <item x="1"/>
        <item x="2"/>
        <item x="0"/>
        <item t="default"/>
      </items>
    </pivotField>
    <pivotField dataField="1" showAll="0"/>
    <pivotField showAll="0">
      <items count="4">
        <item x="1"/>
        <item x="0"/>
        <item x="2"/>
        <item t="default"/>
      </items>
    </pivotField>
    <pivotField axis="axisCol" showAll="0">
      <items count="4">
        <item x="2"/>
        <item x="0"/>
        <item x="1"/>
        <item t="default"/>
      </items>
    </pivotField>
  </pivotFields>
  <rowFields count="1">
    <field x="0"/>
  </rowFields>
  <rowItems count="4">
    <i>
      <x/>
    </i>
    <i>
      <x v="1"/>
    </i>
    <i>
      <x v="2"/>
    </i>
    <i t="grand">
      <x/>
    </i>
  </rowItems>
  <colFields count="1">
    <field x="3"/>
  </colFields>
  <colItems count="4">
    <i>
      <x/>
    </i>
    <i>
      <x v="1"/>
    </i>
    <i>
      <x v="2"/>
    </i>
    <i t="grand">
      <x/>
    </i>
  </colItems>
  <dataFields count="1">
    <dataField name="Total Headcount" fld="1" baseField="0" baseItem="0"/>
  </dataField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4" format="0" series="1">
      <pivotArea type="data" outline="0" fieldPosition="0">
        <references count="2">
          <reference field="4294967294" count="1" selected="0">
            <x v="0"/>
          </reference>
          <reference field="3" count="1" selected="0">
            <x v="0"/>
          </reference>
        </references>
      </pivotArea>
    </chartFormat>
    <chartFormat chart="4" format="1" series="1">
      <pivotArea type="data" outline="0" fieldPosition="0">
        <references count="2">
          <reference field="4294967294" count="1" selected="0">
            <x v="0"/>
          </reference>
          <reference field="3" count="1" selected="0">
            <x v="1"/>
          </reference>
        </references>
      </pivotArea>
    </chartFormat>
    <chartFormat chart="4" format="2" series="1">
      <pivotArea type="data" outline="0" fieldPosition="0">
        <references count="2">
          <reference field="4294967294" count="1" selected="0">
            <x v="0"/>
          </reference>
          <reference field="3" count="1" selected="0">
            <x v="2"/>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7E84BD9-4F24-1845-B936-1701DF817AF1}" name="PivotTable19" cacheId="1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Location">
  <location ref="B3:C10" firstHeaderRow="1" firstDataRow="1" firstDataCol="1"/>
  <pivotFields count="4">
    <pivotField axis="axisRow" showAll="0">
      <items count="3">
        <item x="0"/>
        <item x="1"/>
        <item t="default"/>
      </items>
    </pivotField>
    <pivotField axis="axisRow" showAll="0">
      <items count="5">
        <item x="2"/>
        <item x="0"/>
        <item x="3"/>
        <item x="1"/>
        <item t="default"/>
      </items>
    </pivotField>
    <pivotField dataField="1" showAll="0"/>
    <pivotField showAll="0"/>
  </pivotFields>
  <rowFields count="2">
    <field x="0"/>
    <field x="1"/>
  </rowFields>
  <rowItems count="7">
    <i>
      <x/>
    </i>
    <i r="1">
      <x v="1"/>
    </i>
    <i>
      <x v="1"/>
    </i>
    <i r="1">
      <x/>
    </i>
    <i r="1">
      <x v="2"/>
    </i>
    <i r="1">
      <x v="3"/>
    </i>
    <i t="grand">
      <x/>
    </i>
  </rowItems>
  <colItems count="1">
    <i/>
  </colItems>
  <dataFields count="1">
    <dataField name="Employee Count" fld="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1674AB0-7369-FC47-94AE-46820864130B}" name="PivotTable23" cacheId="12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Title">
  <location ref="B21:D25" firstHeaderRow="0" firstDataRow="1" firstDataCol="1"/>
  <pivotFields count="5">
    <pivotField showAll="0"/>
    <pivotField axis="axisRow" showAll="0">
      <items count="4">
        <item x="2"/>
        <item x="1"/>
        <item x="0"/>
        <item t="default"/>
      </items>
    </pivotField>
    <pivotField numFmtId="22" showAll="0"/>
    <pivotField dataField="1" showAll="0"/>
    <pivotField dataField="1" showAll="0"/>
  </pivotFields>
  <rowFields count="1">
    <field x="1"/>
  </rowFields>
  <rowItems count="4">
    <i>
      <x/>
    </i>
    <i>
      <x v="1"/>
    </i>
    <i>
      <x v="2"/>
    </i>
    <i t="grand">
      <x/>
    </i>
  </rowItems>
  <colFields count="1">
    <field x="-2"/>
  </colFields>
  <colItems count="2">
    <i>
      <x/>
    </i>
    <i i="1">
      <x v="1"/>
    </i>
  </colItems>
  <dataFields count="2">
    <dataField name="Average Tenure Years" fld="3" subtotal="average" baseField="0" baseItem="0"/>
    <dataField name="Average Current Age" fld="4" subtotal="average"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889BBEB5-45F4-C941-BD62-86AABA9C79E5}" name="PivotTable22" cacheId="1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Title" colHeaderCaption="Hire Year_Qtr">
  <location ref="B3:F9" firstHeaderRow="1" firstDataRow="3" firstDataCol="1"/>
  <pivotFields count="7">
    <pivotField axis="axisRow" showAll="0">
      <items count="4">
        <item x="2"/>
        <item x="1"/>
        <item x="0"/>
        <item t="default"/>
      </items>
    </pivotField>
    <pivotField axis="axisCol" showAll="0">
      <items count="4">
        <item sd="0" x="0"/>
        <item sd="0" x="1"/>
        <item sd="0" x="2"/>
        <item t="default"/>
      </items>
    </pivotField>
    <pivotField axis="axisCol" showAll="0">
      <items count="4">
        <item x="2"/>
        <item x="0"/>
        <item x="1"/>
        <item t="default"/>
      </items>
    </pivotField>
    <pivotField dataField="1" showAll="0">
      <items count="3">
        <item x="1"/>
        <item x="0"/>
        <item t="default"/>
      </items>
    </pivotField>
    <pivotField numFmtId="22" showAll="0"/>
    <pivotField numFmtId="22" showAll="0"/>
    <pivotField showAll="0"/>
  </pivotFields>
  <rowFields count="1">
    <field x="0"/>
  </rowFields>
  <rowItems count="4">
    <i>
      <x/>
    </i>
    <i>
      <x v="1"/>
    </i>
    <i>
      <x v="2"/>
    </i>
    <i t="grand">
      <x/>
    </i>
  </rowItems>
  <colFields count="2">
    <field x="1"/>
    <field x="2"/>
  </colFields>
  <colItems count="4">
    <i>
      <x/>
    </i>
    <i>
      <x v="1"/>
    </i>
    <i>
      <x v="2"/>
    </i>
    <i t="grand">
      <x/>
    </i>
  </colItems>
  <dataFields count="1">
    <dataField name="Hires in Period" fld="3" baseField="0" baseItem="0"/>
  </dataFields>
  <chartFormats count="3">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D2D7601-8397-2B4B-A031-097F5FAAC5F4}" name="PivotTable24" cacheId="12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Job Title" colHeaderCaption="Courtesy Title">
  <location ref="B3:F8" firstHeaderRow="1" firstDataRow="2" firstDataCol="1"/>
  <pivotFields count="4">
    <pivotField axis="axisCol" showAll="0">
      <items count="4">
        <item x="1"/>
        <item x="2"/>
        <item x="0"/>
        <item t="default"/>
      </items>
    </pivotField>
    <pivotField dataField="1" showAll="0"/>
    <pivotField showAll="0"/>
    <pivotField axis="axisRow" showAll="0">
      <items count="4">
        <item x="0"/>
        <item x="1"/>
        <item x="2"/>
        <item t="default"/>
      </items>
    </pivotField>
  </pivotFields>
  <rowFields count="1">
    <field x="3"/>
  </rowFields>
  <rowItems count="4">
    <i>
      <x/>
    </i>
    <i>
      <x v="1"/>
    </i>
    <i>
      <x v="2"/>
    </i>
    <i t="grand">
      <x/>
    </i>
  </rowItems>
  <colFields count="1">
    <field x="0"/>
  </colFields>
  <colItems count="4">
    <i>
      <x/>
    </i>
    <i>
      <x v="1"/>
    </i>
    <i>
      <x v="2"/>
    </i>
    <i t="grand">
      <x/>
    </i>
  </colItems>
  <dataFields count="1">
    <dataField name="Total Count" fld="1" baseField="0" baseItem="0"/>
  </dataFields>
  <chartFormats count="3">
    <chartFormat chart="9" format="0" series="1">
      <pivotArea type="data" outline="0" fieldPosition="0">
        <references count="2">
          <reference field="4294967294" count="1" selected="0">
            <x v="0"/>
          </reference>
          <reference field="0" count="1" selected="0">
            <x v="0"/>
          </reference>
        </references>
      </pivotArea>
    </chartFormat>
    <chartFormat chart="9" format="1" series="1">
      <pivotArea type="data" outline="0" fieldPosition="0">
        <references count="2">
          <reference field="4294967294" count="1" selected="0">
            <x v="0"/>
          </reference>
          <reference field="0" count="1" selected="0">
            <x v="1"/>
          </reference>
        </references>
      </pivotArea>
    </chartFormat>
    <chartFormat chart="9" format="2" series="1">
      <pivotArea type="data" outline="0" fieldPosition="0">
        <references count="2">
          <reference field="4294967294" count="1" selected="0">
            <x v="0"/>
          </reference>
          <reference field="0" count="1" selected="0">
            <x v="2"/>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2FFFD26-3CA0-964F-8964-0DDBB25FDB95}" name="PivotTable25" cacheId="12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Job Title" colHeaderCaption="Courtesy Title">
  <location ref="B29:J35" firstHeaderRow="1" firstDataRow="3" firstDataCol="1"/>
  <pivotFields count="5">
    <pivotField axis="axisCol" showAll="0">
      <items count="4">
        <item x="0"/>
        <item x="1"/>
        <item x="2"/>
        <item t="default"/>
      </items>
    </pivotField>
    <pivotField axis="axisRow" showAll="0">
      <items count="4">
        <item x="2"/>
        <item x="1"/>
        <item x="0"/>
        <item t="default"/>
      </items>
    </pivotField>
    <pivotField showAll="0"/>
    <pivotField dataField="1" showAll="0"/>
    <pivotField dataField="1" showAll="0"/>
  </pivotFields>
  <rowFields count="1">
    <field x="1"/>
  </rowFields>
  <rowItems count="4">
    <i>
      <x/>
    </i>
    <i>
      <x v="1"/>
    </i>
    <i>
      <x v="2"/>
    </i>
    <i t="grand">
      <x/>
    </i>
  </rowItems>
  <colFields count="2">
    <field x="0"/>
    <field x="-2"/>
  </colFields>
  <colItems count="8">
    <i>
      <x/>
      <x/>
    </i>
    <i r="1" i="1">
      <x v="1"/>
    </i>
    <i>
      <x v="1"/>
      <x/>
    </i>
    <i r="1" i="1">
      <x v="1"/>
    </i>
    <i>
      <x v="2"/>
      <x/>
    </i>
    <i r="1" i="1">
      <x v="1"/>
    </i>
    <i t="grand">
      <x/>
    </i>
    <i t="grand" i="1">
      <x/>
    </i>
  </colItems>
  <dataFields count="2">
    <dataField name="Average Age" fld="3" subtotal="average" baseField="0" baseItem="0"/>
    <dataField name="Average Tenure Years" fld="4" subtotal="average" baseField="0" baseItem="0"/>
  </dataFields>
  <chartFormats count="6">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1"/>
          </reference>
          <reference field="0" count="1" selected="0">
            <x v="0"/>
          </reference>
        </references>
      </pivotArea>
    </chartFormat>
    <chartFormat chart="0" format="2" series="1">
      <pivotArea type="data" outline="0" fieldPosition="0">
        <references count="2">
          <reference field="4294967294" count="1" selected="0">
            <x v="0"/>
          </reference>
          <reference field="0" count="1" selected="0">
            <x v="1"/>
          </reference>
        </references>
      </pivotArea>
    </chartFormat>
    <chartFormat chart="0" format="3" series="1">
      <pivotArea type="data" outline="0" fieldPosition="0">
        <references count="2">
          <reference field="4294967294" count="1" selected="0">
            <x v="1"/>
          </reference>
          <reference field="0" count="1" selected="0">
            <x v="1"/>
          </reference>
        </references>
      </pivotArea>
    </chartFormat>
    <chartFormat chart="0" format="4" series="1">
      <pivotArea type="data" outline="0" fieldPosition="0">
        <references count="2">
          <reference field="4294967294" count="1" selected="0">
            <x v="0"/>
          </reference>
          <reference field="0" count="1" selected="0">
            <x v="2"/>
          </reference>
        </references>
      </pivotArea>
    </chartFormat>
    <chartFormat chart="0" format="5" series="1">
      <pivotArea type="data" outline="0" fieldPosition="0">
        <references count="2">
          <reference field="4294967294" count="1" selected="0">
            <x v="1"/>
          </reference>
          <reference field="0" count="1" selected="0">
            <x v="2"/>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C79D16C-442F-7041-9EF2-A3D7FE54958E}" name="PivotTable41" cacheId="1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ategory">
  <location ref="B25:D34" firstHeaderRow="0" firstDataRow="1" firstDataCol="1"/>
  <pivotFields count="14">
    <pivotField showAll="0"/>
    <pivotField showAll="0"/>
    <pivotField axis="axisRow" showAll="0">
      <items count="9">
        <item x="0"/>
        <item x="7"/>
        <item x="3"/>
        <item x="2"/>
        <item x="4"/>
        <item x="1"/>
        <item x="5"/>
        <item x="6"/>
        <item t="default"/>
      </items>
    </pivotField>
    <pivotField showAll="0"/>
    <pivotField showAll="0"/>
    <pivotField showAll="0"/>
    <pivotField showAll="0"/>
    <pivotField showAll="0"/>
    <pivotField showAll="0"/>
    <pivotField dataField="1" showAll="0"/>
    <pivotField dataField="1" showAll="0"/>
    <pivotField showAll="0"/>
    <pivotField showAll="0"/>
    <pivotField showAll="0"/>
  </pivotFields>
  <rowFields count="1">
    <field x="2"/>
  </rowFields>
  <rowItems count="9">
    <i>
      <x/>
    </i>
    <i>
      <x v="1"/>
    </i>
    <i>
      <x v="2"/>
    </i>
    <i>
      <x v="3"/>
    </i>
    <i>
      <x v="4"/>
    </i>
    <i>
      <x v="5"/>
    </i>
    <i>
      <x v="6"/>
    </i>
    <i>
      <x v="7"/>
    </i>
    <i t="grand">
      <x/>
    </i>
  </rowItems>
  <colFields count="1">
    <field x="-2"/>
  </colFields>
  <colItems count="2">
    <i>
      <x/>
    </i>
    <i i="1">
      <x v="1"/>
    </i>
  </colItems>
  <dataFields count="2">
    <dataField name="Total Units Sold" fld="9" baseField="0" baseItem="0"/>
    <dataField name="Total Revenue" fld="10" baseField="0" baseItem="0"/>
  </dataFields>
  <chartFormats count="2">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34EDFDD-3E96-4B40-98C4-72EF02AC2563}" name="PivotTable40" cacheId="1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ategory">
  <location ref="B46:D55" firstHeaderRow="0" firstDataRow="1" firstDataCol="1"/>
  <pivotFields count="14">
    <pivotField showAll="0"/>
    <pivotField showAll="0"/>
    <pivotField axis="axisRow" showAll="0">
      <items count="9">
        <item x="0"/>
        <item x="7"/>
        <item x="3"/>
        <item x="2"/>
        <item x="4"/>
        <item x="1"/>
        <item x="5"/>
        <item x="6"/>
        <item t="default"/>
      </items>
    </pivotField>
    <pivotField showAll="0"/>
    <pivotField showAll="0"/>
    <pivotField showAll="0"/>
    <pivotField dataField="1" showAll="0"/>
    <pivotField showAll="0"/>
    <pivotField showAll="0"/>
    <pivotField showAll="0"/>
    <pivotField showAll="0"/>
    <pivotField dataField="1" showAll="0"/>
    <pivotField showAll="0"/>
    <pivotField showAll="0"/>
  </pivotFields>
  <rowFields count="1">
    <field x="2"/>
  </rowFields>
  <rowItems count="9">
    <i>
      <x/>
    </i>
    <i>
      <x v="1"/>
    </i>
    <i>
      <x v="2"/>
    </i>
    <i>
      <x v="3"/>
    </i>
    <i>
      <x v="4"/>
    </i>
    <i>
      <x v="5"/>
    </i>
    <i>
      <x v="6"/>
    </i>
    <i>
      <x v="7"/>
    </i>
    <i t="grand">
      <x/>
    </i>
  </rowItems>
  <colFields count="1">
    <field x="-2"/>
  </colFields>
  <colItems count="2">
    <i>
      <x/>
    </i>
    <i i="1">
      <x v="1"/>
    </i>
  </colItems>
  <dataFields count="2">
    <dataField name="Total Reorder Level" fld="6" baseField="0" baseItem="0"/>
    <dataField name="Average Selling Price" fld="11" subtotal="average" baseField="0" baseItem="0"/>
  </dataFields>
  <chartFormats count="6">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69988AA9-32BE-3B4A-A69C-CE86E62A60E0}" name="PivotTable26" cacheId="1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ategory">
  <location ref="B3:D12" firstHeaderRow="0" firstDataRow="1" firstDataCol="1"/>
  <pivotFields count="14">
    <pivotField showAll="0"/>
    <pivotField showAll="0">
      <items count="78">
        <item x="7"/>
        <item x="70"/>
        <item x="20"/>
        <item x="0"/>
        <item x="4"/>
        <item x="8"/>
        <item x="34"/>
        <item x="24"/>
        <item x="36"/>
        <item x="46"/>
        <item x="58"/>
        <item x="76"/>
        <item x="56"/>
        <item x="69"/>
        <item x="19"/>
        <item x="75"/>
        <item x="74"/>
        <item x="5"/>
        <item x="27"/>
        <item x="52"/>
        <item x="71"/>
        <item x="62"/>
        <item x="15"/>
        <item x="39"/>
        <item x="18"/>
        <item x="53"/>
        <item x="16"/>
        <item x="31"/>
        <item x="11"/>
        <item x="44"/>
        <item x="59"/>
        <item x="25"/>
        <item x="73"/>
        <item x="72"/>
        <item x="29"/>
        <item x="68"/>
        <item x="6"/>
        <item x="47"/>
        <item x="40"/>
        <item x="51"/>
        <item x="10"/>
        <item x="32"/>
        <item x="35"/>
        <item x="66"/>
        <item x="41"/>
        <item x="38"/>
        <item x="21"/>
        <item x="22"/>
        <item x="17"/>
        <item x="33"/>
        <item x="37"/>
        <item x="64"/>
        <item x="9"/>
        <item x="63"/>
        <item x="2"/>
        <item x="50"/>
        <item x="48"/>
        <item x="54"/>
        <item x="26"/>
        <item x="43"/>
        <item x="45"/>
        <item x="12"/>
        <item x="42"/>
        <item x="28"/>
        <item x="55"/>
        <item x="30"/>
        <item x="3"/>
        <item x="57"/>
        <item x="1"/>
        <item x="49"/>
        <item x="60"/>
        <item x="61"/>
        <item x="13"/>
        <item x="67"/>
        <item x="23"/>
        <item x="14"/>
        <item x="65"/>
        <item t="default"/>
      </items>
    </pivotField>
    <pivotField axis="axisRow" showAll="0">
      <items count="9">
        <item x="0"/>
        <item x="7"/>
        <item x="3"/>
        <item x="2"/>
        <item x="4"/>
        <item x="1"/>
        <item x="5"/>
        <item x="6"/>
        <item t="default"/>
      </items>
    </pivotField>
    <pivotField dataField="1" showAll="0"/>
    <pivotField dataField="1" showAll="0">
      <items count="52">
        <item x="1"/>
        <item x="29"/>
        <item x="46"/>
        <item x="43"/>
        <item x="24"/>
        <item x="32"/>
        <item x="22"/>
        <item x="49"/>
        <item x="48"/>
        <item x="8"/>
        <item x="10"/>
        <item x="0"/>
        <item x="3"/>
        <item x="5"/>
        <item x="4"/>
        <item x="11"/>
        <item x="16"/>
        <item x="41"/>
        <item x="7"/>
        <item x="27"/>
        <item x="15"/>
        <item x="12"/>
        <item x="28"/>
        <item x="34"/>
        <item x="35"/>
        <item x="47"/>
        <item x="23"/>
        <item x="9"/>
        <item x="6"/>
        <item x="18"/>
        <item x="50"/>
        <item x="31"/>
        <item x="17"/>
        <item x="42"/>
        <item x="40"/>
        <item x="45"/>
        <item x="25"/>
        <item x="20"/>
        <item x="2"/>
        <item x="30"/>
        <item x="26"/>
        <item x="39"/>
        <item x="44"/>
        <item x="37"/>
        <item x="38"/>
        <item x="21"/>
        <item x="19"/>
        <item x="14"/>
        <item x="36"/>
        <item x="13"/>
        <item x="33"/>
        <item t="default"/>
      </items>
    </pivotField>
    <pivotField showAll="0"/>
    <pivotField showAll="0">
      <items count="8">
        <item x="1"/>
        <item x="6"/>
        <item x="3"/>
        <item x="0"/>
        <item x="5"/>
        <item x="4"/>
        <item x="2"/>
        <item t="default"/>
      </items>
    </pivotField>
    <pivotField showAll="0"/>
    <pivotField showAll="0"/>
    <pivotField showAll="0"/>
    <pivotField showAll="0"/>
    <pivotField showAll="0"/>
    <pivotField showAll="0"/>
    <pivotField showAll="0"/>
  </pivotFields>
  <rowFields count="1">
    <field x="2"/>
  </rowFields>
  <rowItems count="9">
    <i>
      <x/>
    </i>
    <i>
      <x v="1"/>
    </i>
    <i>
      <x v="2"/>
    </i>
    <i>
      <x v="3"/>
    </i>
    <i>
      <x v="4"/>
    </i>
    <i>
      <x v="5"/>
    </i>
    <i>
      <x v="6"/>
    </i>
    <i>
      <x v="7"/>
    </i>
    <i t="grand">
      <x/>
    </i>
  </rowItems>
  <colFields count="1">
    <field x="-2"/>
  </colFields>
  <colItems count="2">
    <i>
      <x/>
    </i>
    <i i="1">
      <x v="1"/>
    </i>
  </colItems>
  <dataFields count="2">
    <dataField name="Total List Price" fld="3" baseField="0" baseItem="0"/>
    <dataField name="Total Units In Stock" fld="4"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E9F1FDD-31AE-1C45-844C-2E7FB02538F9}" name="PivotTable30" cacheId="1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Season" colHeaderCaption="Category">
  <location ref="B32:K38" firstHeaderRow="1" firstDataRow="2" firstDataCol="1"/>
  <pivotFields count="9">
    <pivotField showAll="0"/>
    <pivotField showAll="0"/>
    <pivotField showAll="0"/>
    <pivotField showAll="0"/>
    <pivotField axis="axisRow" showAll="0">
      <items count="5">
        <item x="2"/>
        <item x="3"/>
        <item x="0"/>
        <item x="1"/>
        <item t="default"/>
      </items>
    </pivotField>
    <pivotField axis="axisCol" showAll="0">
      <items count="9">
        <item x="0"/>
        <item x="1"/>
        <item x="2"/>
        <item x="3"/>
        <item x="4"/>
        <item x="5"/>
        <item x="6"/>
        <item x="7"/>
        <item t="default"/>
      </items>
    </pivotField>
    <pivotField dataField="1" showAll="0"/>
    <pivotField showAll="0"/>
    <pivotField showAll="0"/>
  </pivotFields>
  <rowFields count="1">
    <field x="4"/>
  </rowFields>
  <rowItems count="5">
    <i>
      <x/>
    </i>
    <i>
      <x v="1"/>
    </i>
    <i>
      <x v="2"/>
    </i>
    <i>
      <x v="3"/>
    </i>
    <i t="grand">
      <x/>
    </i>
  </rowItems>
  <colFields count="1">
    <field x="5"/>
  </colFields>
  <colItems count="9">
    <i>
      <x/>
    </i>
    <i>
      <x v="1"/>
    </i>
    <i>
      <x v="2"/>
    </i>
    <i>
      <x v="3"/>
    </i>
    <i>
      <x v="4"/>
    </i>
    <i>
      <x v="5"/>
    </i>
    <i>
      <x v="6"/>
    </i>
    <i>
      <x v="7"/>
    </i>
    <i t="grand">
      <x/>
    </i>
  </colItems>
  <dataFields count="1">
    <dataField name="Total Orders Placed" fld="6" baseField="0" baseItem="0"/>
  </dataFields>
  <chartFormats count="8">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2">
          <reference field="4294967294" count="1" selected="0">
            <x v="0"/>
          </reference>
          <reference field="5" count="1" selected="0">
            <x v="4"/>
          </reference>
        </references>
      </pivotArea>
    </chartFormat>
    <chartFormat chart="0" format="5" series="1">
      <pivotArea type="data" outline="0" fieldPosition="0">
        <references count="2">
          <reference field="4294967294" count="1" selected="0">
            <x v="0"/>
          </reference>
          <reference field="5" count="1" selected="0">
            <x v="5"/>
          </reference>
        </references>
      </pivotArea>
    </chartFormat>
    <chartFormat chart="0" format="6" series="1">
      <pivotArea type="data" outline="0" fieldPosition="0">
        <references count="2">
          <reference field="4294967294" count="1" selected="0">
            <x v="0"/>
          </reference>
          <reference field="5" count="1" selected="0">
            <x v="6"/>
          </reference>
        </references>
      </pivotArea>
    </chartFormat>
    <chartFormat chart="0" format="7" series="1">
      <pivotArea type="data" outline="0" fieldPosition="0">
        <references count="2">
          <reference field="4294967294" count="1" selected="0">
            <x v="0"/>
          </reference>
          <reference field="5" count="1" selected="0">
            <x v="7"/>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A65251F5-A411-0B4C-A983-871680744C44}" name="PivotTable29" cacheId="1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Month" colHeaderCaption="Category">
  <location ref="B3:K17" firstHeaderRow="1" firstDataRow="2" firstDataCol="1"/>
  <pivotFields count="9">
    <pivotField showAll="0">
      <items count="4">
        <item x="0"/>
        <item x="1"/>
        <item x="2"/>
        <item t="default"/>
      </items>
    </pivotField>
    <pivotField showAll="0">
      <items count="13">
        <item x="5"/>
        <item x="6"/>
        <item x="7"/>
        <item x="8"/>
        <item x="9"/>
        <item x="10"/>
        <item x="11"/>
        <item x="0"/>
        <item x="1"/>
        <item x="2"/>
        <item x="3"/>
        <item x="4"/>
        <item t="default"/>
      </items>
    </pivotField>
    <pivotField axis="axisRow" showAll="0">
      <items count="13">
        <item x="5"/>
        <item x="6"/>
        <item x="7"/>
        <item x="8"/>
        <item x="9"/>
        <item x="10"/>
        <item x="11"/>
        <item x="0"/>
        <item x="1"/>
        <item x="2"/>
        <item x="3"/>
        <item x="4"/>
        <item t="default"/>
      </items>
    </pivotField>
    <pivotField showAll="0"/>
    <pivotField showAll="0">
      <items count="5">
        <item x="2"/>
        <item x="3"/>
        <item x="0"/>
        <item x="1"/>
        <item t="default"/>
      </items>
    </pivotField>
    <pivotField axis="axisCol" showAll="0">
      <items count="9">
        <item x="0"/>
        <item x="1"/>
        <item x="2"/>
        <item x="3"/>
        <item x="4"/>
        <item x="5"/>
        <item x="6"/>
        <item x="7"/>
        <item t="default"/>
      </items>
    </pivotField>
    <pivotField dataField="1" showAll="0"/>
    <pivotField showAll="0"/>
    <pivotField showAll="0"/>
  </pivotFields>
  <rowFields count="1">
    <field x="2"/>
  </rowFields>
  <rowItems count="13">
    <i>
      <x/>
    </i>
    <i>
      <x v="1"/>
    </i>
    <i>
      <x v="2"/>
    </i>
    <i>
      <x v="3"/>
    </i>
    <i>
      <x v="4"/>
    </i>
    <i>
      <x v="5"/>
    </i>
    <i>
      <x v="6"/>
    </i>
    <i>
      <x v="7"/>
    </i>
    <i>
      <x v="8"/>
    </i>
    <i>
      <x v="9"/>
    </i>
    <i>
      <x v="10"/>
    </i>
    <i>
      <x v="11"/>
    </i>
    <i t="grand">
      <x/>
    </i>
  </rowItems>
  <colFields count="1">
    <field x="5"/>
  </colFields>
  <colItems count="9">
    <i>
      <x/>
    </i>
    <i>
      <x v="1"/>
    </i>
    <i>
      <x v="2"/>
    </i>
    <i>
      <x v="3"/>
    </i>
    <i>
      <x v="4"/>
    </i>
    <i>
      <x v="5"/>
    </i>
    <i>
      <x v="6"/>
    </i>
    <i>
      <x v="7"/>
    </i>
    <i t="grand">
      <x/>
    </i>
  </colItems>
  <dataFields count="1">
    <dataField name="Total Orders Placed" fld="6" baseField="0" baseItem="0"/>
  </dataFields>
  <chartFormats count="8">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5" count="1" selected="0">
            <x v="3"/>
          </reference>
        </references>
      </pivotArea>
    </chartFormat>
    <chartFormat chart="0" format="4" series="1">
      <pivotArea type="data" outline="0" fieldPosition="0">
        <references count="2">
          <reference field="4294967294" count="1" selected="0">
            <x v="0"/>
          </reference>
          <reference field="5" count="1" selected="0">
            <x v="4"/>
          </reference>
        </references>
      </pivotArea>
    </chartFormat>
    <chartFormat chart="0" format="5" series="1">
      <pivotArea type="data" outline="0" fieldPosition="0">
        <references count="2">
          <reference field="4294967294" count="1" selected="0">
            <x v="0"/>
          </reference>
          <reference field="5" count="1" selected="0">
            <x v="5"/>
          </reference>
        </references>
      </pivotArea>
    </chartFormat>
    <chartFormat chart="0" format="6" series="1">
      <pivotArea type="data" outline="0" fieldPosition="0">
        <references count="2">
          <reference field="4294967294" count="1" selected="0">
            <x v="0"/>
          </reference>
          <reference field="5" count="1" selected="0">
            <x v="6"/>
          </reference>
        </references>
      </pivotArea>
    </chartFormat>
    <chartFormat chart="0" format="7" series="1">
      <pivotArea type="data" outline="0" fieldPosition="0">
        <references count="2">
          <reference field="4294967294" count="1" selected="0">
            <x v="0"/>
          </reference>
          <reference field="5" count="1" selected="0">
            <x v="7"/>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6154268C-B6C7-9747-B570-911FB218FD7D}" name="PivotTable31" cacheId="1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Anomaly Flag" colHeaderCaption="Category">
  <location ref="B3:K9" firstHeaderRow="1" firstDataRow="2" firstDataCol="1"/>
  <pivotFields count="12">
    <pivotField showAll="0"/>
    <pivotField showAll="0">
      <items count="78">
        <item x="7"/>
        <item x="14"/>
        <item x="71"/>
        <item x="0"/>
        <item x="4"/>
        <item x="18"/>
        <item x="59"/>
        <item x="76"/>
        <item x="57"/>
        <item x="41"/>
        <item x="27"/>
        <item x="8"/>
        <item x="28"/>
        <item x="15"/>
        <item x="64"/>
        <item x="9"/>
        <item x="10"/>
        <item x="5"/>
        <item x="69"/>
        <item x="33"/>
        <item x="13"/>
        <item x="24"/>
        <item x="54"/>
        <item x="49"/>
        <item x="61"/>
        <item x="35"/>
        <item x="55"/>
        <item x="65"/>
        <item x="48"/>
        <item x="44"/>
        <item x="26"/>
        <item x="74"/>
        <item x="11"/>
        <item x="12"/>
        <item x="67"/>
        <item x="16"/>
        <item x="6"/>
        <item x="40"/>
        <item x="45"/>
        <item x="34"/>
        <item x="38"/>
        <item x="63"/>
        <item x="60"/>
        <item x="19"/>
        <item x="47"/>
        <item x="52"/>
        <item x="72"/>
        <item x="73"/>
        <item x="58"/>
        <item x="62"/>
        <item x="56"/>
        <item x="21"/>
        <item x="32"/>
        <item x="22"/>
        <item x="2"/>
        <item x="36"/>
        <item x="39"/>
        <item x="31"/>
        <item x="70"/>
        <item x="43"/>
        <item x="42"/>
        <item x="50"/>
        <item x="46"/>
        <item x="68"/>
        <item x="30"/>
        <item x="66"/>
        <item x="3"/>
        <item x="29"/>
        <item x="1"/>
        <item x="37"/>
        <item x="25"/>
        <item x="23"/>
        <item x="51"/>
        <item x="17"/>
        <item x="75"/>
        <item x="53"/>
        <item x="20"/>
        <item t="default"/>
      </items>
    </pivotField>
    <pivotField axis="axisCol" showAll="0">
      <items count="9">
        <item x="0"/>
        <item x="6"/>
        <item x="3"/>
        <item x="2"/>
        <item x="4"/>
        <item x="1"/>
        <item x="5"/>
        <item x="7"/>
        <item t="default"/>
      </items>
    </pivotField>
    <pivotField showAll="0"/>
    <pivotField dataField="1" showAll="0"/>
    <pivotField showAll="0"/>
    <pivotField showAll="0"/>
    <pivotField showAll="0"/>
    <pivotField showAll="0"/>
    <pivotField showAll="0"/>
    <pivotField showAll="0"/>
    <pivotField axis="axisRow" showAll="0">
      <items count="5">
        <item x="3"/>
        <item x="1"/>
        <item x="0"/>
        <item x="2"/>
        <item t="default"/>
      </items>
    </pivotField>
  </pivotFields>
  <rowFields count="1">
    <field x="11"/>
  </rowFields>
  <rowItems count="5">
    <i>
      <x/>
    </i>
    <i>
      <x v="1"/>
    </i>
    <i>
      <x v="2"/>
    </i>
    <i>
      <x v="3"/>
    </i>
    <i t="grand">
      <x/>
    </i>
  </rowItems>
  <colFields count="1">
    <field x="2"/>
  </colFields>
  <colItems count="9">
    <i>
      <x/>
    </i>
    <i>
      <x v="1"/>
    </i>
    <i>
      <x v="2"/>
    </i>
    <i>
      <x v="3"/>
    </i>
    <i>
      <x v="4"/>
    </i>
    <i>
      <x v="5"/>
    </i>
    <i>
      <x v="6"/>
    </i>
    <i>
      <x v="7"/>
    </i>
    <i t="grand">
      <x/>
    </i>
  </colItems>
  <dataFields count="1">
    <dataField name="Total Units Sold" fld="4" baseField="0" baseItem="0"/>
  </dataFields>
  <chartFormats count="8">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6"/>
          </reference>
        </references>
      </pivotArea>
    </chartFormat>
    <chartFormat chart="0" format="7" series="1">
      <pivotArea type="data" outline="0" fieldPosition="0">
        <references count="2">
          <reference field="4294967294" count="1" selected="0">
            <x v="0"/>
          </reference>
          <reference field="2" count="1" selected="0">
            <x v="7"/>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41198FBB-0FA7-6643-B3B1-012FE26ABAF2}" name="PivotTable32" cacheId="1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rowHeaderCaption="Anomaly Flag" colHeaderCaption="Category">
  <location ref="B26:K32" firstHeaderRow="1" firstDataRow="2" firstDataCol="1"/>
  <pivotFields count="12">
    <pivotField showAll="0"/>
    <pivotField showAll="0"/>
    <pivotField axis="axisCol" showAll="0">
      <items count="9">
        <item x="0"/>
        <item x="6"/>
        <item x="3"/>
        <item x="2"/>
        <item x="4"/>
        <item x="1"/>
        <item x="5"/>
        <item x="7"/>
        <item t="default"/>
      </items>
    </pivotField>
    <pivotField showAll="0"/>
    <pivotField showAll="0"/>
    <pivotField dataField="1" showAll="0"/>
    <pivotField showAll="0"/>
    <pivotField showAll="0"/>
    <pivotField showAll="0"/>
    <pivotField showAll="0"/>
    <pivotField showAll="0"/>
    <pivotField axis="axisRow" showAll="0">
      <items count="5">
        <item x="3"/>
        <item x="1"/>
        <item x="0"/>
        <item x="2"/>
        <item t="default"/>
      </items>
    </pivotField>
  </pivotFields>
  <rowFields count="1">
    <field x="11"/>
  </rowFields>
  <rowItems count="5">
    <i>
      <x/>
    </i>
    <i>
      <x v="1"/>
    </i>
    <i>
      <x v="2"/>
    </i>
    <i>
      <x v="3"/>
    </i>
    <i t="grand">
      <x/>
    </i>
  </rowItems>
  <colFields count="1">
    <field x="2"/>
  </colFields>
  <colItems count="9">
    <i>
      <x/>
    </i>
    <i>
      <x v="1"/>
    </i>
    <i>
      <x v="2"/>
    </i>
    <i>
      <x v="3"/>
    </i>
    <i>
      <x v="4"/>
    </i>
    <i>
      <x v="5"/>
    </i>
    <i>
      <x v="6"/>
    </i>
    <i>
      <x v="7"/>
    </i>
    <i t="grand">
      <x/>
    </i>
  </colItems>
  <dataFields count="1">
    <dataField name="Total Revenue" fld="5" baseField="0" baseItem="0"/>
  </dataFields>
  <chartFormats count="8">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6"/>
          </reference>
        </references>
      </pivotArea>
    </chartFormat>
    <chartFormat chart="0" format="7" series="1">
      <pivotArea type="data" outline="0" fieldPosition="0">
        <references count="2">
          <reference field="4294967294" count="1" selected="0">
            <x v="0"/>
          </reference>
          <reference field="2" count="1" selected="0">
            <x v="7"/>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3BC9154E-A958-3440-8648-25B6FC110810}" name="PivotTable35" cacheId="1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ity">
  <location ref="B65:C95" firstHeaderRow="1" firstDataRow="1" firstDataCol="1"/>
  <pivotFields count="5">
    <pivotField axis="axisRow" showAll="0">
      <items count="30">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showAll="0"/>
    <pivotField showAll="0"/>
    <pivotField dataField="1" showAll="0"/>
    <pivotField showAll="0"/>
  </pivotFields>
  <rowFields count="1">
    <field x="0"/>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Average Price" fld="3"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A4FD6B59-8513-5E4B-A197-E6447C26F44E}" name="PivotTable34" cacheId="1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ountry">
  <location ref="B40:E57" firstHeaderRow="0" firstDataRow="1" firstDataCol="1"/>
  <pivotFields count="5">
    <pivotField axis="axisRow" showAll="0">
      <items count="17">
        <item x="3"/>
        <item x="9"/>
        <item x="4"/>
        <item x="10"/>
        <item x="11"/>
        <item x="1"/>
        <item x="2"/>
        <item x="5"/>
        <item x="6"/>
        <item x="12"/>
        <item x="13"/>
        <item x="14"/>
        <item x="15"/>
        <item x="7"/>
        <item x="8"/>
        <item x="0"/>
        <item t="default"/>
      </items>
    </pivotField>
    <pivotField dataField="1" showAll="0"/>
    <pivotField dataField="1" showAll="0"/>
    <pivotField showAll="0"/>
    <pivotField dataField="1" showAll="0"/>
  </pivotFields>
  <rowFields count="1">
    <field x="0"/>
  </rowFields>
  <rowItems count="17">
    <i>
      <x/>
    </i>
    <i>
      <x v="1"/>
    </i>
    <i>
      <x v="2"/>
    </i>
    <i>
      <x v="3"/>
    </i>
    <i>
      <x v="4"/>
    </i>
    <i>
      <x v="5"/>
    </i>
    <i>
      <x v="6"/>
    </i>
    <i>
      <x v="7"/>
    </i>
    <i>
      <x v="8"/>
    </i>
    <i>
      <x v="9"/>
    </i>
    <i>
      <x v="10"/>
    </i>
    <i>
      <x v="11"/>
    </i>
    <i>
      <x v="12"/>
    </i>
    <i>
      <x v="13"/>
    </i>
    <i>
      <x v="14"/>
    </i>
    <i>
      <x v="15"/>
    </i>
    <i t="grand">
      <x/>
    </i>
  </rowItems>
  <colFields count="1">
    <field x="-2"/>
  </colFields>
  <colItems count="3">
    <i>
      <x/>
    </i>
    <i i="1">
      <x v="1"/>
    </i>
    <i i="2">
      <x v="2"/>
    </i>
  </colItems>
  <dataFields count="3">
    <dataField name="Total Supplier Count" fld="1" baseField="0" baseItem="0"/>
    <dataField name="Total Product Count" fld="2" baseField="0" baseItem="0"/>
    <dataField name="Total Inventory Value" fld="4" baseField="0" baseItem="0"/>
  </dataField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B6D8B680-3B0C-6F47-9B7A-FD66A22B40B5}" name="PivotTable33" cacheId="1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City">
  <location ref="B3:C33" firstHeaderRow="1" firstDataRow="1" firstDataCol="1"/>
  <pivotFields count="12">
    <pivotField showAll="0"/>
    <pivotField showAll="0">
      <items count="30">
        <item x="7"/>
        <item x="27"/>
        <item x="20"/>
        <item x="9"/>
        <item x="24"/>
        <item x="3"/>
        <item x="14"/>
        <item x="1"/>
        <item x="8"/>
        <item x="25"/>
        <item x="11"/>
        <item x="6"/>
        <item x="19"/>
        <item x="5"/>
        <item x="4"/>
        <item x="16"/>
        <item x="28"/>
        <item x="26"/>
        <item x="12"/>
        <item x="18"/>
        <item x="13"/>
        <item x="0"/>
        <item x="22"/>
        <item x="10"/>
        <item x="2"/>
        <item x="23"/>
        <item x="21"/>
        <item x="15"/>
        <item x="17"/>
        <item t="default"/>
      </items>
    </pivotField>
    <pivotField showAll="0">
      <items count="17">
        <item x="0"/>
        <item x="1"/>
        <item x="2"/>
        <item x="3"/>
        <item x="4"/>
        <item x="5"/>
        <item x="6"/>
        <item x="7"/>
        <item x="8"/>
        <item x="9"/>
        <item x="10"/>
        <item x="11"/>
        <item x="12"/>
        <item x="13"/>
        <item x="14"/>
        <item x="15"/>
        <item t="default"/>
      </items>
    </pivotField>
    <pivotField axis="axisRow" showAll="0">
      <items count="30">
        <item x="25"/>
        <item x="8"/>
        <item x="27"/>
        <item x="11"/>
        <item x="28"/>
        <item x="12"/>
        <item x="10"/>
        <item x="22"/>
        <item x="6"/>
        <item x="24"/>
        <item x="5"/>
        <item x="23"/>
        <item x="0"/>
        <item x="9"/>
        <item x="4"/>
        <item x="26"/>
        <item x="16"/>
        <item x="20"/>
        <item x="7"/>
        <item x="14"/>
        <item x="2"/>
        <item x="13"/>
        <item x="18"/>
        <item x="19"/>
        <item x="3"/>
        <item x="21"/>
        <item x="1"/>
        <item x="15"/>
        <item x="17"/>
        <item t="default"/>
      </items>
    </pivotField>
    <pivotField showAll="0"/>
    <pivotField showAll="0"/>
    <pivotField showAll="0"/>
    <pivotField dataField="1" showAll="0"/>
    <pivotField showAll="0"/>
    <pivotField showAll="0"/>
    <pivotField showAll="0"/>
    <pivotField showAll="0"/>
  </pivotFields>
  <rowFields count="1">
    <field x="3"/>
  </rowFields>
  <rowItems count="3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t="grand">
      <x/>
    </i>
  </rowItems>
  <colItems count="1">
    <i/>
  </colItems>
  <dataFields count="1">
    <dataField name="Average Product Price" fld="7" subtotal="average"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A333F588-4A80-B14A-9B0B-391ED5C9AFF7}" name="PivotTable36" cacheId="13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rowHeaderCaption="Country" colHeaderCaption="Category">
  <location ref="B3:K21" firstHeaderRow="1" firstDataRow="2" firstDataCol="1"/>
  <pivotFields count="8">
    <pivotField dataField="1" showAll="0"/>
    <pivotField showAll="0">
      <items count="30">
        <item x="2"/>
        <item x="0"/>
        <item x="17"/>
        <item x="28"/>
        <item x="1"/>
        <item x="11"/>
        <item x="16"/>
        <item x="21"/>
        <item x="18"/>
        <item x="9"/>
        <item x="13"/>
        <item x="7"/>
        <item x="4"/>
        <item x="26"/>
        <item x="22"/>
        <item x="10"/>
        <item x="25"/>
        <item x="8"/>
        <item x="27"/>
        <item x="15"/>
        <item x="20"/>
        <item x="3"/>
        <item x="19"/>
        <item x="6"/>
        <item x="5"/>
        <item x="12"/>
        <item x="24"/>
        <item x="23"/>
        <item x="14"/>
        <item t="default"/>
      </items>
    </pivotField>
    <pivotField axis="axisRow" showAll="0">
      <items count="17">
        <item x="3"/>
        <item x="5"/>
        <item x="9"/>
        <item x="15"/>
        <item x="7"/>
        <item x="2"/>
        <item x="6"/>
        <item x="12"/>
        <item x="8"/>
        <item x="10"/>
        <item x="11"/>
        <item x="4"/>
        <item x="13"/>
        <item x="14"/>
        <item x="1"/>
        <item x="0"/>
        <item t="default"/>
      </items>
    </pivotField>
    <pivotField showAll="0"/>
    <pivotField axis="axisCol" showAll="0">
      <items count="9">
        <item x="0"/>
        <item x="1"/>
        <item x="2"/>
        <item x="3"/>
        <item x="4"/>
        <item x="5"/>
        <item x="6"/>
        <item x="7"/>
        <item t="default"/>
      </items>
    </pivotField>
    <pivotField showAll="0">
      <items count="5">
        <item x="2"/>
        <item x="1"/>
        <item x="0"/>
        <item x="3"/>
        <item t="default"/>
      </items>
    </pivotField>
    <pivotField showAll="0"/>
    <pivotField showAll="0"/>
  </pivotFields>
  <rowFields count="1">
    <field x="2"/>
  </rowFields>
  <rowItems count="17">
    <i>
      <x/>
    </i>
    <i>
      <x v="1"/>
    </i>
    <i>
      <x v="2"/>
    </i>
    <i>
      <x v="3"/>
    </i>
    <i>
      <x v="4"/>
    </i>
    <i>
      <x v="5"/>
    </i>
    <i>
      <x v="6"/>
    </i>
    <i>
      <x v="7"/>
    </i>
    <i>
      <x v="8"/>
    </i>
    <i>
      <x v="9"/>
    </i>
    <i>
      <x v="10"/>
    </i>
    <i>
      <x v="11"/>
    </i>
    <i>
      <x v="12"/>
    </i>
    <i>
      <x v="13"/>
    </i>
    <i>
      <x v="14"/>
    </i>
    <i>
      <x v="15"/>
    </i>
    <i t="grand">
      <x/>
    </i>
  </rowItems>
  <colFields count="1">
    <field x="4"/>
  </colFields>
  <colItems count="9">
    <i>
      <x/>
    </i>
    <i>
      <x v="1"/>
    </i>
    <i>
      <x v="2"/>
    </i>
    <i>
      <x v="3"/>
    </i>
    <i>
      <x v="4"/>
    </i>
    <i>
      <x v="5"/>
    </i>
    <i>
      <x v="6"/>
    </i>
    <i>
      <x v="7"/>
    </i>
    <i t="grand">
      <x/>
    </i>
  </colItems>
  <dataFields count="1">
    <dataField name="Count of Supplier ID" fld="0" subtotal="count" baseField="0" baseItem="0"/>
  </dataFields>
  <chartFormats count="16">
    <chartFormat chart="3" format="0" series="1">
      <pivotArea type="data" outline="0" fieldPosition="0">
        <references count="2">
          <reference field="4294967294" count="1" selected="0">
            <x v="0"/>
          </reference>
          <reference field="4" count="1" selected="0">
            <x v="0"/>
          </reference>
        </references>
      </pivotArea>
    </chartFormat>
    <chartFormat chart="3" format="1" series="1">
      <pivotArea type="data" outline="0" fieldPosition="0">
        <references count="2">
          <reference field="4294967294" count="1" selected="0">
            <x v="0"/>
          </reference>
          <reference field="4" count="1" selected="0">
            <x v="1"/>
          </reference>
        </references>
      </pivotArea>
    </chartFormat>
    <chartFormat chart="3" format="2" series="1">
      <pivotArea type="data" outline="0" fieldPosition="0">
        <references count="2">
          <reference field="4294967294" count="1" selected="0">
            <x v="0"/>
          </reference>
          <reference field="4" count="1" selected="0">
            <x v="2"/>
          </reference>
        </references>
      </pivotArea>
    </chartFormat>
    <chartFormat chart="3" format="3" series="1">
      <pivotArea type="data" outline="0" fieldPosition="0">
        <references count="2">
          <reference field="4294967294" count="1" selected="0">
            <x v="0"/>
          </reference>
          <reference field="4" count="1" selected="0">
            <x v="3"/>
          </reference>
        </references>
      </pivotArea>
    </chartFormat>
    <chartFormat chart="3" format="4" series="1">
      <pivotArea type="data" outline="0" fieldPosition="0">
        <references count="2">
          <reference field="4294967294" count="1" selected="0">
            <x v="0"/>
          </reference>
          <reference field="4" count="1" selected="0">
            <x v="4"/>
          </reference>
        </references>
      </pivotArea>
    </chartFormat>
    <chartFormat chart="3" format="5" series="1">
      <pivotArea type="data" outline="0" fieldPosition="0">
        <references count="2">
          <reference field="4294967294" count="1" selected="0">
            <x v="0"/>
          </reference>
          <reference field="4" count="1" selected="0">
            <x v="5"/>
          </reference>
        </references>
      </pivotArea>
    </chartFormat>
    <chartFormat chart="3" format="6" series="1">
      <pivotArea type="data" outline="0" fieldPosition="0">
        <references count="2">
          <reference field="4294967294" count="1" selected="0">
            <x v="0"/>
          </reference>
          <reference field="4" count="1" selected="0">
            <x v="6"/>
          </reference>
        </references>
      </pivotArea>
    </chartFormat>
    <chartFormat chart="3" format="7" series="1">
      <pivotArea type="data" outline="0" fieldPosition="0">
        <references count="2">
          <reference field="4294967294" count="1" selected="0">
            <x v="0"/>
          </reference>
          <reference field="4" count="1" selected="0">
            <x v="7"/>
          </reference>
        </references>
      </pivotArea>
    </chartFormat>
    <chartFormat chart="5" format="0" series="1">
      <pivotArea type="data" outline="0" fieldPosition="0">
        <references count="2">
          <reference field="4294967294" count="1" selected="0">
            <x v="0"/>
          </reference>
          <reference field="4" count="1" selected="0">
            <x v="0"/>
          </reference>
        </references>
      </pivotArea>
    </chartFormat>
    <chartFormat chart="5" format="1" series="1">
      <pivotArea type="data" outline="0" fieldPosition="0">
        <references count="2">
          <reference field="4294967294" count="1" selected="0">
            <x v="0"/>
          </reference>
          <reference field="4" count="1" selected="0">
            <x v="1"/>
          </reference>
        </references>
      </pivotArea>
    </chartFormat>
    <chartFormat chart="5" format="2" series="1">
      <pivotArea type="data" outline="0" fieldPosition="0">
        <references count="2">
          <reference field="4294967294" count="1" selected="0">
            <x v="0"/>
          </reference>
          <reference field="4" count="1" selected="0">
            <x v="2"/>
          </reference>
        </references>
      </pivotArea>
    </chartFormat>
    <chartFormat chart="5" format="3" series="1">
      <pivotArea type="data" outline="0" fieldPosition="0">
        <references count="2">
          <reference field="4294967294" count="1" selected="0">
            <x v="0"/>
          </reference>
          <reference field="4" count="1" selected="0">
            <x v="3"/>
          </reference>
        </references>
      </pivotArea>
    </chartFormat>
    <chartFormat chart="5" format="4" series="1">
      <pivotArea type="data" outline="0" fieldPosition="0">
        <references count="2">
          <reference field="4294967294" count="1" selected="0">
            <x v="0"/>
          </reference>
          <reference field="4" count="1" selected="0">
            <x v="4"/>
          </reference>
        </references>
      </pivotArea>
    </chartFormat>
    <chartFormat chart="5" format="5" series="1">
      <pivotArea type="data" outline="0" fieldPosition="0">
        <references count="2">
          <reference field="4294967294" count="1" selected="0">
            <x v="0"/>
          </reference>
          <reference field="4" count="1" selected="0">
            <x v="5"/>
          </reference>
        </references>
      </pivotArea>
    </chartFormat>
    <chartFormat chart="5" format="6" series="1">
      <pivotArea type="data" outline="0" fieldPosition="0">
        <references count="2">
          <reference field="4294967294" count="1" selected="0">
            <x v="0"/>
          </reference>
          <reference field="4" count="1" selected="0">
            <x v="6"/>
          </reference>
        </references>
      </pivotArea>
    </chartFormat>
    <chartFormat chart="5" format="7" series="1">
      <pivotArea type="data" outline="0" fieldPosition="0">
        <references count="2">
          <reference field="4294967294" count="1" selected="0">
            <x v="0"/>
          </reference>
          <reference field="4" count="1" selected="0">
            <x v="7"/>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226E20F9-E281-FD45-AC07-5FE09C1A9F25}" name="PivotTable37" cacheId="13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Category">
  <location ref="B28:D37" firstHeaderRow="0" firstDataRow="1" firstDataCol="1"/>
  <pivotFields count="5">
    <pivotField axis="axisRow" showAll="0">
      <items count="9">
        <item x="5"/>
        <item x="6"/>
        <item x="4"/>
        <item x="0"/>
        <item x="1"/>
        <item x="2"/>
        <item x="3"/>
        <item x="7"/>
        <item t="default"/>
      </items>
    </pivotField>
    <pivotField dataField="1" showAll="0"/>
    <pivotField dataField="1" showAll="0"/>
    <pivotField showAll="0"/>
    <pivotField showAll="0">
      <items count="9">
        <item x="5"/>
        <item x="0"/>
        <item x="7"/>
        <item x="6"/>
        <item x="4"/>
        <item x="3"/>
        <item x="1"/>
        <item x="2"/>
        <item t="default"/>
      </items>
    </pivotField>
  </pivotFields>
  <rowFields count="1">
    <field x="0"/>
  </rowFields>
  <rowItems count="9">
    <i>
      <x/>
    </i>
    <i>
      <x v="1"/>
    </i>
    <i>
      <x v="2"/>
    </i>
    <i>
      <x v="3"/>
    </i>
    <i>
      <x v="4"/>
    </i>
    <i>
      <x v="5"/>
    </i>
    <i>
      <x v="6"/>
    </i>
    <i>
      <x v="7"/>
    </i>
    <i t="grand">
      <x/>
    </i>
  </rowItems>
  <colFields count="1">
    <field x="-2"/>
  </colFields>
  <colItems count="2">
    <i>
      <x/>
    </i>
    <i i="1">
      <x v="1"/>
    </i>
  </colItems>
  <dataFields count="2">
    <dataField name="Supplier Count" fld="1" baseField="0" baseItem="0"/>
    <dataField name="Product Count" fld="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0F9AA329-6595-5041-8523-B567017CD4A8}" name="PivotTable39" cacheId="1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Country" colHeaderCaption="Category">
  <location ref="B27:K45" firstHeaderRow="1" firstDataRow="2" firstDataCol="1"/>
  <pivotFields count="12">
    <pivotField axis="axisRow" showAll="0">
      <items count="17">
        <item x="0"/>
        <item x="1"/>
        <item x="2"/>
        <item x="3"/>
        <item x="4"/>
        <item x="5"/>
        <item x="6"/>
        <item x="7"/>
        <item x="8"/>
        <item x="9"/>
        <item x="10"/>
        <item x="11"/>
        <item x="12"/>
        <item x="13"/>
        <item x="14"/>
        <item x="15"/>
        <item t="default"/>
      </items>
    </pivotField>
    <pivotField showAll="0"/>
    <pivotField axis="axisCol" showAll="0">
      <items count="9">
        <item x="0"/>
        <item x="1"/>
        <item x="2"/>
        <item x="7"/>
        <item x="3"/>
        <item x="4"/>
        <item x="5"/>
        <item x="6"/>
        <item t="default"/>
      </items>
    </pivotField>
    <pivotField showAll="0"/>
    <pivotField showAll="0"/>
    <pivotField dataField="1" showAll="0"/>
    <pivotField showAll="0"/>
    <pivotField showAll="0"/>
    <pivotField showAll="0"/>
    <pivotField showAll="0"/>
    <pivotField showAll="0"/>
    <pivotField showAll="0"/>
  </pivotFields>
  <rowFields count="1">
    <field x="0"/>
  </rowFields>
  <rowItems count="17">
    <i>
      <x/>
    </i>
    <i>
      <x v="1"/>
    </i>
    <i>
      <x v="2"/>
    </i>
    <i>
      <x v="3"/>
    </i>
    <i>
      <x v="4"/>
    </i>
    <i>
      <x v="5"/>
    </i>
    <i>
      <x v="6"/>
    </i>
    <i>
      <x v="7"/>
    </i>
    <i>
      <x v="8"/>
    </i>
    <i>
      <x v="9"/>
    </i>
    <i>
      <x v="10"/>
    </i>
    <i>
      <x v="11"/>
    </i>
    <i>
      <x v="12"/>
    </i>
    <i>
      <x v="13"/>
    </i>
    <i>
      <x v="14"/>
    </i>
    <i>
      <x v="15"/>
    </i>
    <i t="grand">
      <x/>
    </i>
  </rowItems>
  <colFields count="1">
    <field x="2"/>
  </colFields>
  <colItems count="9">
    <i>
      <x/>
    </i>
    <i>
      <x v="1"/>
    </i>
    <i>
      <x v="2"/>
    </i>
    <i>
      <x v="3"/>
    </i>
    <i>
      <x v="4"/>
    </i>
    <i>
      <x v="5"/>
    </i>
    <i>
      <x v="6"/>
    </i>
    <i>
      <x v="7"/>
    </i>
    <i t="grand">
      <x/>
    </i>
  </colItems>
  <dataFields count="1">
    <dataField name="Average Price" fld="5" baseField="0" baseItem="0"/>
  </dataFields>
  <chartFormats count="24">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0" format="6" series="1">
      <pivotArea type="data" outline="0" fieldPosition="0">
        <references count="2">
          <reference field="4294967294" count="1" selected="0">
            <x v="0"/>
          </reference>
          <reference field="2" count="1" selected="0">
            <x v="6"/>
          </reference>
        </references>
      </pivotArea>
    </chartFormat>
    <chartFormat chart="0" format="7" series="1">
      <pivotArea type="data" outline="0" fieldPosition="0">
        <references count="2">
          <reference field="4294967294" count="1" selected="0">
            <x v="0"/>
          </reference>
          <reference field="2" count="1" selected="0">
            <x v="7"/>
          </reference>
        </references>
      </pivotArea>
    </chartFormat>
    <chartFormat chart="2" format="8" series="1">
      <pivotArea type="data" outline="0" fieldPosition="0">
        <references count="2">
          <reference field="4294967294" count="1" selected="0">
            <x v="0"/>
          </reference>
          <reference field="2" count="1" selected="0">
            <x v="0"/>
          </reference>
        </references>
      </pivotArea>
    </chartFormat>
    <chartFormat chart="2" format="9" series="1">
      <pivotArea type="data" outline="0" fieldPosition="0">
        <references count="2">
          <reference field="4294967294" count="1" selected="0">
            <x v="0"/>
          </reference>
          <reference field="2" count="1" selected="0">
            <x v="1"/>
          </reference>
        </references>
      </pivotArea>
    </chartFormat>
    <chartFormat chart="2" format="10" series="1">
      <pivotArea type="data" outline="0" fieldPosition="0">
        <references count="2">
          <reference field="4294967294" count="1" selected="0">
            <x v="0"/>
          </reference>
          <reference field="2" count="1" selected="0">
            <x v="2"/>
          </reference>
        </references>
      </pivotArea>
    </chartFormat>
    <chartFormat chart="2" format="11" series="1">
      <pivotArea type="data" outline="0" fieldPosition="0">
        <references count="2">
          <reference field="4294967294" count="1" selected="0">
            <x v="0"/>
          </reference>
          <reference field="2" count="1" selected="0">
            <x v="3"/>
          </reference>
        </references>
      </pivotArea>
    </chartFormat>
    <chartFormat chart="2" format="12" series="1">
      <pivotArea type="data" outline="0" fieldPosition="0">
        <references count="2">
          <reference field="4294967294" count="1" selected="0">
            <x v="0"/>
          </reference>
          <reference field="2" count="1" selected="0">
            <x v="4"/>
          </reference>
        </references>
      </pivotArea>
    </chartFormat>
    <chartFormat chart="2" format="13" series="1">
      <pivotArea type="data" outline="0" fieldPosition="0">
        <references count="2">
          <reference field="4294967294" count="1" selected="0">
            <x v="0"/>
          </reference>
          <reference field="2" count="1" selected="0">
            <x v="5"/>
          </reference>
        </references>
      </pivotArea>
    </chartFormat>
    <chartFormat chart="2" format="14" series="1">
      <pivotArea type="data" outline="0" fieldPosition="0">
        <references count="2">
          <reference field="4294967294" count="1" selected="0">
            <x v="0"/>
          </reference>
          <reference field="2" count="1" selected="0">
            <x v="6"/>
          </reference>
        </references>
      </pivotArea>
    </chartFormat>
    <chartFormat chart="2" format="15" series="1">
      <pivotArea type="data" outline="0" fieldPosition="0">
        <references count="2">
          <reference field="4294967294" count="1" selected="0">
            <x v="0"/>
          </reference>
          <reference field="2" count="1" selected="0">
            <x v="7"/>
          </reference>
        </references>
      </pivotArea>
    </chartFormat>
    <chartFormat chart="3" format="16" series="1">
      <pivotArea type="data" outline="0" fieldPosition="0">
        <references count="2">
          <reference field="4294967294" count="1" selected="0">
            <x v="0"/>
          </reference>
          <reference field="2" count="1" selected="0">
            <x v="0"/>
          </reference>
        </references>
      </pivotArea>
    </chartFormat>
    <chartFormat chart="3" format="17" series="1">
      <pivotArea type="data" outline="0" fieldPosition="0">
        <references count="2">
          <reference field="4294967294" count="1" selected="0">
            <x v="0"/>
          </reference>
          <reference field="2" count="1" selected="0">
            <x v="1"/>
          </reference>
        </references>
      </pivotArea>
    </chartFormat>
    <chartFormat chart="3" format="18" series="1">
      <pivotArea type="data" outline="0" fieldPosition="0">
        <references count="2">
          <reference field="4294967294" count="1" selected="0">
            <x v="0"/>
          </reference>
          <reference field="2" count="1" selected="0">
            <x v="2"/>
          </reference>
        </references>
      </pivotArea>
    </chartFormat>
    <chartFormat chart="3" format="19" series="1">
      <pivotArea type="data" outline="0" fieldPosition="0">
        <references count="2">
          <reference field="4294967294" count="1" selected="0">
            <x v="0"/>
          </reference>
          <reference field="2" count="1" selected="0">
            <x v="3"/>
          </reference>
        </references>
      </pivotArea>
    </chartFormat>
    <chartFormat chart="3" format="20" series="1">
      <pivotArea type="data" outline="0" fieldPosition="0">
        <references count="2">
          <reference field="4294967294" count="1" selected="0">
            <x v="0"/>
          </reference>
          <reference field="2" count="1" selected="0">
            <x v="4"/>
          </reference>
        </references>
      </pivotArea>
    </chartFormat>
    <chartFormat chart="3" format="21" series="1">
      <pivotArea type="data" outline="0" fieldPosition="0">
        <references count="2">
          <reference field="4294967294" count="1" selected="0">
            <x v="0"/>
          </reference>
          <reference field="2" count="1" selected="0">
            <x v="5"/>
          </reference>
        </references>
      </pivotArea>
    </chartFormat>
    <chartFormat chart="3" format="22" series="1">
      <pivotArea type="data" outline="0" fieldPosition="0">
        <references count="2">
          <reference field="4294967294" count="1" selected="0">
            <x v="0"/>
          </reference>
          <reference field="2" count="1" selected="0">
            <x v="6"/>
          </reference>
        </references>
      </pivotArea>
    </chartFormat>
    <chartFormat chart="3" format="23" series="1">
      <pivotArea type="data" outline="0" fieldPosition="0">
        <references count="2">
          <reference field="4294967294" count="1" selected="0">
            <x v="0"/>
          </reference>
          <reference field="2" count="1" selected="0">
            <x v="7"/>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5D15C457-7CDD-E74B-8BA6-CE34A6E20FAC}" name="PivotTable38" cacheId="13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Region" colHeaderCaption="Category">
  <location ref="B3:K14" firstHeaderRow="1" firstDataRow="2" firstDataCol="1"/>
  <pivotFields count="12">
    <pivotField showAll="0"/>
    <pivotField axis="axisRow" showAll="0">
      <items count="10">
        <item x="2"/>
        <item x="4"/>
        <item x="6"/>
        <item x="8"/>
        <item x="7"/>
        <item x="1"/>
        <item x="5"/>
        <item x="3"/>
        <item x="0"/>
        <item t="default"/>
      </items>
    </pivotField>
    <pivotField axis="axisCol" showAll="0">
      <items count="9">
        <item x="0"/>
        <item x="1"/>
        <item x="2"/>
        <item x="7"/>
        <item x="3"/>
        <item x="4"/>
        <item x="5"/>
        <item x="6"/>
        <item t="default"/>
      </items>
    </pivotField>
    <pivotField showAll="0"/>
    <pivotField showAll="0"/>
    <pivotField dataField="1" showAll="0"/>
    <pivotField showAll="0"/>
    <pivotField showAll="0"/>
    <pivotField showAll="0"/>
    <pivotField showAll="0"/>
    <pivotField showAll="0"/>
    <pivotField showAll="0"/>
  </pivotFields>
  <rowFields count="1">
    <field x="1"/>
  </rowFields>
  <rowItems count="10">
    <i>
      <x/>
    </i>
    <i>
      <x v="1"/>
    </i>
    <i>
      <x v="2"/>
    </i>
    <i>
      <x v="3"/>
    </i>
    <i>
      <x v="4"/>
    </i>
    <i>
      <x v="5"/>
    </i>
    <i>
      <x v="6"/>
    </i>
    <i>
      <x v="7"/>
    </i>
    <i>
      <x v="8"/>
    </i>
    <i t="grand">
      <x/>
    </i>
  </rowItems>
  <colFields count="1">
    <field x="2"/>
  </colFields>
  <colItems count="9">
    <i>
      <x/>
    </i>
    <i>
      <x v="1"/>
    </i>
    <i>
      <x v="2"/>
    </i>
    <i>
      <x v="3"/>
    </i>
    <i>
      <x v="4"/>
    </i>
    <i>
      <x v="5"/>
    </i>
    <i>
      <x v="6"/>
    </i>
    <i>
      <x v="7"/>
    </i>
    <i t="grand">
      <x/>
    </i>
  </colItems>
  <dataFields count="1">
    <dataField name="Average Price" fld="5" baseField="0" baseItem="0"/>
  </dataFields>
  <chartFormats count="8">
    <chartFormat chart="0" format="32" series="1">
      <pivotArea type="data" outline="0" fieldPosition="0">
        <references count="2">
          <reference field="4294967294" count="1" selected="0">
            <x v="0"/>
          </reference>
          <reference field="2" count="1" selected="0">
            <x v="0"/>
          </reference>
        </references>
      </pivotArea>
    </chartFormat>
    <chartFormat chart="0" format="33" series="1">
      <pivotArea type="data" outline="0" fieldPosition="0">
        <references count="2">
          <reference field="4294967294" count="1" selected="0">
            <x v="0"/>
          </reference>
          <reference field="2" count="1" selected="0">
            <x v="1"/>
          </reference>
        </references>
      </pivotArea>
    </chartFormat>
    <chartFormat chart="0" format="34" series="1">
      <pivotArea type="data" outline="0" fieldPosition="0">
        <references count="2">
          <reference field="4294967294" count="1" selected="0">
            <x v="0"/>
          </reference>
          <reference field="2" count="1" selected="0">
            <x v="2"/>
          </reference>
        </references>
      </pivotArea>
    </chartFormat>
    <chartFormat chart="0" format="35" series="1">
      <pivotArea type="data" outline="0" fieldPosition="0">
        <references count="2">
          <reference field="4294967294" count="1" selected="0">
            <x v="0"/>
          </reference>
          <reference field="2" count="1" selected="0">
            <x v="3"/>
          </reference>
        </references>
      </pivotArea>
    </chartFormat>
    <chartFormat chart="0" format="36" series="1">
      <pivotArea type="data" outline="0" fieldPosition="0">
        <references count="2">
          <reference field="4294967294" count="1" selected="0">
            <x v="0"/>
          </reference>
          <reference field="2" count="1" selected="0">
            <x v="4"/>
          </reference>
        </references>
      </pivotArea>
    </chartFormat>
    <chartFormat chart="0" format="37" series="1">
      <pivotArea type="data" outline="0" fieldPosition="0">
        <references count="2">
          <reference field="4294967294" count="1" selected="0">
            <x v="0"/>
          </reference>
          <reference field="2" count="1" selected="0">
            <x v="5"/>
          </reference>
        </references>
      </pivotArea>
    </chartFormat>
    <chartFormat chart="0" format="38" series="1">
      <pivotArea type="data" outline="0" fieldPosition="0">
        <references count="2">
          <reference field="4294967294" count="1" selected="0">
            <x v="0"/>
          </reference>
          <reference field="2" count="1" selected="0">
            <x v="6"/>
          </reference>
        </references>
      </pivotArea>
    </chartFormat>
    <chartFormat chart="0" format="39" series="1">
      <pivotArea type="data" outline="0" fieldPosition="0">
        <references count="2">
          <reference field="4294967294" count="1" selected="0">
            <x v="0"/>
          </reference>
          <reference field="2" count="1" selected="0">
            <x v="7"/>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5" xr16:uid="{33FA1FEB-77E9-473C-A6FB-764CF3240C5B}" autoFormatId="16" applyNumberFormats="0" applyBorderFormats="0" applyFontFormats="0" applyPatternFormats="0" applyAlignmentFormats="0" applyWidthHeightFormats="0">
  <queryTableRefresh nextId="14">
    <queryTableFields count="13">
      <queryTableField id="1" name="CustomerID" tableColumnId="1"/>
      <queryTableField id="2" name="CompanyName" tableColumnId="2"/>
      <queryTableField id="3" name="Country" tableColumnId="3"/>
      <queryTableField id="4" name="City" tableColumnId="4"/>
      <queryTableField id="5" name="total_orders" tableColumnId="5"/>
      <queryTableField id="6" name="total_revenue" tableColumnId="6"/>
      <queryTableField id="7" name="avg_order_value" tableColumnId="7"/>
      <queryTableField id="8" name="first_order" tableColumnId="8"/>
      <queryTableField id="9" name="last_order" tableColumnId="9"/>
      <queryTableField id="10" name="customer_lifespan_days" tableColumnId="10"/>
      <queryTableField id="11" name="revenue_quartile" tableColumnId="11"/>
      <queryTableField id="12" name="avg_orders_per_customer" tableColumnId="12"/>
      <queryTableField id="13" name="customer_segment"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6" xr16:uid="{EF92EE7A-F9E7-423A-A258-4990D361546E}" autoFormatId="16" applyNumberFormats="0" applyBorderFormats="0" applyFontFormats="0" applyPatternFormats="0" applyAlignmentFormats="0" applyWidthHeightFormats="0">
  <queryTableRefresh nextId="14">
    <queryTableFields count="13">
      <queryTableField id="1" name="CustomerID" tableColumnId="1"/>
      <queryTableField id="2" name="CompanyName" tableColumnId="2"/>
      <queryTableField id="3" name="Country" tableColumnId="3"/>
      <queryTableField id="4" name="City" tableColumnId="4"/>
      <queryTableField id="5" name="total_orders" tableColumnId="5"/>
      <queryTableField id="6" name="total_revenue" tableColumnId="6"/>
      <queryTableField id="7" name="avg_order_value" tableColumnId="7"/>
      <queryTableField id="8" name="first_order" tableColumnId="8"/>
      <queryTableField id="9" name="last_order" tableColumnId="9"/>
      <queryTableField id="10" name="customer_lifespan_days" tableColumnId="10"/>
      <queryTableField id="11" name="revenue_quartile" tableColumnId="11"/>
      <queryTableField id="12" name="avg_orders_per_customer" tableColumnId="12"/>
      <queryTableField id="13" name="customer_segment" tableColumnId="1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28" xr16:uid="{18CE19C0-7EE5-4131-95C7-42D164849AC4}" autoFormatId="16" applyNumberFormats="0" applyBorderFormats="0" applyFontFormats="0" applyPatternFormats="0" applyAlignmentFormats="0" applyWidthHeightFormats="0">
  <queryTableRefresh nextId="11">
    <queryTableFields count="10">
      <queryTableField id="1" name="Country" tableColumnId="1"/>
      <queryTableField id="2" name="City" tableColumnId="2"/>
      <queryTableField id="3" name="total_customers" tableColumnId="3"/>
      <queryTableField id="4" name="total_orders" tableColumnId="4"/>
      <queryTableField id="5" name="avg_orders_per_customer" tableColumnId="5"/>
      <queryTableField id="6" name="total_revenue" tableColumnId="6"/>
      <queryTableField id="7" name="avg_revenue_per_order" tableColumnId="7"/>
      <queryTableField id="8" name="total_units_ordered" tableColumnId="8"/>
      <queryTableField id="9" name="earliest_order" tableColumnId="9"/>
      <queryTableField id="10" name="latest_order" tableColumnId="10"/>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29" xr16:uid="{FBE1F8A2-2E48-450E-8673-C605D7BF2B78}" autoFormatId="16" applyNumberFormats="0" applyBorderFormats="0" applyFontFormats="0" applyPatternFormats="0" applyAlignmentFormats="0" applyWidthHeightFormats="0">
  <queryTableRefresh nextId="11">
    <queryTableFields count="10">
      <queryTableField id="1" name="Country" tableColumnId="1"/>
      <queryTableField id="2" name="City" tableColumnId="2"/>
      <queryTableField id="3" name="total_customers" tableColumnId="3"/>
      <queryTableField id="4" name="total_orders" tableColumnId="4"/>
      <queryTableField id="5" name="avg_orders_per_customer" tableColumnId="5"/>
      <queryTableField id="6" name="total_revenue" tableColumnId="6"/>
      <queryTableField id="7" name="avg_revenue_per_order" tableColumnId="7"/>
      <queryTableField id="8" name="total_units_ordered" tableColumnId="8"/>
      <queryTableField id="9" name="earliest_order" tableColumnId="9"/>
      <queryTableField id="10" name="latest_order" tableColumnId="10"/>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32" xr16:uid="{4E6559A3-8ABC-427A-AF80-9C5FF4D9A5BC}" autoFormatId="16" applyNumberFormats="0" applyBorderFormats="0" applyFontFormats="0" applyPatternFormats="0" applyAlignmentFormats="0" applyWidthHeightFormats="0">
  <queryTableRefresh nextId="10">
    <queryTableFields count="9">
      <queryTableField id="1" name="CustomerID" tableColumnId="1"/>
      <queryTableField id="2" name="CompanyName" tableColumnId="2"/>
      <queryTableField id="3" name="Country" tableColumnId="3"/>
      <queryTableField id="4" name="order_count" tableColumnId="4"/>
      <queryTableField id="5" name="total_spend" tableColumnId="5"/>
      <queryTableField id="6" name="avg_order_value" tableColumnId="6"/>
      <queryTableField id="7" name="days_since_last_order" tableColumnId="7"/>
      <queryTableField id="8" name="preferred_category" tableColumnId="8"/>
      <queryTableField id="9" name="customer_tier" tableColumnId="9"/>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2" connectionId="33" xr16:uid="{F29B3688-3021-42AC-BE5C-BDCE0C634053}" autoFormatId="16" applyNumberFormats="0" applyBorderFormats="0" applyFontFormats="0" applyPatternFormats="0" applyAlignmentFormats="0" applyWidthHeightFormats="0">
  <queryTableRefresh nextId="10">
    <queryTableFields count="9">
      <queryTableField id="1" name="CustomerID" tableColumnId="1"/>
      <queryTableField id="2" name="CompanyName" tableColumnId="2"/>
      <queryTableField id="3" name="Country" tableColumnId="3"/>
      <queryTableField id="4" name="order_count" tableColumnId="4"/>
      <queryTableField id="5" name="total_spend" tableColumnId="5"/>
      <queryTableField id="6" name="avg_order_value" tableColumnId="6"/>
      <queryTableField id="7" name="days_since_last_order" tableColumnId="7"/>
      <queryTableField id="8" name="preferred_category" tableColumnId="8"/>
      <queryTableField id="9" name="customer_tier" tableColumnId="9"/>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1" connectionId="36" xr16:uid="{6F707BA9-0620-42BA-9E00-9D27B8B0AB03}" autoFormatId="16" applyNumberFormats="0" applyBorderFormats="0" applyFontFormats="0" applyPatternFormats="0" applyAlignmentFormats="0" applyWidthHeightFormats="0">
  <queryTableRefresh nextId="8">
    <queryTableFields count="7">
      <queryTableField id="1" name="CategoryID" tableColumnId="1"/>
      <queryTableField id="2" name="CategoryName" tableColumnId="2"/>
      <queryTableField id="3" name="total_orders" tableColumnId="3"/>
      <queryTableField id="4" name="units_sold" tableColumnId="4"/>
      <queryTableField id="5" name="total_revenue" tableColumnId="5"/>
      <queryTableField id="6" name="revenue_pct" tableColumnId="6"/>
      <queryTableField id="7" name="avg_unit_price" tableColumnId="7"/>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ExternalData_3" connectionId="40" xr16:uid="{506CDFA7-AFB8-4937-BDB0-669D0353AD49}" autoFormatId="16" applyNumberFormats="0" applyBorderFormats="0" applyFontFormats="0" applyPatternFormats="0" applyAlignmentFormats="0" applyWidthHeightFormats="0">
  <queryTableRefresh nextId="9">
    <queryTableFields count="8">
      <queryTableField id="1" name="ProductID" tableColumnId="1"/>
      <queryTableField id="2" name="ProductName" tableColumnId="2"/>
      <queryTableField id="3" name="CategoryName" tableColumnId="3"/>
      <queryTableField id="4" name="times_ordered" tableColumnId="4"/>
      <queryTableField id="5" name="units_sold" tableColumnId="5"/>
      <queryTableField id="6" name="total_revenue" tableColumnId="6"/>
      <queryTableField id="7" name="pct_of_category" tableColumnId="7"/>
      <queryTableField id="8" name="avg_selling_price" tableColumnId="8"/>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ExternalData_2" connectionId="37" xr16:uid="{974DC902-5488-416E-89F8-8EABEFFA8851}" autoFormatId="16" applyNumberFormats="0" applyBorderFormats="0" applyFontFormats="0" applyPatternFormats="0" applyAlignmentFormats="0" applyWidthHeightFormats="0">
  <queryTableRefresh nextId="8">
    <queryTableFields count="7">
      <queryTableField id="1" name="CategoryID" tableColumnId="1"/>
      <queryTableField id="2" name="CategoryName" tableColumnId="2"/>
      <queryTableField id="3" name="total_orders" tableColumnId="3"/>
      <queryTableField id="4" name="units_sold" tableColumnId="4"/>
      <queryTableField id="5" name="total_revenue" tableColumnId="5"/>
      <queryTableField id="6" name="revenue_pct" tableColumnId="6"/>
      <queryTableField id="7" name="avg_unit_price" tableColumnId="7"/>
    </queryTableFields>
  </queryTableRefresh>
</queryTable>
</file>

<file path=xl/queryTables/queryTable10.xml><?xml version="1.0" encoding="utf-8"?>
<queryTable xmlns="http://schemas.openxmlformats.org/spreadsheetml/2006/main" xmlns:mc="http://schemas.openxmlformats.org/markup-compatibility/2006" xmlns:xr16="http://schemas.microsoft.com/office/spreadsheetml/2017/revision16" mc:Ignorable="xr16" name="ExternalData_3" connectionId="41" xr16:uid="{116E60B1-EEEC-4AB2-AC0A-011EEAABEBAE}" autoFormatId="16" applyNumberFormats="0" applyBorderFormats="0" applyFontFormats="0" applyPatternFormats="0" applyAlignmentFormats="0" applyWidthHeightFormats="0">
  <queryTableRefresh nextId="9">
    <queryTableFields count="8">
      <queryTableField id="1" name="ProductID" tableColumnId="1"/>
      <queryTableField id="2" name="ProductName" tableColumnId="2"/>
      <queryTableField id="3" name="CategoryName" tableColumnId="3"/>
      <queryTableField id="4" name="times_ordered" tableColumnId="4"/>
      <queryTableField id="5" name="units_sold" tableColumnId="5"/>
      <queryTableField id="6" name="total_revenue" tableColumnId="6"/>
      <queryTableField id="7" name="pct_of_category" tableColumnId="7"/>
      <queryTableField id="8" name="avg_selling_price" tableColumnId="8"/>
    </queryTableFields>
  </queryTableRefresh>
</queryTable>
</file>

<file path=xl/queryTables/queryTable11.xml><?xml version="1.0" encoding="utf-8"?>
<queryTable xmlns="http://schemas.openxmlformats.org/spreadsheetml/2006/main" xmlns:mc="http://schemas.openxmlformats.org/markup-compatibility/2006" xmlns:xr16="http://schemas.microsoft.com/office/spreadsheetml/2017/revision16" mc:Ignorable="xr16" name="ExternalData_1" connectionId="42" xr16:uid="{77635F28-762D-4D2F-9640-9BAB795B3DF2}" autoFormatId="16" applyNumberFormats="0" applyBorderFormats="0" applyFontFormats="0" applyPatternFormats="0" applyAlignmentFormats="0" applyWidthHeightFormats="0">
  <queryTableRefresh nextId="9">
    <queryTableFields count="8">
      <queryTableField id="1" name="Country" tableColumnId="1"/>
      <queryTableField id="2" name="City" tableColumnId="2"/>
      <queryTableField id="3" name="CategoryName" tableColumnId="3"/>
      <queryTableField id="4" name="order_count" tableColumnId="4"/>
      <queryTableField id="5" name="units_ordered" tableColumnId="5"/>
      <queryTableField id="6" name="revenue" tableColumnId="6"/>
      <queryTableField id="7" name="distinct_customers" tableColumnId="7"/>
      <queryTableField id="8" name="revenue_per_customer" tableColumnId="8"/>
    </queryTableFields>
  </queryTableRefresh>
</queryTable>
</file>

<file path=xl/queryTables/queryTable12.xml><?xml version="1.0" encoding="utf-8"?>
<queryTable xmlns="http://schemas.openxmlformats.org/spreadsheetml/2006/main" xmlns:mc="http://schemas.openxmlformats.org/markup-compatibility/2006" xmlns:xr16="http://schemas.microsoft.com/office/spreadsheetml/2017/revision16" mc:Ignorable="xr16" name="ExternalData_1" connectionId="43" xr16:uid="{3F9D46B2-553A-48DB-BD49-5F0DADED468F}" autoFormatId="16" applyNumberFormats="0" applyBorderFormats="0" applyFontFormats="0" applyPatternFormats="0" applyAlignmentFormats="0" applyWidthHeightFormats="0">
  <queryTableRefresh nextId="9">
    <queryTableFields count="8">
      <queryTableField id="1" name="Country" tableColumnId="1"/>
      <queryTableField id="2" name="City" tableColumnId="2"/>
      <queryTableField id="3" name="CategoryName" tableColumnId="3"/>
      <queryTableField id="4" name="order_count" tableColumnId="4"/>
      <queryTableField id="5" name="units_ordered" tableColumnId="5"/>
      <queryTableField id="6" name="revenue" tableColumnId="6"/>
      <queryTableField id="7" name="distinct_customers" tableColumnId="7"/>
      <queryTableField id="8" name="revenue_per_customer" tableColumnId="8"/>
    </queryTableFields>
  </queryTableRefresh>
</queryTable>
</file>

<file path=xl/queryTables/queryTable13.xml><?xml version="1.0" encoding="utf-8"?>
<queryTable xmlns="http://schemas.openxmlformats.org/spreadsheetml/2006/main" xmlns:mc="http://schemas.openxmlformats.org/markup-compatibility/2006" xmlns:xr16="http://schemas.microsoft.com/office/spreadsheetml/2017/revision16" mc:Ignorable="xr16" name="ExternalData_1" connectionId="44" xr16:uid="{D481A4C6-ABDA-4841-82F6-A3607951FEF7}" autoFormatId="16" applyNumberFormats="0" applyBorderFormats="0" applyFontFormats="0" applyPatternFormats="0" applyAlignmentFormats="0" applyWidthHeightFormats="0">
  <queryTableRefresh nextId="9">
    <queryTableFields count="8">
      <queryTableField id="1" name="CustomerID" tableColumnId="1"/>
      <queryTableField id="2" name="CompanyName" tableColumnId="2"/>
      <queryTableField id="3" name="Country" tableColumnId="3"/>
      <queryTableField id="4" name="total_orders" tableColumnId="4"/>
      <queryTableField id="5" name="avg_days_between_orders" tableColumnId="5"/>
      <queryTableField id="6" name="min_gap_days" tableColumnId="6"/>
      <queryTableField id="7" name="max_gap_days" tableColumnId="7"/>
      <queryTableField id="8" name="frequency_segment" tableColumnId="8"/>
    </queryTableFields>
  </queryTableRefresh>
</queryTable>
</file>

<file path=xl/queryTables/queryTable14.xml><?xml version="1.0" encoding="utf-8"?>
<queryTable xmlns="http://schemas.openxmlformats.org/spreadsheetml/2006/main" xmlns:mc="http://schemas.openxmlformats.org/markup-compatibility/2006" xmlns:xr16="http://schemas.microsoft.com/office/spreadsheetml/2017/revision16" mc:Ignorable="xr16" name="ExternalData_1" connectionId="45" xr16:uid="{F9F942B0-1368-4FEE-891E-0495CE6E0AD4}" autoFormatId="16" applyNumberFormats="0" applyBorderFormats="0" applyFontFormats="0" applyPatternFormats="0" applyAlignmentFormats="0" applyWidthHeightFormats="0">
  <queryTableRefresh nextId="9">
    <queryTableFields count="8">
      <queryTableField id="1" name="CustomerID" tableColumnId="1"/>
      <queryTableField id="2" name="CompanyName" tableColumnId="2"/>
      <queryTableField id="3" name="Country" tableColumnId="3"/>
      <queryTableField id="4" name="total_orders" tableColumnId="4"/>
      <queryTableField id="5" name="avg_days_between_orders" tableColumnId="5"/>
      <queryTableField id="6" name="min_gap_days" tableColumnId="6"/>
      <queryTableField id="7" name="max_gap_days" tableColumnId="7"/>
      <queryTableField id="8" name="frequency_segment" tableColumnId="8"/>
    </queryTableFields>
  </queryTableRefresh>
</queryTable>
</file>

<file path=xl/queryTables/queryTable15.xml><?xml version="1.0" encoding="utf-8"?>
<queryTable xmlns="http://schemas.openxmlformats.org/spreadsheetml/2006/main" xmlns:mc="http://schemas.openxmlformats.org/markup-compatibility/2006" xmlns:xr16="http://schemas.microsoft.com/office/spreadsheetml/2017/revision16" mc:Ignorable="xr16" name="ExternalData_1" connectionId="46" xr16:uid="{F7FA3CE7-E53B-4EDB-839F-C94EBA0E81B9}" autoFormatId="16" applyNumberFormats="0" applyBorderFormats="0" applyFontFormats="0" applyPatternFormats="0" applyAlignmentFormats="0" applyWidthHeightFormats="0">
  <queryTableRefresh nextId="5">
    <queryTableFields count="4">
      <queryTableField id="1" name="Country" tableColumnId="1"/>
      <queryTableField id="2" name="City" tableColumnId="2"/>
      <queryTableField id="3" name="employee_count" tableColumnId="3"/>
      <queryTableField id="4" name="titles_present" tableColumnId="4"/>
    </queryTableFields>
  </queryTableRefresh>
</queryTable>
</file>

<file path=xl/queryTables/queryTable16.xml><?xml version="1.0" encoding="utf-8"?>
<queryTable xmlns="http://schemas.openxmlformats.org/spreadsheetml/2006/main" xmlns:mc="http://schemas.openxmlformats.org/markup-compatibility/2006" xmlns:xr16="http://schemas.microsoft.com/office/spreadsheetml/2017/revision16" mc:Ignorable="xr16" name="ExternalData_2" connectionId="48" xr16:uid="{87A6568B-05D3-4A9E-AE9C-69CBF4F66DCE}" autoFormatId="16" applyNumberFormats="0" applyBorderFormats="0" applyFontFormats="0" applyPatternFormats="0" applyAlignmentFormats="0" applyWidthHeightFormats="0">
  <queryTableRefresh nextId="5">
    <queryTableFields count="4">
      <queryTableField id="1" name="Title" tableColumnId="1"/>
      <queryTableField id="2" name="headcount" tableColumnId="2"/>
      <queryTableField id="3" name="employee_names" tableColumnId="3"/>
      <queryTableField id="4" name="countries_covered" tableColumnId="4"/>
    </queryTableFields>
  </queryTableRefresh>
</queryTable>
</file>

<file path=xl/queryTables/queryTable17.xml><?xml version="1.0" encoding="utf-8"?>
<queryTable xmlns="http://schemas.openxmlformats.org/spreadsheetml/2006/main" xmlns:mc="http://schemas.openxmlformats.org/markup-compatibility/2006" xmlns:xr16="http://schemas.microsoft.com/office/spreadsheetml/2017/revision16" mc:Ignorable="xr16" name="ExternalData_1" connectionId="47" xr16:uid="{70FB6F8D-9771-4814-A57C-B3B5A20251AA}" autoFormatId="16" applyNumberFormats="0" applyBorderFormats="0" applyFontFormats="0" applyPatternFormats="0" applyAlignmentFormats="0" applyWidthHeightFormats="0">
  <queryTableRefresh nextId="5">
    <queryTableFields count="4">
      <queryTableField id="1" name="Country" tableColumnId="1"/>
      <queryTableField id="2" name="City" tableColumnId="2"/>
      <queryTableField id="3" name="employee_count" tableColumnId="3"/>
      <queryTableField id="4" name="titles_present" tableColumnId="4"/>
    </queryTableFields>
  </queryTableRefresh>
</queryTable>
</file>

<file path=xl/queryTables/queryTable18.xml><?xml version="1.0" encoding="utf-8"?>
<queryTable xmlns="http://schemas.openxmlformats.org/spreadsheetml/2006/main" xmlns:mc="http://schemas.openxmlformats.org/markup-compatibility/2006" xmlns:xr16="http://schemas.microsoft.com/office/spreadsheetml/2017/revision16" mc:Ignorable="xr16" name="ExternalData_2" connectionId="49" xr16:uid="{C14A55DB-EB98-4BA0-AE59-55CB2ECDC559}" autoFormatId="16" applyNumberFormats="0" applyBorderFormats="0" applyFontFormats="0" applyPatternFormats="0" applyAlignmentFormats="0" applyWidthHeightFormats="0">
  <queryTableRefresh nextId="5">
    <queryTableFields count="4">
      <queryTableField id="1" name="Title" tableColumnId="1"/>
      <queryTableField id="2" name="headcount" tableColumnId="2"/>
      <queryTableField id="3" name="employee_names" tableColumnId="3"/>
      <queryTableField id="4" name="countries_covered" tableColumnId="4"/>
    </queryTableFields>
  </queryTableRefresh>
</queryTable>
</file>

<file path=xl/queryTables/queryTable19.xml><?xml version="1.0" encoding="utf-8"?>
<queryTable xmlns="http://schemas.openxmlformats.org/spreadsheetml/2006/main" xmlns:mc="http://schemas.openxmlformats.org/markup-compatibility/2006" xmlns:xr16="http://schemas.microsoft.com/office/spreadsheetml/2017/revision16" mc:Ignorable="xr16" name="ExternalData_1" connectionId="50" xr16:uid="{257D8F17-236C-4CAC-8B5C-C32778EE4DDD}" autoFormatId="16" applyNumberFormats="0" applyBorderFormats="0" applyFontFormats="0" applyPatternFormats="0" applyAlignmentFormats="0" applyWidthHeightFormats="0">
  <queryTableRefresh nextId="8">
    <queryTableFields count="7">
      <queryTableField id="1" name="Title" tableColumnId="1"/>
      <queryTableField id="2" name="hire_year" tableColumnId="2"/>
      <queryTableField id="3" name="hire_quarter" tableColumnId="3"/>
      <queryTableField id="4" name="hires_in_period" tableColumnId="4"/>
      <queryTableField id="5" name="earliest_hire" tableColumnId="5"/>
      <queryTableField id="6" name="latest_hire" tableColumnId="6"/>
      <queryTableField id="7" name="avg_age_at_hire" tableColumnId="7"/>
    </queryTableFields>
  </queryTableRefresh>
</queryTable>
</file>

<file path=xl/queryTables/queryTable20.xml><?xml version="1.0" encoding="utf-8"?>
<queryTable xmlns="http://schemas.openxmlformats.org/spreadsheetml/2006/main" xmlns:mc="http://schemas.openxmlformats.org/markup-compatibility/2006" xmlns:xr16="http://schemas.microsoft.com/office/spreadsheetml/2017/revision16" mc:Ignorable="xr16" name="ExternalData_2" connectionId="52" xr16:uid="{AB622A70-29E2-4072-8F28-ED4486BCAED6}" autoFormatId="16" applyNumberFormats="0" applyBorderFormats="0" applyFontFormats="0" applyPatternFormats="0" applyAlignmentFormats="0" applyWidthHeightFormats="0">
  <queryTableRefresh nextId="6">
    <queryTableFields count="5">
      <queryTableField id="1" name="employee_name" tableColumnId="1"/>
      <queryTableField id="2" name="Title" tableColumnId="2"/>
      <queryTableField id="3" name="HireDate" tableColumnId="3"/>
      <queryTableField id="4" name="tenure_years" tableColumnId="4"/>
      <queryTableField id="5" name="current_age" tableColumnId="5"/>
    </queryTableFields>
  </queryTableRefresh>
</queryTable>
</file>

<file path=xl/queryTables/queryTable21.xml><?xml version="1.0" encoding="utf-8"?>
<queryTable xmlns="http://schemas.openxmlformats.org/spreadsheetml/2006/main" xmlns:mc="http://schemas.openxmlformats.org/markup-compatibility/2006" xmlns:xr16="http://schemas.microsoft.com/office/spreadsheetml/2017/revision16" mc:Ignorable="xr16" name="ExternalData_1" connectionId="51" xr16:uid="{B32949D8-0A51-4C82-98E8-0058DB1C65A3}" autoFormatId="16" applyNumberFormats="0" applyBorderFormats="0" applyFontFormats="0" applyPatternFormats="0" applyAlignmentFormats="0" applyWidthHeightFormats="0">
  <queryTableRefresh nextId="8">
    <queryTableFields count="7">
      <queryTableField id="1" name="Title" tableColumnId="1"/>
      <queryTableField id="2" name="hire_year" tableColumnId="2"/>
      <queryTableField id="3" name="hire_quarter" tableColumnId="3"/>
      <queryTableField id="4" name="hires_in_period" tableColumnId="4"/>
      <queryTableField id="5" name="earliest_hire" tableColumnId="5"/>
      <queryTableField id="6" name="latest_hire" tableColumnId="6"/>
      <queryTableField id="7" name="avg_age_at_hire" tableColumnId="7"/>
    </queryTableFields>
  </queryTableRefresh>
</queryTable>
</file>

<file path=xl/queryTables/queryTable22.xml><?xml version="1.0" encoding="utf-8"?>
<queryTable xmlns="http://schemas.openxmlformats.org/spreadsheetml/2006/main" xmlns:mc="http://schemas.openxmlformats.org/markup-compatibility/2006" xmlns:xr16="http://schemas.microsoft.com/office/spreadsheetml/2017/revision16" mc:Ignorable="xr16" name="ExternalData_2" connectionId="53" xr16:uid="{8FF1D77D-3EFF-4D8B-8AB4-A3DEE657ECD4}" autoFormatId="16" applyNumberFormats="0" applyBorderFormats="0" applyFontFormats="0" applyPatternFormats="0" applyAlignmentFormats="0" applyWidthHeightFormats="0">
  <queryTableRefresh nextId="6">
    <queryTableFields count="5">
      <queryTableField id="1" name="employee_name" tableColumnId="1"/>
      <queryTableField id="2" name="Title" tableColumnId="2"/>
      <queryTableField id="3" name="HireDate" tableColumnId="3"/>
      <queryTableField id="4" name="tenure_years" tableColumnId="4"/>
      <queryTableField id="5" name="current_age" tableColumnId="5"/>
    </queryTableFields>
  </queryTableRefresh>
</queryTable>
</file>

<file path=xl/queryTables/queryTable23.xml><?xml version="1.0" encoding="utf-8"?>
<queryTable xmlns="http://schemas.openxmlformats.org/spreadsheetml/2006/main" xmlns:mc="http://schemas.openxmlformats.org/markup-compatibility/2006" xmlns:xr16="http://schemas.microsoft.com/office/spreadsheetml/2017/revision16" mc:Ignorable="xr16" name="ExternalData_1" connectionId="54" xr16:uid="{5534F1FC-BA8A-48B6-B9EE-0272B8656F65}" autoFormatId="16" applyNumberFormats="0" applyBorderFormats="0" applyFontFormats="0" applyPatternFormats="0" applyAlignmentFormats="0" applyWidthHeightFormats="0">
  <queryTableRefresh nextId="5">
    <queryTableFields count="4">
      <queryTableField id="1" name="courtesy_title" tableColumnId="1"/>
      <queryTableField id="2" name="count" tableColumnId="2"/>
      <queryTableField id="3" name="percentage" tableColumnId="3"/>
      <queryTableField id="4" name="job_titles_held" tableColumnId="4"/>
    </queryTableFields>
  </queryTableRefresh>
</queryTable>
</file>

<file path=xl/queryTables/queryTable24.xml><?xml version="1.0" encoding="utf-8"?>
<queryTable xmlns="http://schemas.openxmlformats.org/spreadsheetml/2006/main" xmlns:mc="http://schemas.openxmlformats.org/markup-compatibility/2006" xmlns:xr16="http://schemas.microsoft.com/office/spreadsheetml/2017/revision16" mc:Ignorable="xr16" name="ExternalData_2" connectionId="56" xr16:uid="{DD009A75-213F-428C-9575-198B04F15C81}" autoFormatId="16" applyNumberFormats="0" applyBorderFormats="0" applyFontFormats="0" applyPatternFormats="0" applyAlignmentFormats="0" applyWidthHeightFormats="0">
  <queryTableRefresh nextId="6">
    <queryTableFields count="5">
      <queryTableField id="1" name="TitleOfCourtesy" tableColumnId="1"/>
      <queryTableField id="2" name="Title" tableColumnId="2"/>
      <queryTableField id="3" name="count" tableColumnId="3"/>
      <queryTableField id="4" name="avg_age" tableColumnId="4"/>
      <queryTableField id="5" name="avg_tenure_years" tableColumnId="5"/>
    </queryTableFields>
  </queryTableRefresh>
</queryTable>
</file>

<file path=xl/queryTables/queryTable25.xml><?xml version="1.0" encoding="utf-8"?>
<queryTable xmlns="http://schemas.openxmlformats.org/spreadsheetml/2006/main" xmlns:mc="http://schemas.openxmlformats.org/markup-compatibility/2006" xmlns:xr16="http://schemas.microsoft.com/office/spreadsheetml/2017/revision16" mc:Ignorable="xr16" name="ExternalData_1" connectionId="55" xr16:uid="{83409FFF-3E39-4C6C-953B-FF104D283FC7}" autoFormatId="16" applyNumberFormats="0" applyBorderFormats="0" applyFontFormats="0" applyPatternFormats="0" applyAlignmentFormats="0" applyWidthHeightFormats="0">
  <queryTableRefresh nextId="5">
    <queryTableFields count="4">
      <queryTableField id="1" name="courtesy_title" tableColumnId="1"/>
      <queryTableField id="2" name="count" tableColumnId="2"/>
      <queryTableField id="3" name="percentage" tableColumnId="3"/>
      <queryTableField id="4" name="job_titles_held" tableColumnId="4"/>
    </queryTableFields>
  </queryTableRefresh>
</queryTable>
</file>

<file path=xl/queryTables/queryTable26.xml><?xml version="1.0" encoding="utf-8"?>
<queryTable xmlns="http://schemas.openxmlformats.org/spreadsheetml/2006/main" xmlns:mc="http://schemas.openxmlformats.org/markup-compatibility/2006" xmlns:xr16="http://schemas.microsoft.com/office/spreadsheetml/2017/revision16" mc:Ignorable="xr16" name="ExternalData_2" connectionId="57" xr16:uid="{9B81BC76-F985-438A-B0C5-50A881AABE2A}" autoFormatId="16" applyNumberFormats="0" applyBorderFormats="0" applyFontFormats="0" applyPatternFormats="0" applyAlignmentFormats="0" applyWidthHeightFormats="0">
  <queryTableRefresh nextId="6">
    <queryTableFields count="5">
      <queryTableField id="1" name="TitleOfCourtesy" tableColumnId="1"/>
      <queryTableField id="2" name="Title" tableColumnId="2"/>
      <queryTableField id="3" name="count" tableColumnId="3"/>
      <queryTableField id="4" name="avg_age" tableColumnId="4"/>
      <queryTableField id="5" name="avg_tenure_years" tableColumnId="5"/>
    </queryTableFields>
  </queryTableRefresh>
</queryTable>
</file>

<file path=xl/queryTables/queryTable27.xml><?xml version="1.0" encoding="utf-8"?>
<queryTable xmlns="http://schemas.openxmlformats.org/spreadsheetml/2006/main" xmlns:mc="http://schemas.openxmlformats.org/markup-compatibility/2006" xmlns:xr16="http://schemas.microsoft.com/office/spreadsheetml/2017/revision16" mc:Ignorable="xr16" name="ExternalData_1" connectionId="58" xr16:uid="{1FBD4FB4-6387-47D0-A12E-5BD4A1B0334F}" autoFormatId="16" applyNumberFormats="0" applyBorderFormats="0" applyFontFormats="0" applyPatternFormats="0" applyAlignmentFormats="0" applyWidthHeightFormats="0">
  <queryTableRefresh nextId="15">
    <queryTableFields count="14">
      <queryTableField id="1" name="ProductID" tableColumnId="1"/>
      <queryTableField id="2" name="ProductName" tableColumnId="2"/>
      <queryTableField id="3" name="CategoryName" tableColumnId="3"/>
      <queryTableField id="4" name="list_price" tableColumnId="4"/>
      <queryTableField id="5" name="UnitsInStock" tableColumnId="5"/>
      <queryTableField id="6" name="UnitsOnOrder" tableColumnId="6"/>
      <queryTableField id="7" name="ReorderLevel" tableColumnId="7"/>
      <queryTableField id="8" name="Discontinued" tableColumnId="8"/>
      <queryTableField id="9" name="times_ordered" tableColumnId="9"/>
      <queryTableField id="10" name="total_units_sold" tableColumnId="10"/>
      <queryTableField id="11" name="total_revenue" tableColumnId="11"/>
      <queryTableField id="12" name="avg_selling_price" tableColumnId="12"/>
      <queryTableField id="13" name="stock_to_sales_ratio" tableColumnId="13"/>
      <queryTableField id="14" name="stock_status" tableColumnId="14"/>
    </queryTableFields>
  </queryTableRefresh>
</queryTable>
</file>

<file path=xl/queryTables/queryTable28.xml><?xml version="1.0" encoding="utf-8"?>
<queryTable xmlns="http://schemas.openxmlformats.org/spreadsheetml/2006/main" xmlns:mc="http://schemas.openxmlformats.org/markup-compatibility/2006" xmlns:xr16="http://schemas.microsoft.com/office/spreadsheetml/2017/revision16" mc:Ignorable="xr16" name="ExternalData_1" connectionId="59" xr16:uid="{55BDAA01-83EB-49AF-B1B4-DE3D8D52D84B}" autoFormatId="16" applyNumberFormats="0" applyBorderFormats="0" applyFontFormats="0" applyPatternFormats="0" applyAlignmentFormats="0" applyWidthHeightFormats="0">
  <queryTableRefresh nextId="15">
    <queryTableFields count="14">
      <queryTableField id="1" name="ProductID" tableColumnId="1"/>
      <queryTableField id="2" name="ProductName" tableColumnId="2"/>
      <queryTableField id="3" name="CategoryName" tableColumnId="3"/>
      <queryTableField id="4" name="list_price" tableColumnId="4"/>
      <queryTableField id="5" name="UnitsInStock" tableColumnId="5"/>
      <queryTableField id="6" name="UnitsOnOrder" tableColumnId="6"/>
      <queryTableField id="7" name="ReorderLevel" tableColumnId="7"/>
      <queryTableField id="8" name="Discontinued" tableColumnId="8"/>
      <queryTableField id="9" name="times_ordered" tableColumnId="9"/>
      <queryTableField id="10" name="total_units_sold" tableColumnId="10"/>
      <queryTableField id="11" name="total_revenue" tableColumnId="11"/>
      <queryTableField id="12" name="avg_selling_price" tableColumnId="12"/>
      <queryTableField id="13" name="stock_to_sales_ratio" tableColumnId="13"/>
      <queryTableField id="14" name="stock_status" tableColumnId="14"/>
    </queryTableFields>
  </queryTableRefresh>
</queryTable>
</file>

<file path=xl/queryTables/queryTable29.xml><?xml version="1.0" encoding="utf-8"?>
<queryTable xmlns="http://schemas.openxmlformats.org/spreadsheetml/2006/main" xmlns:mc="http://schemas.openxmlformats.org/markup-compatibility/2006" xmlns:xr16="http://schemas.microsoft.com/office/spreadsheetml/2017/revision16" mc:Ignorable="xr16" name="ExternalData_1" connectionId="8" xr16:uid="{97427CA7-B733-4807-869F-FE189BFBD6BF}" autoFormatId="16" applyNumberFormats="0" applyBorderFormats="0" applyFontFormats="0" applyPatternFormats="0" applyAlignmentFormats="0" applyWidthHeightFormats="0">
  <queryTableRefresh nextId="10">
    <queryTableFields count="9">
      <queryTableField id="1" name="order_year" tableColumnId="1"/>
      <queryTableField id="2" name="order_month" tableColumnId="2"/>
      <queryTableField id="3" name="month_name" tableColumnId="3"/>
      <queryTableField id="4" name="quarter" tableColumnId="4"/>
      <queryTableField id="5" name="season" tableColumnId="5"/>
      <queryTableField id="6" name="CategoryName" tableColumnId="6"/>
      <queryTableField id="7" name="orders_placed" tableColumnId="7"/>
      <queryTableField id="8" name="units_sold" tableColumnId="8"/>
      <queryTableField id="9" name="monthly_revenue" tableColumnId="9"/>
    </queryTableFields>
  </queryTableRefresh>
</queryTable>
</file>

<file path=xl/queryTables/queryTable30.xml><?xml version="1.0" encoding="utf-8"?>
<queryTable xmlns="http://schemas.openxmlformats.org/spreadsheetml/2006/main" xmlns:mc="http://schemas.openxmlformats.org/markup-compatibility/2006" xmlns:xr16="http://schemas.microsoft.com/office/spreadsheetml/2017/revision16" mc:Ignorable="xr16" name="ExternalData_1" connectionId="9" xr16:uid="{82D94C27-F420-4FD2-81B0-56B9C0A59131}" autoFormatId="16" applyNumberFormats="0" applyBorderFormats="0" applyFontFormats="0" applyPatternFormats="0" applyAlignmentFormats="0" applyWidthHeightFormats="0">
  <queryTableRefresh nextId="10">
    <queryTableFields count="9">
      <queryTableField id="1" name="order_year" tableColumnId="1"/>
      <queryTableField id="2" name="order_month" tableColumnId="2"/>
      <queryTableField id="3" name="month_name" tableColumnId="3"/>
      <queryTableField id="4" name="quarter" tableColumnId="4"/>
      <queryTableField id="5" name="season" tableColumnId="5"/>
      <queryTableField id="6" name="CategoryName" tableColumnId="6"/>
      <queryTableField id="7" name="orders_placed" tableColumnId="7"/>
      <queryTableField id="8" name="units_sold" tableColumnId="8"/>
      <queryTableField id="9" name="monthly_revenue" tableColumnId="9"/>
    </queryTableFields>
  </queryTableRefresh>
</queryTable>
</file>

<file path=xl/queryTables/queryTable31.xml><?xml version="1.0" encoding="utf-8"?>
<queryTable xmlns="http://schemas.openxmlformats.org/spreadsheetml/2006/main" xmlns:mc="http://schemas.openxmlformats.org/markup-compatibility/2006" xmlns:xr16="http://schemas.microsoft.com/office/spreadsheetml/2017/revision16" mc:Ignorable="xr16" name="ExternalData_1" connectionId="10" xr16:uid="{00EF2B81-E832-4F43-B370-AD39AC4EE08F}" autoFormatId="16" applyNumberFormats="0" applyBorderFormats="0" applyFontFormats="0" applyPatternFormats="0" applyAlignmentFormats="0" applyWidthHeightFormats="0">
  <queryTableRefresh nextId="13">
    <queryTableFields count="12">
      <queryTableField id="1" name="ProductID" tableColumnId="1"/>
      <queryTableField id="2" name="ProductName" tableColumnId="2"/>
      <queryTableField id="3" name="CategoryName" tableColumnId="3"/>
      <queryTableField id="4" name="order_count" tableColumnId="4"/>
      <queryTableField id="5" name="units_sold" tableColumnId="5"/>
      <queryTableField id="6" name="total_revenue" tableColumnId="6"/>
      <queryTableField id="7" name="avg_discount_pct" tableColumnId="7"/>
      <queryTableField id="8" name="avg_selling_price" tableColumnId="8"/>
      <queryTableField id="9" name="revenue_z_score" tableColumnId="9"/>
      <queryTableField id="10" name="units_z_score" tableColumnId="10"/>
      <queryTableField id="11" name="discount_z_score" tableColumnId="11"/>
      <queryTableField id="12" name="anomaly_flag" tableColumnId="12"/>
    </queryTableFields>
  </queryTableRefresh>
</queryTable>
</file>

<file path=xl/queryTables/queryTable32.xml><?xml version="1.0" encoding="utf-8"?>
<queryTable xmlns="http://schemas.openxmlformats.org/spreadsheetml/2006/main" xmlns:mc="http://schemas.openxmlformats.org/markup-compatibility/2006" xmlns:xr16="http://schemas.microsoft.com/office/spreadsheetml/2017/revision16" mc:Ignorable="xr16" name="ExternalData_1" connectionId="11" xr16:uid="{D6DD2919-FE0A-425D-B248-83DCAF52B372}" autoFormatId="16" applyNumberFormats="0" applyBorderFormats="0" applyFontFormats="0" applyPatternFormats="0" applyAlignmentFormats="0" applyWidthHeightFormats="0">
  <queryTableRefresh nextId="13">
    <queryTableFields count="12">
      <queryTableField id="1" name="ProductID" tableColumnId="1"/>
      <queryTableField id="2" name="ProductName" tableColumnId="2"/>
      <queryTableField id="3" name="CategoryName" tableColumnId="3"/>
      <queryTableField id="4" name="order_count" tableColumnId="4"/>
      <queryTableField id="5" name="units_sold" tableColumnId="5"/>
      <queryTableField id="6" name="total_revenue" tableColumnId="6"/>
      <queryTableField id="7" name="avg_discount_pct" tableColumnId="7"/>
      <queryTableField id="8" name="avg_selling_price" tableColumnId="8"/>
      <queryTableField id="9" name="revenue_z_score" tableColumnId="9"/>
      <queryTableField id="10" name="units_z_score" tableColumnId="10"/>
      <queryTableField id="11" name="discount_z_score" tableColumnId="11"/>
      <queryTableField id="12" name="anomaly_flag" tableColumnId="12"/>
    </queryTableFields>
  </queryTableRefresh>
</queryTable>
</file>

<file path=xl/queryTables/queryTable33.xml><?xml version="1.0" encoding="utf-8"?>
<queryTable xmlns="http://schemas.openxmlformats.org/spreadsheetml/2006/main" xmlns:mc="http://schemas.openxmlformats.org/markup-compatibility/2006" xmlns:xr16="http://schemas.microsoft.com/office/spreadsheetml/2017/revision16" mc:Ignorable="xr16" name="ExternalData_1" connectionId="12" xr16:uid="{36810294-325C-4750-862E-04D7140D5A8E}" autoFormatId="16" applyNumberFormats="0" applyBorderFormats="0" applyFontFormats="0" applyPatternFormats="0" applyAlignmentFormats="0" applyWidthHeightFormats="0">
  <queryTableRefresh nextId="13">
    <queryTableFields count="12">
      <queryTableField id="1" name="SupplierID" tableColumnId="1"/>
      <queryTableField id="2" name="supplier_name" tableColumnId="2"/>
      <queryTableField id="3" name="supplier_country" tableColumnId="3"/>
      <queryTableField id="4" name="supplier_city" tableColumnId="4"/>
      <queryTableField id="5" name="supplier_region" tableColumnId="5"/>
      <queryTableField id="6" name="products_supplied" tableColumnId="6"/>
      <queryTableField id="7" name="categories_covered" tableColumnId="7"/>
      <queryTableField id="8" name="avg_product_price" tableColumnId="8"/>
      <queryTableField id="9" name="min_product_price" tableColumnId="9"/>
      <queryTableField id="10" name="max_product_price" tableColumnId="10"/>
      <queryTableField id="11" name="inventory_value" tableColumnId="11"/>
      <queryTableField id="12" name="discontinued_products" tableColumnId="12"/>
    </queryTableFields>
  </queryTableRefresh>
</queryTable>
</file>

<file path=xl/queryTables/queryTable34.xml><?xml version="1.0" encoding="utf-8"?>
<queryTable xmlns="http://schemas.openxmlformats.org/spreadsheetml/2006/main" xmlns:mc="http://schemas.openxmlformats.org/markup-compatibility/2006" xmlns:xr16="http://schemas.microsoft.com/office/spreadsheetml/2017/revision16" mc:Ignorable="xr16" name="ExternalData_3" connectionId="15" xr16:uid="{47A0E2BB-4258-4FCF-BC50-00C1A1143BA2}" autoFormatId="16" applyNumberFormats="0" applyBorderFormats="0" applyFontFormats="0" applyPatternFormats="0" applyAlignmentFormats="0" applyWidthHeightFormats="0">
  <queryTableRefresh nextId="6">
    <queryTableFields count="5">
      <queryTableField id="1" name="Country" tableColumnId="1"/>
      <queryTableField id="2" name="supplier_count" tableColumnId="2"/>
      <queryTableField id="3" name="products_count" tableColumnId="3"/>
      <queryTableField id="4" name="avg_price" tableColumnId="4"/>
      <queryTableField id="5" name="total_inventory_value" tableColumnId="5"/>
    </queryTableFields>
  </queryTableRefresh>
</queryTable>
</file>

<file path=xl/queryTables/queryTable35.xml><?xml version="1.0" encoding="utf-8"?>
<queryTable xmlns="http://schemas.openxmlformats.org/spreadsheetml/2006/main" xmlns:mc="http://schemas.openxmlformats.org/markup-compatibility/2006" xmlns:xr16="http://schemas.microsoft.com/office/spreadsheetml/2017/revision16" mc:Ignorable="xr16" name="ExternalData_4" connectionId="17" xr16:uid="{CD3520E9-4B7C-4C4E-83FC-A0F5C28EC672}" autoFormatId="16" applyNumberFormats="0" applyBorderFormats="0" applyFontFormats="0" applyPatternFormats="0" applyAlignmentFormats="0" applyWidthHeightFormats="0">
  <queryTableRefresh nextId="6">
    <queryTableFields count="5">
      <queryTableField id="1" name="City" tableColumnId="1"/>
      <queryTableField id="2" name="supplier_count" tableColumnId="2"/>
      <queryTableField id="3" name="products_count" tableColumnId="3"/>
      <queryTableField id="4" name="avg_price" tableColumnId="4"/>
      <queryTableField id="5" name="total_inventory_value" tableColumnId="5"/>
    </queryTableFields>
  </queryTableRefresh>
</queryTable>
</file>

<file path=xl/queryTables/queryTable36.xml><?xml version="1.0" encoding="utf-8"?>
<queryTable xmlns="http://schemas.openxmlformats.org/spreadsheetml/2006/main" xmlns:mc="http://schemas.openxmlformats.org/markup-compatibility/2006" xmlns:xr16="http://schemas.microsoft.com/office/spreadsheetml/2017/revision16" mc:Ignorable="xr16" name="ExternalData_2" connectionId="14" xr16:uid="{AD1CA6AB-899D-472E-B8A8-AD1DF2969468}" autoFormatId="16" applyNumberFormats="0" applyBorderFormats="0" applyFontFormats="0" applyPatternFormats="0" applyAlignmentFormats="0" applyWidthHeightFormats="0">
  <queryTableRefresh nextId="13">
    <queryTableFields count="12">
      <queryTableField id="1" name="SupplierID" tableColumnId="1"/>
      <queryTableField id="2" name="supplier_name" tableColumnId="2"/>
      <queryTableField id="3" name="supplier_country" tableColumnId="3"/>
      <queryTableField id="4" name="supplier_city" tableColumnId="4"/>
      <queryTableField id="5" name="supplier_region" tableColumnId="5"/>
      <queryTableField id="6" name="products_supplied" tableColumnId="6"/>
      <queryTableField id="7" name="categories_covered" tableColumnId="7"/>
      <queryTableField id="8" name="avg_product_price" tableColumnId="8"/>
      <queryTableField id="9" name="min_product_price" tableColumnId="9"/>
      <queryTableField id="10" name="max_product_price" tableColumnId="10"/>
      <queryTableField id="11" name="inventory_value" tableColumnId="11"/>
      <queryTableField id="12" name="discontinued_products" tableColumnId="12"/>
    </queryTableFields>
  </queryTableRefresh>
</queryTable>
</file>

<file path=xl/queryTables/queryTable37.xml><?xml version="1.0" encoding="utf-8"?>
<queryTable xmlns="http://schemas.openxmlformats.org/spreadsheetml/2006/main" xmlns:mc="http://schemas.openxmlformats.org/markup-compatibility/2006" xmlns:xr16="http://schemas.microsoft.com/office/spreadsheetml/2017/revision16" mc:Ignorable="xr16" name="ExternalData_3" connectionId="16" xr16:uid="{8A07A708-2675-4F73-838A-AE6D7C20C95B}" autoFormatId="16" applyNumberFormats="0" applyBorderFormats="0" applyFontFormats="0" applyPatternFormats="0" applyAlignmentFormats="0" applyWidthHeightFormats="0">
  <queryTableRefresh nextId="6">
    <queryTableFields count="5">
      <queryTableField id="1" name="Country" tableColumnId="1"/>
      <queryTableField id="2" name="supplier_count" tableColumnId="2"/>
      <queryTableField id="3" name="products_count" tableColumnId="3"/>
      <queryTableField id="4" name="avg_price" tableColumnId="4"/>
      <queryTableField id="5" name="total_inventory_value" tableColumnId="5"/>
    </queryTableFields>
  </queryTableRefresh>
</queryTable>
</file>

<file path=xl/queryTables/queryTable38.xml><?xml version="1.0" encoding="utf-8"?>
<queryTable xmlns="http://schemas.openxmlformats.org/spreadsheetml/2006/main" xmlns:mc="http://schemas.openxmlformats.org/markup-compatibility/2006" xmlns:xr16="http://schemas.microsoft.com/office/spreadsheetml/2017/revision16" mc:Ignorable="xr16" name="ExternalData_4" connectionId="18" xr16:uid="{E3683B8F-353F-402C-91D3-5E4838E95374}" autoFormatId="16" applyNumberFormats="0" applyBorderFormats="0" applyFontFormats="0" applyPatternFormats="0" applyAlignmentFormats="0" applyWidthHeightFormats="0">
  <queryTableRefresh nextId="6">
    <queryTableFields count="5">
      <queryTableField id="1" name="City" tableColumnId="1"/>
      <queryTableField id="2" name="supplier_count" tableColumnId="2"/>
      <queryTableField id="3" name="products_count" tableColumnId="3"/>
      <queryTableField id="4" name="avg_price" tableColumnId="4"/>
      <queryTableField id="5" name="total_inventory_value" tableColumnId="5"/>
    </queryTableFields>
  </queryTableRefresh>
</queryTable>
</file>

<file path=xl/queryTables/queryTable39.xml><?xml version="1.0" encoding="utf-8"?>
<queryTable xmlns="http://schemas.openxmlformats.org/spreadsheetml/2006/main" xmlns:mc="http://schemas.openxmlformats.org/markup-compatibility/2006" xmlns:xr16="http://schemas.microsoft.com/office/spreadsheetml/2017/revision16" mc:Ignorable="xr16" name="ExternalData_1" connectionId="19" xr16:uid="{012F738D-2D44-4C46-85D9-F0DCAD9642D9}" autoFormatId="16" applyNumberFormats="0" applyBorderFormats="0" applyFontFormats="0" applyPatternFormats="0" applyAlignmentFormats="0" applyWidthHeightFormats="0">
  <queryTableRefresh nextId="9">
    <queryTableFields count="8">
      <queryTableField id="1" name="SupplierID" tableColumnId="1"/>
      <queryTableField id="2" name="supplier_name" tableColumnId="2"/>
      <queryTableField id="3" name="Country" tableColumnId="3"/>
      <queryTableField id="4" name="CategoryID" tableColumnId="4"/>
      <queryTableField id="5" name="CategoryName" tableColumnId="5"/>
      <queryTableField id="6" name="products_in_category" tableColumnId="6"/>
      <queryTableField id="7" name="avg_price_in_category" tableColumnId="7"/>
      <queryTableField id="8" name="stock_in_category" tableColumnId="8"/>
    </queryTableFields>
  </queryTableRefresh>
</queryTable>
</file>

<file path=xl/queryTables/queryTable40.xml><?xml version="1.0" encoding="utf-8"?>
<queryTable xmlns="http://schemas.openxmlformats.org/spreadsheetml/2006/main" xmlns:mc="http://schemas.openxmlformats.org/markup-compatibility/2006" xmlns:xr16="http://schemas.microsoft.com/office/spreadsheetml/2017/revision16" mc:Ignorable="xr16" name="ExternalData_3" connectionId="22" xr16:uid="{EC3E35F0-E47C-4CA0-B98A-E0E1834C9BB9}" autoFormatId="16" applyNumberFormats="0" applyBorderFormats="0" applyFontFormats="0" applyPatternFormats="0" applyAlignmentFormats="0" applyWidthHeightFormats="0">
  <queryTableRefresh nextId="6">
    <queryTableFields count="5">
      <queryTableField id="1" name="CategoryName" tableColumnId="1"/>
      <queryTableField id="2" name="supplier_count" tableColumnId="2"/>
      <queryTableField id="3" name="product_count" tableColumnId="3"/>
      <queryTableField id="4" name="avg_price" tableColumnId="4"/>
      <queryTableField id="5" name="suppliers_list" tableColumnId="5"/>
    </queryTableFields>
  </queryTableRefresh>
</queryTable>
</file>

<file path=xl/queryTables/queryTable41.xml><?xml version="1.0" encoding="utf-8"?>
<queryTable xmlns="http://schemas.openxmlformats.org/spreadsheetml/2006/main" xmlns:mc="http://schemas.openxmlformats.org/markup-compatibility/2006" xmlns:xr16="http://schemas.microsoft.com/office/spreadsheetml/2017/revision16" mc:Ignorable="xr16" name="ExternalData_2" connectionId="21" xr16:uid="{7B371B61-BB4E-4B6C-B90F-90BEA0DF5A56}" autoFormatId="16" applyNumberFormats="0" applyBorderFormats="0" applyFontFormats="0" applyPatternFormats="0" applyAlignmentFormats="0" applyWidthHeightFormats="0">
  <queryTableRefresh nextId="9">
    <queryTableFields count="8">
      <queryTableField id="1" name="SupplierID" tableColumnId="1"/>
      <queryTableField id="2" name="supplier_name" tableColumnId="2"/>
      <queryTableField id="3" name="Country" tableColumnId="3"/>
      <queryTableField id="4" name="CategoryID" tableColumnId="4"/>
      <queryTableField id="5" name="CategoryName" tableColumnId="5"/>
      <queryTableField id="6" name="products_in_category" tableColumnId="6"/>
      <queryTableField id="7" name="avg_price_in_category" tableColumnId="7"/>
      <queryTableField id="8" name="stock_in_category" tableColumnId="8"/>
    </queryTableFields>
  </queryTableRefresh>
</queryTable>
</file>

<file path=xl/queryTables/queryTable42.xml><?xml version="1.0" encoding="utf-8"?>
<queryTable xmlns="http://schemas.openxmlformats.org/spreadsheetml/2006/main" xmlns:mc="http://schemas.openxmlformats.org/markup-compatibility/2006" xmlns:xr16="http://schemas.microsoft.com/office/spreadsheetml/2017/revision16" mc:Ignorable="xr16" name="ExternalData_3" connectionId="23" xr16:uid="{1CF0A25C-A7F5-4C27-9A1A-A30220923FF0}" autoFormatId="16" applyNumberFormats="0" applyBorderFormats="0" applyFontFormats="0" applyPatternFormats="0" applyAlignmentFormats="0" applyWidthHeightFormats="0">
  <queryTableRefresh nextId="6">
    <queryTableFields count="5">
      <queryTableField id="1" name="CategoryName" tableColumnId="1"/>
      <queryTableField id="2" name="supplier_count" tableColumnId="2"/>
      <queryTableField id="3" name="product_count" tableColumnId="3"/>
      <queryTableField id="4" name="avg_price" tableColumnId="4"/>
      <queryTableField id="5" name="suppliers_list" tableColumnId="5"/>
    </queryTableFields>
  </queryTableRefresh>
</queryTable>
</file>

<file path=xl/queryTables/queryTable43.xml><?xml version="1.0" encoding="utf-8"?>
<queryTable xmlns="http://schemas.openxmlformats.org/spreadsheetml/2006/main" xmlns:mc="http://schemas.openxmlformats.org/markup-compatibility/2006" xmlns:xr16="http://schemas.microsoft.com/office/spreadsheetml/2017/revision16" mc:Ignorable="xr16" name="ExternalData_1" connectionId="24" xr16:uid="{8A16D3D4-74AE-4F8F-9CA7-6235FCAEF0C2}" autoFormatId="16" applyNumberFormats="0" applyBorderFormats="0" applyFontFormats="0" applyPatternFormats="0" applyAlignmentFormats="0" applyWidthHeightFormats="0">
  <queryTableRefresh nextId="13">
    <queryTableFields count="12">
      <queryTableField id="1" name="supplier_country" tableColumnId="1"/>
      <queryTableField id="2" name="supplier_region" tableColumnId="2"/>
      <queryTableField id="3" name="CategoryName" tableColumnId="3"/>
      <queryTableField id="4" name="suppliers_in_segment" tableColumnId="4"/>
      <queryTableField id="5" name="products" tableColumnId="5"/>
      <queryTableField id="6" name="avg_price" tableColumnId="6"/>
      <queryTableField id="7" name="min_price" tableColumnId="7"/>
      <queryTableField id="8" name="max_price" tableColumnId="8"/>
      <queryTableField id="9" name="price_range" tableColumnId="9"/>
      <queryTableField id="10" name="price_std_dev" tableColumnId="10"/>
      <queryTableField id="11" name="avg_actual_selling_price" tableColumnId="11"/>
      <queryTableField id="12" name="avg_price_discount_given" tableColumnId="12"/>
    </queryTableFields>
  </queryTableRefresh>
</queryTable>
</file>

<file path=xl/queryTables/queryTable44.xml><?xml version="1.0" encoding="utf-8"?>
<queryTable xmlns="http://schemas.openxmlformats.org/spreadsheetml/2006/main" xmlns:mc="http://schemas.openxmlformats.org/markup-compatibility/2006" xmlns:xr16="http://schemas.microsoft.com/office/spreadsheetml/2017/revision16" mc:Ignorable="xr16" name="ExternalData_1" connectionId="25" xr16:uid="{CF517B19-AD60-40A1-A77C-874D47859CE5}" autoFormatId="16" applyNumberFormats="0" applyBorderFormats="0" applyFontFormats="0" applyPatternFormats="0" applyAlignmentFormats="0" applyWidthHeightFormats="0">
  <queryTableRefresh nextId="13">
    <queryTableFields count="12">
      <queryTableField id="1" name="supplier_country" tableColumnId="1"/>
      <queryTableField id="2" name="supplier_region" tableColumnId="2"/>
      <queryTableField id="3" name="CategoryName" tableColumnId="3"/>
      <queryTableField id="4" name="suppliers_in_segment" tableColumnId="4"/>
      <queryTableField id="5" name="products" tableColumnId="5"/>
      <queryTableField id="6" name="avg_price" tableColumnId="6"/>
      <queryTableField id="7" name="min_price" tableColumnId="7"/>
      <queryTableField id="8" name="max_price" tableColumnId="8"/>
      <queryTableField id="9" name="price_range" tableColumnId="9"/>
      <queryTableField id="10" name="price_std_dev" tableColumnId="10"/>
      <queryTableField id="11" name="avg_actual_selling_price" tableColumnId="11"/>
      <queryTableField id="12" name="avg_price_discount_given" tableColumnId="1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10.xml"/></Relationships>
</file>

<file path=xl/tables/_rels/table11.xml.rels><?xml version="1.0" encoding="UTF-8" standalone="yes"?>
<Relationships xmlns="http://schemas.openxmlformats.org/package/2006/relationships"><Relationship Id="rId1" Type="http://schemas.openxmlformats.org/officeDocument/2006/relationships/queryTable" Target="../queryTables/queryTable11.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12.xml"/></Relationships>
</file>

<file path=xl/tables/_rels/table13.xml.rels><?xml version="1.0" encoding="UTF-8" standalone="yes"?>
<Relationships xmlns="http://schemas.openxmlformats.org/package/2006/relationships"><Relationship Id="rId1" Type="http://schemas.openxmlformats.org/officeDocument/2006/relationships/queryTable" Target="../queryTables/queryTable13.xml"/></Relationships>
</file>

<file path=xl/tables/_rels/table16.xml.rels><?xml version="1.0" encoding="UTF-8" standalone="yes"?>
<Relationships xmlns="http://schemas.openxmlformats.org/package/2006/relationships"><Relationship Id="rId1" Type="http://schemas.openxmlformats.org/officeDocument/2006/relationships/queryTable" Target="../queryTables/queryTable14.xml"/></Relationships>
</file>

<file path=xl/tables/_rels/table17.xml.rels><?xml version="1.0" encoding="UTF-8" standalone="yes"?>
<Relationships xmlns="http://schemas.openxmlformats.org/package/2006/relationships"><Relationship Id="rId1" Type="http://schemas.openxmlformats.org/officeDocument/2006/relationships/queryTable" Target="../queryTables/queryTable15.xml"/></Relationships>
</file>

<file path=xl/tables/_rels/table18.xml.rels><?xml version="1.0" encoding="UTF-8" standalone="yes"?>
<Relationships xmlns="http://schemas.openxmlformats.org/package/2006/relationships"><Relationship Id="rId1" Type="http://schemas.openxmlformats.org/officeDocument/2006/relationships/queryTable" Target="../queryTables/queryTable16.xml"/></Relationships>
</file>

<file path=xl/tables/_rels/table19.xml.rels><?xml version="1.0" encoding="UTF-8" standalone="yes"?>
<Relationships xmlns="http://schemas.openxmlformats.org/package/2006/relationships"><Relationship Id="rId1" Type="http://schemas.openxmlformats.org/officeDocument/2006/relationships/queryTable" Target="../queryTables/queryTable17.xml"/></Relationships>
</file>

<file path=xl/tables/_rels/table20.xml.rels><?xml version="1.0" encoding="UTF-8" standalone="yes"?>
<Relationships xmlns="http://schemas.openxmlformats.org/package/2006/relationships"><Relationship Id="rId1" Type="http://schemas.openxmlformats.org/officeDocument/2006/relationships/queryTable" Target="../queryTables/queryTable18.xml"/></Relationships>
</file>

<file path=xl/tables/_rels/table21.xml.rels><?xml version="1.0" encoding="UTF-8" standalone="yes"?>
<Relationships xmlns="http://schemas.openxmlformats.org/package/2006/relationships"><Relationship Id="rId1" Type="http://schemas.openxmlformats.org/officeDocument/2006/relationships/queryTable" Target="../queryTables/queryTable19.xml"/></Relationships>
</file>

<file path=xl/tables/_rels/table22.xml.rels><?xml version="1.0" encoding="UTF-8" standalone="yes"?>
<Relationships xmlns="http://schemas.openxmlformats.org/package/2006/relationships"><Relationship Id="rId1" Type="http://schemas.openxmlformats.org/officeDocument/2006/relationships/queryTable" Target="../queryTables/queryTable20.xml"/></Relationships>
</file>

<file path=xl/tables/_rels/table23.xml.rels><?xml version="1.0" encoding="UTF-8" standalone="yes"?>
<Relationships xmlns="http://schemas.openxmlformats.org/package/2006/relationships"><Relationship Id="rId1" Type="http://schemas.openxmlformats.org/officeDocument/2006/relationships/queryTable" Target="../queryTables/queryTable21.xml"/></Relationships>
</file>

<file path=xl/tables/_rels/table24.xml.rels><?xml version="1.0" encoding="UTF-8" standalone="yes"?>
<Relationships xmlns="http://schemas.openxmlformats.org/package/2006/relationships"><Relationship Id="rId1" Type="http://schemas.openxmlformats.org/officeDocument/2006/relationships/queryTable" Target="../queryTables/queryTable22.xml"/></Relationships>
</file>

<file path=xl/tables/_rels/table25.xml.rels><?xml version="1.0" encoding="UTF-8" standalone="yes"?>
<Relationships xmlns="http://schemas.openxmlformats.org/package/2006/relationships"><Relationship Id="rId1" Type="http://schemas.openxmlformats.org/officeDocument/2006/relationships/queryTable" Target="../queryTables/queryTable23.xml"/></Relationships>
</file>

<file path=xl/tables/_rels/table26.xml.rels><?xml version="1.0" encoding="UTF-8" standalone="yes"?>
<Relationships xmlns="http://schemas.openxmlformats.org/package/2006/relationships"><Relationship Id="rId1" Type="http://schemas.openxmlformats.org/officeDocument/2006/relationships/queryTable" Target="../queryTables/queryTable24.xml"/></Relationships>
</file>

<file path=xl/tables/_rels/table27.xml.rels><?xml version="1.0" encoding="UTF-8" standalone="yes"?>
<Relationships xmlns="http://schemas.openxmlformats.org/package/2006/relationships"><Relationship Id="rId1" Type="http://schemas.openxmlformats.org/officeDocument/2006/relationships/queryTable" Target="../queryTables/queryTable25.xml"/></Relationships>
</file>

<file path=xl/tables/_rels/table28.xml.rels><?xml version="1.0" encoding="UTF-8" standalone="yes"?>
<Relationships xmlns="http://schemas.openxmlformats.org/package/2006/relationships"><Relationship Id="rId1" Type="http://schemas.openxmlformats.org/officeDocument/2006/relationships/queryTable" Target="../queryTables/queryTable26.xml"/></Relationships>
</file>

<file path=xl/tables/_rels/table29.xml.rels><?xml version="1.0" encoding="UTF-8" standalone="yes"?>
<Relationships xmlns="http://schemas.openxmlformats.org/package/2006/relationships"><Relationship Id="rId1" Type="http://schemas.openxmlformats.org/officeDocument/2006/relationships/queryTable" Target="../queryTables/queryTable27.xml"/></Relationships>
</file>

<file path=xl/tables/_rels/table30.xml.rels><?xml version="1.0" encoding="UTF-8" standalone="yes"?>
<Relationships xmlns="http://schemas.openxmlformats.org/package/2006/relationships"><Relationship Id="rId1" Type="http://schemas.openxmlformats.org/officeDocument/2006/relationships/queryTable" Target="../queryTables/queryTable28.xml"/></Relationships>
</file>

<file path=xl/tables/_rels/table31.xml.rels><?xml version="1.0" encoding="UTF-8" standalone="yes"?>
<Relationships xmlns="http://schemas.openxmlformats.org/package/2006/relationships"><Relationship Id="rId1" Type="http://schemas.openxmlformats.org/officeDocument/2006/relationships/queryTable" Target="../queryTables/queryTable29.xml"/></Relationships>
</file>

<file path=xl/tables/_rels/table32.xml.rels><?xml version="1.0" encoding="UTF-8" standalone="yes"?>
<Relationships xmlns="http://schemas.openxmlformats.org/package/2006/relationships"><Relationship Id="rId1" Type="http://schemas.openxmlformats.org/officeDocument/2006/relationships/queryTable" Target="../queryTables/queryTable30.xml"/></Relationships>
</file>

<file path=xl/tables/_rels/table33.xml.rels><?xml version="1.0" encoding="UTF-8" standalone="yes"?>
<Relationships xmlns="http://schemas.openxmlformats.org/package/2006/relationships"><Relationship Id="rId1" Type="http://schemas.openxmlformats.org/officeDocument/2006/relationships/queryTable" Target="../queryTables/queryTable31.xml"/></Relationships>
</file>

<file path=xl/tables/_rels/table34.xml.rels><?xml version="1.0" encoding="UTF-8" standalone="yes"?>
<Relationships xmlns="http://schemas.openxmlformats.org/package/2006/relationships"><Relationship Id="rId1" Type="http://schemas.openxmlformats.org/officeDocument/2006/relationships/queryTable" Target="../queryTables/queryTable32.xml"/></Relationships>
</file>

<file path=xl/tables/_rels/table35.xml.rels><?xml version="1.0" encoding="UTF-8" standalone="yes"?>
<Relationships xmlns="http://schemas.openxmlformats.org/package/2006/relationships"><Relationship Id="rId1" Type="http://schemas.openxmlformats.org/officeDocument/2006/relationships/queryTable" Target="../queryTables/queryTable33.xml"/></Relationships>
</file>

<file path=xl/tables/_rels/table36.xml.rels><?xml version="1.0" encoding="UTF-8" standalone="yes"?>
<Relationships xmlns="http://schemas.openxmlformats.org/package/2006/relationships"><Relationship Id="rId1" Type="http://schemas.openxmlformats.org/officeDocument/2006/relationships/queryTable" Target="../queryTables/queryTable34.xml"/></Relationships>
</file>

<file path=xl/tables/_rels/table37.xml.rels><?xml version="1.0" encoding="UTF-8" standalone="yes"?>
<Relationships xmlns="http://schemas.openxmlformats.org/package/2006/relationships"><Relationship Id="rId1" Type="http://schemas.openxmlformats.org/officeDocument/2006/relationships/queryTable" Target="../queryTables/queryTable35.xml"/></Relationships>
</file>

<file path=xl/tables/_rels/table38.xml.rels><?xml version="1.0" encoding="UTF-8" standalone="yes"?>
<Relationships xmlns="http://schemas.openxmlformats.org/package/2006/relationships"><Relationship Id="rId1" Type="http://schemas.openxmlformats.org/officeDocument/2006/relationships/queryTable" Target="../queryTables/queryTable36.xml"/></Relationships>
</file>

<file path=xl/tables/_rels/table39.xml.rels><?xml version="1.0" encoding="UTF-8" standalone="yes"?>
<Relationships xmlns="http://schemas.openxmlformats.org/package/2006/relationships"><Relationship Id="rId1" Type="http://schemas.openxmlformats.org/officeDocument/2006/relationships/queryTable" Target="../queryTables/queryTable37.xml"/></Relationships>
</file>

<file path=xl/tables/_rels/table40.xml.rels><?xml version="1.0" encoding="UTF-8" standalone="yes"?>
<Relationships xmlns="http://schemas.openxmlformats.org/package/2006/relationships"><Relationship Id="rId1" Type="http://schemas.openxmlformats.org/officeDocument/2006/relationships/queryTable" Target="../queryTables/queryTable38.xml"/></Relationships>
</file>

<file path=xl/tables/_rels/table41.xml.rels><?xml version="1.0" encoding="UTF-8" standalone="yes"?>
<Relationships xmlns="http://schemas.openxmlformats.org/package/2006/relationships"><Relationship Id="rId1" Type="http://schemas.openxmlformats.org/officeDocument/2006/relationships/queryTable" Target="../queryTables/queryTable39.xml"/></Relationships>
</file>

<file path=xl/tables/_rels/table42.xml.rels><?xml version="1.0" encoding="UTF-8" standalone="yes"?>
<Relationships xmlns="http://schemas.openxmlformats.org/package/2006/relationships"><Relationship Id="rId1" Type="http://schemas.openxmlformats.org/officeDocument/2006/relationships/queryTable" Target="../queryTables/queryTable40.xml"/></Relationships>
</file>

<file path=xl/tables/_rels/table43.xml.rels><?xml version="1.0" encoding="UTF-8" standalone="yes"?>
<Relationships xmlns="http://schemas.openxmlformats.org/package/2006/relationships"><Relationship Id="rId1" Type="http://schemas.openxmlformats.org/officeDocument/2006/relationships/queryTable" Target="../queryTables/queryTable41.xml"/></Relationships>
</file>

<file path=xl/tables/_rels/table44.xml.rels><?xml version="1.0" encoding="UTF-8" standalone="yes"?>
<Relationships xmlns="http://schemas.openxmlformats.org/package/2006/relationships"><Relationship Id="rId1" Type="http://schemas.openxmlformats.org/officeDocument/2006/relationships/queryTable" Target="../queryTables/queryTable42.xml"/></Relationships>
</file>

<file path=xl/tables/_rels/table45.xml.rels><?xml version="1.0" encoding="UTF-8" standalone="yes"?>
<Relationships xmlns="http://schemas.openxmlformats.org/package/2006/relationships"><Relationship Id="rId1" Type="http://schemas.openxmlformats.org/officeDocument/2006/relationships/queryTable" Target="../queryTables/queryTable43.xml"/></Relationships>
</file>

<file path=xl/tables/_rels/table46.xml.rels><?xml version="1.0" encoding="UTF-8" standalone="yes"?>
<Relationships xmlns="http://schemas.openxmlformats.org/package/2006/relationships"><Relationship Id="rId1" Type="http://schemas.openxmlformats.org/officeDocument/2006/relationships/queryTable" Target="../queryTables/queryTable4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90F06B40-2E1F-468A-8252-7AC9964C1B91}" name="Query_1__5" displayName="Query_1__5" ref="A1:M90" tableType="queryTable" totalsRowShown="0">
  <autoFilter ref="A1:M90" xr:uid="{90F06B40-2E1F-468A-8252-7AC9964C1B91}"/>
  <tableColumns count="13">
    <tableColumn id="1" xr3:uid="{9CC5F401-AD83-4A3C-BFBC-E0D953A9D95D}" uniqueName="1" name="CustomerID" queryTableFieldId="1" dataDxfId="149"/>
    <tableColumn id="2" xr3:uid="{FB42A411-36D0-4450-ADB2-32EC3FDB0646}" uniqueName="2" name="CompanyName" queryTableFieldId="2" dataDxfId="148"/>
    <tableColumn id="3" xr3:uid="{50F66678-CD18-4A43-B5F2-5A58E978CFF6}" uniqueName="3" name="Country" queryTableFieldId="3" dataDxfId="147"/>
    <tableColumn id="4" xr3:uid="{1A89B3E4-EB3E-4C3D-9B9D-97E0A7A0C6DA}" uniqueName="4" name="City" queryTableFieldId="4" dataDxfId="146"/>
    <tableColumn id="5" xr3:uid="{C2A714B1-76E8-4EB7-9441-F9A78407B913}" uniqueName="5" name="total_orders" queryTableFieldId="5"/>
    <tableColumn id="6" xr3:uid="{790FA588-CD33-4727-A1AD-E2ED4A949842}" uniqueName="6" name="total_revenue" queryTableFieldId="6"/>
    <tableColumn id="7" xr3:uid="{26377C9A-B0B1-40C9-AAE7-F1F6689BC3B0}" uniqueName="7" name="avg_order_value" queryTableFieldId="7"/>
    <tableColumn id="8" xr3:uid="{217D52D9-3FB0-4E58-AACA-53D010FB2D87}" uniqueName="8" name="first_order" queryTableFieldId="8" dataDxfId="145"/>
    <tableColumn id="9" xr3:uid="{B3B9DBA4-95C0-4B81-9B96-AD5827C0EADA}" uniqueName="9" name="last_order" queryTableFieldId="9" dataDxfId="144"/>
    <tableColumn id="10" xr3:uid="{9463FF95-8364-4981-B40A-2C85A5EA5F27}" uniqueName="10" name="customer_lifespan_days" queryTableFieldId="10"/>
    <tableColumn id="11" xr3:uid="{E95993A2-D2DC-41C8-B26A-988EB5791947}" uniqueName="11" name="revenue_quartile" queryTableFieldId="11"/>
    <tableColumn id="12" xr3:uid="{229AE7AB-E846-4011-A998-ED1A628EE197}" uniqueName="12" name="avg_orders_per_customer" queryTableFieldId="12"/>
    <tableColumn id="13" xr3:uid="{7CDA19E3-BE25-4159-80F8-5B096215A774}" uniqueName="13" name="customer_segment" queryTableFieldId="13" dataDxfId="14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5C8C5B33-35EB-445D-AD6A-E9E355E87F10}" name="Query_1__515" displayName="Query_1__515" ref="L2:X91" tableType="queryTable" totalsRowShown="0">
  <autoFilter ref="L2:X91" xr:uid="{5C8C5B33-35EB-445D-AD6A-E9E355E87F10}"/>
  <tableColumns count="13">
    <tableColumn id="1" xr3:uid="{B702E672-D254-4ABC-B597-18AE1D6509C8}" uniqueName="1" name="CustomerID" queryTableFieldId="1" dataDxfId="142"/>
    <tableColumn id="2" xr3:uid="{80BE47DD-EB28-410E-BD01-69A2D960B25B}" uniqueName="2" name="CompanyName" queryTableFieldId="2" dataDxfId="141"/>
    <tableColumn id="3" xr3:uid="{14312131-63E4-4B80-8269-3A10E472A95A}" uniqueName="3" name="Country" queryTableFieldId="3" dataDxfId="140"/>
    <tableColumn id="4" xr3:uid="{84977373-8BD9-4C2F-9A98-6D84DC7E881A}" uniqueName="4" name="City" queryTableFieldId="4" dataDxfId="139"/>
    <tableColumn id="5" xr3:uid="{BD213BD7-18B3-4319-9498-DD7DFB53BA81}" uniqueName="5" name="total_orders" queryTableFieldId="5"/>
    <tableColumn id="6" xr3:uid="{24FA5248-E8FA-44E0-B7C4-BBA0759BB773}" uniqueName="6" name="total_revenue" queryTableFieldId="6"/>
    <tableColumn id="7" xr3:uid="{2EB348B7-1DCA-4406-AB32-3380D90ED6A6}" uniqueName="7" name="avg_order_value" queryTableFieldId="7"/>
    <tableColumn id="8" xr3:uid="{F83BFD77-AC85-48B2-B8F2-207DDCE02232}" uniqueName="8" name="first_order" queryTableFieldId="8" dataDxfId="138"/>
    <tableColumn id="9" xr3:uid="{65FFF3FA-97E2-4E75-B34D-ACAC91694249}" uniqueName="9" name="last_order" queryTableFieldId="9" dataDxfId="137"/>
    <tableColumn id="10" xr3:uid="{68DC10A4-B86B-4B21-9F54-C6F5A309CDE8}" uniqueName="10" name="customer_lifespan_days" queryTableFieldId="10"/>
    <tableColumn id="11" xr3:uid="{3CC62869-A9AA-4D60-883D-976B6F25D1AA}" uniqueName="11" name="revenue_quartile" queryTableFieldId="11"/>
    <tableColumn id="12" xr3:uid="{D6F803BB-6897-48D6-AFFF-76A744F21A45}" uniqueName="12" name="avg_orders_per_customer" queryTableFieldId="12"/>
    <tableColumn id="13" xr3:uid="{C6CFA359-1B82-4975-9498-212887B9564F}" uniqueName="13" name="customer_segment" queryTableFieldId="13" dataDxfId="13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6E4C5E7D-CBE8-4AB6-A67D-87FFEC88FE49}" name="Query_2__3" displayName="Query_2__3" ref="A1:J70" tableType="queryTable" totalsRowShown="0">
  <autoFilter ref="A1:J70" xr:uid="{6E4C5E7D-CBE8-4AB6-A67D-87FFEC88FE49}"/>
  <tableColumns count="10">
    <tableColumn id="1" xr3:uid="{63E4D301-A5C4-401C-8BDE-26790AA0E61B}" uniqueName="1" name="Country" queryTableFieldId="1" dataDxfId="135"/>
    <tableColumn id="2" xr3:uid="{ABD5DC9E-6AB5-4257-9674-1B5C578EBC41}" uniqueName="2" name="City" queryTableFieldId="2" dataDxfId="134"/>
    <tableColumn id="3" xr3:uid="{E8805550-CF1C-42B3-9BF7-E6ED054D4812}" uniqueName="3" name="total_customers" queryTableFieldId="3"/>
    <tableColumn id="4" xr3:uid="{65CD2B97-61F1-44E0-851C-803207F5692A}" uniqueName="4" name="total_orders" queryTableFieldId="4"/>
    <tableColumn id="5" xr3:uid="{1E585717-0444-4B9B-9285-580FE41549E5}" uniqueName="5" name="avg_orders_per_customer" queryTableFieldId="5"/>
    <tableColumn id="6" xr3:uid="{8FAF782E-D768-4B9E-926A-9FB263AF6B21}" uniqueName="6" name="total_revenue" queryTableFieldId="6"/>
    <tableColumn id="7" xr3:uid="{F8EE1F21-9DDD-4C82-B32C-91319978F46B}" uniqueName="7" name="avg_revenue_per_order" queryTableFieldId="7"/>
    <tableColumn id="8" xr3:uid="{9B08A637-54D9-470B-8583-083188D99EEE}" uniqueName="8" name="total_units_ordered" queryTableFieldId="8"/>
    <tableColumn id="9" xr3:uid="{F9887C45-FB9E-483F-87BB-B1723B6D2998}" uniqueName="9" name="earliest_order" queryTableFieldId="9" dataDxfId="133"/>
    <tableColumn id="10" xr3:uid="{29CC85AA-0A36-4F8D-A65E-751BC62AE5A0}" uniqueName="10" name="latest_order" queryTableFieldId="10" dataDxfId="132"/>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9C2DBAE1-F54D-4976-9C01-C0DE9A929E4B}" name="Query_2__317" displayName="Query_2__317" ref="L2:U71" tableType="queryTable" totalsRowShown="0">
  <autoFilter ref="L2:U71" xr:uid="{9C2DBAE1-F54D-4976-9C01-C0DE9A929E4B}"/>
  <tableColumns count="10">
    <tableColumn id="1" xr3:uid="{9BC92C78-0720-42C3-86CB-A2421B4CED8A}" uniqueName="1" name="Country" queryTableFieldId="1" dataDxfId="117"/>
    <tableColumn id="2" xr3:uid="{D666CEC4-4D69-4F41-BAD1-93BCFCA97891}" uniqueName="2" name="City" queryTableFieldId="2" dataDxfId="116"/>
    <tableColumn id="3" xr3:uid="{FBC764B5-2A5E-4D9B-9689-B5D6982D0FD8}" uniqueName="3" name="total_customers" queryTableFieldId="3"/>
    <tableColumn id="4" xr3:uid="{B5A2C4E6-0405-4199-AFF4-6E076ADCC318}" uniqueName="4" name="total_orders" queryTableFieldId="4"/>
    <tableColumn id="5" xr3:uid="{A8EE0DD2-3666-4D7C-A08E-1EB930505C74}" uniqueName="5" name="avg_orders_per_customer" queryTableFieldId="5"/>
    <tableColumn id="6" xr3:uid="{BC7B064F-F6A3-4F89-90DE-03E4D23BC8D0}" uniqueName="6" name="total_revenue" queryTableFieldId="6"/>
    <tableColumn id="7" xr3:uid="{976B0154-A66D-4983-9D94-3AD7C450BD45}" uniqueName="7" name="avg_revenue_per_order" queryTableFieldId="7"/>
    <tableColumn id="8" xr3:uid="{AC1EF3BA-4EE3-47FA-8F4C-5FBDA760BD62}" uniqueName="8" name="total_units_ordered" queryTableFieldId="8"/>
    <tableColumn id="9" xr3:uid="{3E6E1263-5CD3-4CA9-9336-D8BB885F885A}" uniqueName="9" name="earliest_order" queryTableFieldId="9" dataDxfId="115"/>
    <tableColumn id="10" xr3:uid="{B79C5284-4E44-4BFA-A62F-E570A7E3C1E4}" uniqueName="10" name="latest_order" queryTableFieldId="10" dataDxfId="114"/>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1348066E-A043-446C-8D2D-050632DFC9F6}" name="Query_3__3" displayName="Query_3__3" ref="A1:I90" tableType="queryTable" totalsRowShown="0">
  <autoFilter ref="A1:I90" xr:uid="{1348066E-A043-446C-8D2D-050632DFC9F6}"/>
  <tableColumns count="9">
    <tableColumn id="1" xr3:uid="{F5B349DA-549C-46B2-BEC5-43CC4D37D35C}" uniqueName="1" name="CustomerID" queryTableFieldId="1" dataDxfId="113"/>
    <tableColumn id="2" xr3:uid="{1501EF62-DF40-4FC5-A771-5F644397B588}" uniqueName="2" name="CompanyName" queryTableFieldId="2" dataDxfId="112"/>
    <tableColumn id="3" xr3:uid="{5DC889B4-17C6-40FA-ADA9-94C651CF13FC}" uniqueName="3" name="Country" queryTableFieldId="3" dataDxfId="111"/>
    <tableColumn id="4" xr3:uid="{D7D630CB-E61A-4365-8A33-C9D833509101}" uniqueName="4" name="order_count" queryTableFieldId="4"/>
    <tableColumn id="5" xr3:uid="{19C3C686-44E2-4D6C-A1E2-BD91048EA6EF}" uniqueName="5" name="total_spend" queryTableFieldId="5"/>
    <tableColumn id="6" xr3:uid="{605C769B-4608-40F2-B0F2-5A67C53A8293}" uniqueName="6" name="avg_order_value" queryTableFieldId="6"/>
    <tableColumn id="7" xr3:uid="{2E8ECC77-AA5B-48EA-A0BB-78D91C7BA814}" uniqueName="7" name="days_since_last_order" queryTableFieldId="7"/>
    <tableColumn id="8" xr3:uid="{DFEE7F1A-34E0-4C2D-8D29-555AE5165841}" uniqueName="8" name="preferred_category" queryTableFieldId="8" dataDxfId="110"/>
    <tableColumn id="9" xr3:uid="{49FBDF49-CF37-4EAD-BA33-D486DB7BF083}" uniqueName="9" name="customer_tier" queryTableFieldId="9" dataDxfId="109"/>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C1944DA5-6449-4051-A085-3D541D74A11B}" name="Query_3__319" displayName="Query_3__319" ref="L2:T91" tableType="queryTable" totalsRowShown="0">
  <autoFilter ref="L2:T91" xr:uid="{C1944DA5-6449-4051-A085-3D541D74A11B}"/>
  <tableColumns count="9">
    <tableColumn id="1" xr3:uid="{30B4191A-85DB-4B23-B2A8-893C1263F939}" uniqueName="1" name="CustomerID" queryTableFieldId="1" dataDxfId="108"/>
    <tableColumn id="2" xr3:uid="{E6610B06-977A-46A7-AC0B-02360FACBB5C}" uniqueName="2" name="CompanyName" queryTableFieldId="2" dataDxfId="107"/>
    <tableColumn id="3" xr3:uid="{8172518D-0498-4B1A-9D8C-F67799B14842}" uniqueName="3" name="Country" queryTableFieldId="3" dataDxfId="106"/>
    <tableColumn id="4" xr3:uid="{741CF4F4-24E1-4BE8-8467-6B6ADFDB94D5}" uniqueName="4" name="order_count" queryTableFieldId="4"/>
    <tableColumn id="5" xr3:uid="{514F2900-232D-4AA4-8016-9687C1762F1D}" uniqueName="5" name="total_spend" queryTableFieldId="5"/>
    <tableColumn id="6" xr3:uid="{6030F5D9-37E9-4C20-A6D9-430472C297E0}" uniqueName="6" name="avg_order_value" queryTableFieldId="6"/>
    <tableColumn id="7" xr3:uid="{436A25DC-895B-4190-8BB5-727CCBEDE38F}" uniqueName="7" name="days_since_last_order" queryTableFieldId="7"/>
    <tableColumn id="8" xr3:uid="{0728C6E0-C1A1-4553-BBDA-52637E566CE4}" uniqueName="8" name="preferred_category" queryTableFieldId="8" dataDxfId="105"/>
    <tableColumn id="9" xr3:uid="{CB8B98CC-2004-4F85-9389-AF66C94DC61B}" uniqueName="9" name="customer_tier" queryTableFieldId="9" dataDxfId="104"/>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DEF8D15-5B85-448D-90AA-A4275EC76B5E}" name="Query_4_a___3" displayName="Query_4_a___3" ref="A1:G9" tableType="queryTable" totalsRowShown="0">
  <autoFilter ref="A1:G9" xr:uid="{2DEF8D15-5B85-448D-90AA-A4275EC76B5E}"/>
  <tableColumns count="7">
    <tableColumn id="1" xr3:uid="{82DBBC05-5F92-42EA-8FD2-4ACF9DBBA419}" uniqueName="1" name="CategoryID" queryTableFieldId="1"/>
    <tableColumn id="2" xr3:uid="{3D282503-C4F2-4DA8-A1F2-476E3E2821A9}" uniqueName="2" name="CategoryName" queryTableFieldId="2" dataDxfId="103"/>
    <tableColumn id="3" xr3:uid="{5800CC3D-9C5D-40D7-B185-B8D79247E0CB}" uniqueName="3" name="total_orders" queryTableFieldId="3"/>
    <tableColumn id="4" xr3:uid="{380D0EC9-E246-4D36-AE48-426829D0A771}" uniqueName="4" name="units_sold" queryTableFieldId="4"/>
    <tableColumn id="5" xr3:uid="{CC4A57A3-EACF-4C74-ACD5-435C8341D46E}" uniqueName="5" name="total_revenue" queryTableFieldId="5"/>
    <tableColumn id="6" xr3:uid="{0C0B5D4B-D674-413A-BFE8-33B3C41A958D}" uniqueName="6" name="revenue_pct" queryTableFieldId="6"/>
    <tableColumn id="7" xr3:uid="{A3339AD7-D50D-4C9C-97F7-163D4085E0AC}" uniqueName="7" name="avg_unit_price" queryTableFieldId="7"/>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437FC02-9C6D-45A6-B2C0-AE9A70ECBAB2}" name="Query_4_b___3" displayName="Query_4_b___3" ref="A1:H78" tableType="queryTable" totalsRowShown="0">
  <autoFilter ref="A1:H78" xr:uid="{0437FC02-9C6D-45A6-B2C0-AE9A70ECBAB2}"/>
  <tableColumns count="8">
    <tableColumn id="1" xr3:uid="{AF80C115-402A-4AAC-BADC-3FF037743E18}" uniqueName="1" name="ProductID" queryTableFieldId="1"/>
    <tableColumn id="2" xr3:uid="{727AF418-F3B0-4A0D-BDDF-8A6D5F6AB1A9}" uniqueName="2" name="ProductName" queryTableFieldId="2" dataDxfId="102"/>
    <tableColumn id="3" xr3:uid="{7454E259-76A8-421C-8EA6-4CFADE0F6303}" uniqueName="3" name="CategoryName" queryTableFieldId="3" dataDxfId="101"/>
    <tableColumn id="4" xr3:uid="{83F25253-5792-4089-A327-D56D8FBA2707}" uniqueName="4" name="times_ordered" queryTableFieldId="4"/>
    <tableColumn id="5" xr3:uid="{939ABDB0-3DD1-461F-A66A-15F0F314ABFC}" uniqueName="5" name="units_sold" queryTableFieldId="5"/>
    <tableColumn id="6" xr3:uid="{C865654C-D331-4F25-B55F-047C57B1B575}" uniqueName="6" name="total_revenue" queryTableFieldId="6"/>
    <tableColumn id="7" xr3:uid="{AB458C96-1B33-4608-8F02-86F79F4902DB}" uniqueName="7" name="pct_of_category" queryTableFieldId="7"/>
    <tableColumn id="8" xr3:uid="{C479AC0B-EE81-4EE5-B2C5-CB7542563AAB}" uniqueName="8" name="avg_selling_price" queryTableFieldId="8"/>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6B0C1EC-5B6C-431A-BF39-44F4D6D0C5E6}" name="Query_4_a___321" displayName="Query_4_a___321" ref="J2:P10" tableType="queryTable" totalsRowShown="0">
  <autoFilter ref="J2:P10" xr:uid="{F6B0C1EC-5B6C-431A-BF39-44F4D6D0C5E6}"/>
  <tableColumns count="7">
    <tableColumn id="1" xr3:uid="{048110E0-AAA7-4023-AFBE-57B6ECC3937C}" uniqueName="1" name="CategoryID" queryTableFieldId="1"/>
    <tableColumn id="2" xr3:uid="{A4023A2E-6541-46B2-8323-A787772AB554}" uniqueName="2" name="CategoryName" queryTableFieldId="2" dataDxfId="100"/>
    <tableColumn id="3" xr3:uid="{8DF9B9C4-4728-4148-9199-E7CD0C8D00C9}" uniqueName="3" name="total_orders" queryTableFieldId="3"/>
    <tableColumn id="4" xr3:uid="{DCAC7D23-2240-4364-BB43-51B3356A43C5}" uniqueName="4" name="units_sold" queryTableFieldId="4"/>
    <tableColumn id="5" xr3:uid="{C5EA0BC2-7ACA-452C-97F7-BAF0BD051250}" uniqueName="5" name="total_revenue" queryTableFieldId="5"/>
    <tableColumn id="6" xr3:uid="{D0A3BD9D-5DE5-4FB8-A904-C96D626979D7}" uniqueName="6" name="revenue_pct" queryTableFieldId="6"/>
    <tableColumn id="7" xr3:uid="{55F4A660-2CC0-4BFA-A939-B6F865431610}" uniqueName="7" name="avg_unit_price" queryTableFieldId="7"/>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2C91457F-05AA-4EAD-8267-3B865FA62C92}" name="Query_4_b___323" displayName="Query_4_b___323" ref="J29:Q106" tableType="queryTable" totalsRowShown="0">
  <autoFilter ref="J29:Q106" xr:uid="{2C91457F-05AA-4EAD-8267-3B865FA62C92}"/>
  <tableColumns count="8">
    <tableColumn id="1" xr3:uid="{96D62555-51F0-4D21-9DE6-098E1ECAF532}" uniqueName="1" name="ProductID" queryTableFieldId="1"/>
    <tableColumn id="2" xr3:uid="{A5841445-850B-4548-A065-C984BFC09022}" uniqueName="2" name="ProductName" queryTableFieldId="2" dataDxfId="99"/>
    <tableColumn id="3" xr3:uid="{61DF23F7-3650-41C8-8EC2-BEE3021A4130}" uniqueName="3" name="CategoryName" queryTableFieldId="3" dataDxfId="98"/>
    <tableColumn id="4" xr3:uid="{5DDF5654-873F-4F5E-B8AD-238337FA6853}" uniqueName="4" name="times_ordered" queryTableFieldId="4"/>
    <tableColumn id="5" xr3:uid="{5EFB30C2-9F95-40D7-AF3F-4EE1EA9E0157}" uniqueName="5" name="units_sold" queryTableFieldId="5"/>
    <tableColumn id="6" xr3:uid="{597551F1-B7AB-4593-B2BA-BBD35ADFA363}" uniqueName="6" name="total_revenue" queryTableFieldId="6"/>
    <tableColumn id="7" xr3:uid="{4090E260-5C76-415B-A4BD-8C5C531040F7}" uniqueName="7" name="pct_of_category" queryTableFieldId="7"/>
    <tableColumn id="8" xr3:uid="{60EF6C1E-315F-49B2-B31E-A308F397A9E2}" uniqueName="8" name="avg_selling_price" queryTableFieldId="8"/>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D0DA78F-4C77-432F-A394-2F5BAD455AB4}" name="Query_5_1" displayName="Query_5_1" ref="A1:H483" tableType="queryTable" totalsRowShown="0">
  <autoFilter ref="A1:H483" xr:uid="{AD0DA78F-4C77-432F-A394-2F5BAD455AB4}"/>
  <tableColumns count="8">
    <tableColumn id="1" xr3:uid="{449FACFD-EF71-4896-98AB-3AED337DFC43}" uniqueName="1" name="Country" queryTableFieldId="1" dataDxfId="97"/>
    <tableColumn id="2" xr3:uid="{6BBDC0EA-5226-47E7-850C-7DC4AA696600}" uniqueName="2" name="City" queryTableFieldId="2" dataDxfId="96"/>
    <tableColumn id="3" xr3:uid="{97922036-D27C-4A94-A9C7-AF6CF5C8B533}" uniqueName="3" name="CategoryName" queryTableFieldId="3" dataDxfId="95"/>
    <tableColumn id="4" xr3:uid="{0758F7C1-B521-4B38-B155-3DC635E80C07}" uniqueName="4" name="order_count" queryTableFieldId="4"/>
    <tableColumn id="5" xr3:uid="{D163A003-BD6B-4D04-8A12-C62030F3CD02}" uniqueName="5" name="units_ordered" queryTableFieldId="5"/>
    <tableColumn id="6" xr3:uid="{01D55AD7-73CA-42B0-96A5-C24DCDD97FFE}" uniqueName="6" name="revenue" queryTableFieldId="6"/>
    <tableColumn id="7" xr3:uid="{37C92CBF-96AE-4CC8-AEF8-61CDAA667194}" uniqueName="7" name="distinct_customers" queryTableFieldId="7"/>
    <tableColumn id="8" xr3:uid="{42C49ECE-60D1-4282-9171-8C24B31D78D6}" uniqueName="8" name="revenue_per_customer" queryTableFieldId="8"/>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9B341AFE-9E66-4635-9440-6146460D14EA}" name="Query_5_125" displayName="Query_5_125" ref="L2:S484" tableType="queryTable" totalsRowShown="0">
  <autoFilter ref="L2:S484" xr:uid="{9B341AFE-9E66-4635-9440-6146460D14EA}"/>
  <tableColumns count="8">
    <tableColumn id="1" xr3:uid="{9F63C490-EF44-49A1-90CD-CBC8BDA417C8}" uniqueName="1" name="Country" queryTableFieldId="1" dataDxfId="94"/>
    <tableColumn id="2" xr3:uid="{314218FE-8644-4224-A623-B2D167E7714D}" uniqueName="2" name="City" queryTableFieldId="2" dataDxfId="93"/>
    <tableColumn id="3" xr3:uid="{FDF8D47D-CAB3-49DD-85A4-530165069DB7}" uniqueName="3" name="CategoryName" queryTableFieldId="3" dataDxfId="92"/>
    <tableColumn id="4" xr3:uid="{9F714572-44BE-4499-A3FB-55866C2B212F}" uniqueName="4" name="order_count" queryTableFieldId="4"/>
    <tableColumn id="5" xr3:uid="{2BAEC889-0F01-41C7-8EA6-43BDE7FE26B1}" uniqueName="5" name="units_ordered" queryTableFieldId="5"/>
    <tableColumn id="6" xr3:uid="{FC71DAA7-DF56-4EFE-9876-464CA15737D3}" uniqueName="6" name="revenue" queryTableFieldId="6"/>
    <tableColumn id="7" xr3:uid="{FF6302AF-F923-4384-A1BF-40676529E986}" uniqueName="7" name="distinct_customers" queryTableFieldId="7"/>
    <tableColumn id="8" xr3:uid="{BD40F043-A733-4C52-85A8-C6654815CDE5}" uniqueName="8" name="revenue_per_customer" queryTableFieldId="8"/>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1BBB3852-2A4A-468E-AB2D-294BD2C2CE08}" name="Query_5_2" displayName="Query_5_2" ref="A1:H90" tableType="queryTable" totalsRowShown="0">
  <autoFilter ref="A1:H90" xr:uid="{1BBB3852-2A4A-468E-AB2D-294BD2C2CE08}"/>
  <tableColumns count="8">
    <tableColumn id="1" xr3:uid="{57F1DA6B-101A-476F-A423-A9CA019D2737}" uniqueName="1" name="CustomerID" queryTableFieldId="1" dataDxfId="91"/>
    <tableColumn id="2" xr3:uid="{D43F826D-1D84-407C-9A11-2A11A72425D9}" uniqueName="2" name="CompanyName" queryTableFieldId="2" dataDxfId="90"/>
    <tableColumn id="3" xr3:uid="{1492ACE6-07B1-4FF9-B0C4-1E16368F30DF}" uniqueName="3" name="Country" queryTableFieldId="3" dataDxfId="89"/>
    <tableColumn id="4" xr3:uid="{18423CD2-B3CE-4C5E-BBFA-62AC9D4021EE}" uniqueName="4" name="total_orders" queryTableFieldId="4"/>
    <tableColumn id="5" xr3:uid="{D33AFF4C-8559-4B7B-B4BF-8EAD26286BF2}" uniqueName="5" name="avg_days_between_orders" queryTableFieldId="5" dataDxfId="88"/>
    <tableColumn id="6" xr3:uid="{EFFD928F-147D-408C-B784-856175A98493}" uniqueName="6" name="min_gap_days" queryTableFieldId="6" dataDxfId="87"/>
    <tableColumn id="7" xr3:uid="{0586C2E7-B4C1-4576-B526-E04C786697DB}" uniqueName="7" name="max_gap_days" queryTableFieldId="7" dataDxfId="86"/>
    <tableColumn id="8" xr3:uid="{917878F7-2CDE-45E6-A32C-ED7E93E97AA4}" uniqueName="8" name="frequency_segment" queryTableFieldId="8" dataDxfId="85"/>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BBEF89-8664-1C42-BFFD-7FC808A2C841}" name="Table1" displayName="Table1" ref="B3:C25" totalsRowShown="0">
  <autoFilter ref="B3:C25" xr:uid="{67BBEF89-8664-1C42-BFFD-7FC808A2C841}"/>
  <sortState xmlns:xlrd2="http://schemas.microsoft.com/office/spreadsheetml/2017/richdata2" ref="B4:C25">
    <sortCondition ref="C3:C25"/>
  </sortState>
  <tableColumns count="2">
    <tableColumn id="1" xr3:uid="{E7348735-009B-ED4F-A467-3406D95AABAB}" name="Country"/>
    <tableColumn id="2" xr3:uid="{F57BAD23-404D-384E-BEB3-1DE258A82F94}" name="Order Count"/>
  </tableColumns>
  <tableStyleInfo name="TableStyleMedium23"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2CA9DCF-565F-334E-A8EF-A9D16B4F4CBF}" name="Table2" displayName="Table2" ref="B33:C42" totalsRowShown="0">
  <autoFilter ref="B33:C42" xr:uid="{72CA9DCF-565F-334E-A8EF-A9D16B4F4CBF}"/>
  <tableColumns count="2">
    <tableColumn id="1" xr3:uid="{0D343546-2386-2D4C-AA09-B1205F42EE54}" name="Category"/>
    <tableColumn id="2" xr3:uid="{9AD7385B-B643-AF48-8F15-CB7DAB35AED8}" name="Order Count"/>
  </tableColumns>
  <tableStyleInfo name="TableStyleMedium23"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2879D72A-BE8C-4DC6-9C2F-CE7686ABE694}" name="Query_5_227" displayName="Query_5_227" ref="N2:U91" tableType="queryTable" totalsRowShown="0">
  <autoFilter ref="N2:U91" xr:uid="{2879D72A-BE8C-4DC6-9C2F-CE7686ABE694}"/>
  <tableColumns count="8">
    <tableColumn id="1" xr3:uid="{B0D79A59-1814-4F81-8B79-F41BA8204BBE}" uniqueName="1" name="CustomerID" queryTableFieldId="1" dataDxfId="84"/>
    <tableColumn id="2" xr3:uid="{7FE30E01-E6DF-42FB-9576-8D1109A3718D}" uniqueName="2" name="CompanyName" queryTableFieldId="2" dataDxfId="83"/>
    <tableColumn id="3" xr3:uid="{1E76BEE5-EF1D-4601-AC07-056EF32AEC8B}" uniqueName="3" name="Country" queryTableFieldId="3" dataDxfId="82"/>
    <tableColumn id="4" xr3:uid="{D7F66148-D7D0-4E2C-AD3C-7098BBEB74A0}" uniqueName="4" name="total_orders" queryTableFieldId="4"/>
    <tableColumn id="5" xr3:uid="{DD2CAC70-A529-4CFD-A4FC-70C4CD3D4D50}" uniqueName="5" name="avg_days_between_orders" queryTableFieldId="5" dataDxfId="81"/>
    <tableColumn id="6" xr3:uid="{5E81D83C-EAE9-4753-A63B-3558216F1F18}" uniqueName="6" name="min_gap_days" queryTableFieldId="6" dataDxfId="80"/>
    <tableColumn id="7" xr3:uid="{A035B529-7F8B-46CF-A02C-208676D9AF4E}" uniqueName="7" name="max_gap_days" queryTableFieldId="7" dataDxfId="79"/>
    <tableColumn id="8" xr3:uid="{D41BD588-83E4-4BF6-93FD-55EA8A20F3EE}" uniqueName="8" name="frequency_segment" queryTableFieldId="8" dataDxfId="78"/>
  </tableColumns>
  <tableStyleInfo name="TableStyleMedium7"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ADD4E892-D6E6-4E36-BC03-2F61345AB61A}" name="Query_6_a" displayName="Query_6_a" ref="A1:D5" tableType="queryTable" totalsRowShown="0">
  <autoFilter ref="A1:D5" xr:uid="{ADD4E892-D6E6-4E36-BC03-2F61345AB61A}"/>
  <tableColumns count="4">
    <tableColumn id="1" xr3:uid="{694C5610-FAB5-44D8-85DF-028405D5E70B}" uniqueName="1" name="Country" queryTableFieldId="1" dataDxfId="77"/>
    <tableColumn id="2" xr3:uid="{4BECB55C-618D-424B-A55C-B130B85F8006}" uniqueName="2" name="City" queryTableFieldId="2" dataDxfId="76"/>
    <tableColumn id="3" xr3:uid="{B54F7952-A6C2-4B45-ACCC-9E678A054A90}" uniqueName="3" name="employee_count" queryTableFieldId="3"/>
    <tableColumn id="4" xr3:uid="{994C5CBE-2794-41BD-90D1-9C400DE3363C}" uniqueName="4" name="titles_present" queryTableFieldId="4" dataDxfId="75"/>
  </tableColumns>
  <tableStyleInfo name="TableStyleMedium7"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2F4CC3A-021F-43FD-A2B3-8A966581E382}" name="Query_6_b" displayName="Query_6_b" ref="A1:D4" tableType="queryTable" totalsRowShown="0">
  <autoFilter ref="A1:D4" xr:uid="{92F4CC3A-021F-43FD-A2B3-8A966581E382}"/>
  <tableColumns count="4">
    <tableColumn id="1" xr3:uid="{4B88781C-B845-4481-A222-52223692F3AF}" uniqueName="1" name="Title" queryTableFieldId="1" dataDxfId="74"/>
    <tableColumn id="2" xr3:uid="{4BED2CAA-30D6-4CE4-9B08-FA1C7CADE98B}" uniqueName="2" name="headcount" queryTableFieldId="2"/>
    <tableColumn id="3" xr3:uid="{13FC1068-DEEE-4E02-9B90-AE75FDD59805}" uniqueName="3" name="employee_names" queryTableFieldId="3" dataDxfId="73"/>
    <tableColumn id="4" xr3:uid="{73EC0901-659D-4613-A346-0AE2E2D2962E}" uniqueName="4" name="countries_covered" queryTableFieldId="4" dataDxfId="72"/>
  </tableColumns>
  <tableStyleInfo name="TableStyleMedium7"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A4EBC80-9047-40BC-920F-AA6FB7E58A75}" name="Query_6_a29" displayName="Query_6_a29" ref="H2:K6" tableType="queryTable" totalsRowShown="0">
  <autoFilter ref="H2:K6" xr:uid="{CA4EBC80-9047-40BC-920F-AA6FB7E58A75}"/>
  <tableColumns count="4">
    <tableColumn id="1" xr3:uid="{72308F7D-F949-4F26-A8A3-8647F707F5E7}" uniqueName="1" name="Country" queryTableFieldId="1" dataDxfId="71"/>
    <tableColumn id="2" xr3:uid="{7831444A-6FD8-41AC-B6D7-17DC44676848}" uniqueName="2" name="City" queryTableFieldId="2" dataDxfId="70"/>
    <tableColumn id="3" xr3:uid="{F1BADA6C-F043-4262-AEBB-D1A14FFF6A1E}" uniqueName="3" name="employee_count" queryTableFieldId="3"/>
    <tableColumn id="4" xr3:uid="{257C95EF-1F36-47E2-A69D-C56979652418}" uniqueName="4" name="titles_present" queryTableFieldId="4" dataDxfId="69"/>
  </tableColumns>
  <tableStyleInfo name="TableStyleMedium7"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4A61C0B5-BA30-4CE4-82CB-13774620FD97}" name="Query_6_b31" displayName="Query_6_b31" ref="H19:K22" tableType="queryTable" totalsRowShown="0">
  <autoFilter ref="H19:K22" xr:uid="{4A61C0B5-BA30-4CE4-82CB-13774620FD97}"/>
  <tableColumns count="4">
    <tableColumn id="1" xr3:uid="{92AD59A3-7743-486F-A591-A61953C69229}" uniqueName="1" name="Title" queryTableFieldId="1" dataDxfId="68"/>
    <tableColumn id="2" xr3:uid="{D174DF84-D1B8-4BB2-9FD2-A5785634F579}" uniqueName="2" name="headcount" queryTableFieldId="2"/>
    <tableColumn id="3" xr3:uid="{0AB85E7C-E540-4701-B5AC-5FA57311FCE4}" uniqueName="3" name="employee_names" queryTableFieldId="3" dataDxfId="67"/>
    <tableColumn id="4" xr3:uid="{EC76E99B-9B92-47E8-BCA3-020E3B2A8F36}" uniqueName="4" name="countries_covered" queryTableFieldId="4" dataDxfId="66"/>
  </tableColumns>
  <tableStyleInfo name="TableStyleMedium7"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DEB7531C-F4A0-40A3-A5B9-4FB46F58F693}" name="Query_7_a" displayName="Query_7_a" ref="A1:G8" tableType="queryTable" totalsRowShown="0">
  <autoFilter ref="A1:G8" xr:uid="{DEB7531C-F4A0-40A3-A5B9-4FB46F58F693}"/>
  <tableColumns count="7">
    <tableColumn id="1" xr3:uid="{E602CB36-141B-4B04-83B4-D411822ABF80}" uniqueName="1" name="Title" queryTableFieldId="1" dataDxfId="65"/>
    <tableColumn id="2" xr3:uid="{CEEACCA1-CBB9-41B2-B2B7-692B68431944}" uniqueName="2" name="hire_year" queryTableFieldId="2"/>
    <tableColumn id="3" xr3:uid="{E43AE714-B2FE-46E2-8D3E-573AF7DC4223}" uniqueName="3" name="hire_quarter" queryTableFieldId="3"/>
    <tableColumn id="4" xr3:uid="{890EC1E5-66F9-4736-ABCF-CA6A40AA767B}" uniqueName="4" name="hires_in_period" queryTableFieldId="4"/>
    <tableColumn id="5" xr3:uid="{4F3FA32B-A51B-43F9-975C-AADD7AB6A689}" uniqueName="5" name="earliest_hire" queryTableFieldId="5" dataDxfId="64"/>
    <tableColumn id="6" xr3:uid="{704915CA-1BD4-4B72-85AC-D025B9186493}" uniqueName="6" name="latest_hire" queryTableFieldId="6" dataDxfId="63"/>
    <tableColumn id="7" xr3:uid="{0E98A888-CEF0-4E90-9190-0E0D4D34628E}" uniqueName="7" name="avg_age_at_hire" queryTableFieldId="7"/>
  </tableColumns>
  <tableStyleInfo name="TableStyleMedium7"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B046DC34-8676-44BB-987D-9A1B11524AEE}" name="Query_7_b" displayName="Query_7_b" ref="A1:E9" tableType="queryTable" totalsRowShown="0">
  <autoFilter ref="A1:E9" xr:uid="{B046DC34-8676-44BB-987D-9A1B11524AEE}"/>
  <tableColumns count="5">
    <tableColumn id="1" xr3:uid="{2049553A-45A8-4FDB-9ABF-3757B6235FC7}" uniqueName="1" name="employee_name" queryTableFieldId="1" dataDxfId="62"/>
    <tableColumn id="2" xr3:uid="{EA3EA899-474F-44B0-AFD2-9D00C10E509B}" uniqueName="2" name="Title" queryTableFieldId="2" dataDxfId="61"/>
    <tableColumn id="3" xr3:uid="{9D75A3AB-46B1-413B-892C-DA88896A995C}" uniqueName="3" name="HireDate" queryTableFieldId="3" dataDxfId="60"/>
    <tableColumn id="4" xr3:uid="{0164B59A-60A4-4BB2-81CA-B9B91386D736}" uniqueName="4" name="tenure_years" queryTableFieldId="4"/>
    <tableColumn id="5" xr3:uid="{E31BB09B-7874-4D30-BC84-994234A7D7CD}" uniqueName="5" name="current_age" queryTableFieldId="5"/>
  </tableColumns>
  <tableStyleInfo name="TableStyleMedium7"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B252E685-5980-48CF-9839-743A78219167}" name="Query_7_a33" displayName="Query_7_a33" ref="H2:N9" tableType="queryTable" totalsRowShown="0">
  <autoFilter ref="H2:N9" xr:uid="{B252E685-5980-48CF-9839-743A78219167}"/>
  <tableColumns count="7">
    <tableColumn id="1" xr3:uid="{194B20FD-F0B1-4431-B14F-54C270E95DB5}" uniqueName="1" name="Title" queryTableFieldId="1" dataDxfId="59"/>
    <tableColumn id="2" xr3:uid="{5905BC0F-6EFC-4B71-B264-008E8D8FA0B6}" uniqueName="2" name="hire_year" queryTableFieldId="2"/>
    <tableColumn id="3" xr3:uid="{FD35877A-5B23-4136-9EB0-D2726DCAB463}" uniqueName="3" name="hire_quarter" queryTableFieldId="3"/>
    <tableColumn id="4" xr3:uid="{79103EFB-75E2-4B11-9BE6-15AB12788DE2}" uniqueName="4" name="hires_in_period" queryTableFieldId="4"/>
    <tableColumn id="5" xr3:uid="{6A3FB581-0CE5-40EC-8B0E-3486AA2028FE}" uniqueName="5" name="earliest_hire" queryTableFieldId="5" dataDxfId="58"/>
    <tableColumn id="6" xr3:uid="{4F12CE45-8A09-4E9C-88A9-2922203FECFC}" uniqueName="6" name="latest_hire" queryTableFieldId="6" dataDxfId="57"/>
    <tableColumn id="7" xr3:uid="{D26BD2B8-4D15-42F2-AF8F-7237CAB4B88E}" uniqueName="7" name="avg_age_at_hire" queryTableFieldId="7"/>
  </tableColumns>
  <tableStyleInfo name="TableStyleMedium7"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7CD05F53-C221-42C2-909F-1C9F39F40F50}" name="Query_7_b35" displayName="Query_7_b35" ref="J22:N30" tableType="queryTable" totalsRowShown="0">
  <autoFilter ref="J22:N30" xr:uid="{7CD05F53-C221-42C2-909F-1C9F39F40F50}"/>
  <tableColumns count="5">
    <tableColumn id="1" xr3:uid="{11D58864-E330-4EF7-9D7F-FA9A07F51695}" uniqueName="1" name="employee_name" queryTableFieldId="1" dataDxfId="56"/>
    <tableColumn id="2" xr3:uid="{568FC0DC-7BEB-4D9D-9F72-5F5AD463C4E3}" uniqueName="2" name="Title" queryTableFieldId="2" dataDxfId="55"/>
    <tableColumn id="3" xr3:uid="{9786DA27-1DA8-461E-A341-178AC2EFD5B0}" uniqueName="3" name="HireDate" queryTableFieldId="3" dataDxfId="54"/>
    <tableColumn id="4" xr3:uid="{353944C3-3CD9-4324-BD26-44DEB1646D5A}" uniqueName="4" name="tenure_years" queryTableFieldId="4"/>
    <tableColumn id="5" xr3:uid="{9BF9031A-00D1-4285-B3E2-10E475601CCC}" uniqueName="5" name="current_age" queryTableFieldId="5"/>
  </tableColumns>
  <tableStyleInfo name="TableStyleMedium7"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7597B53-3D30-4DD3-BC47-34DE36F6E901}" name="Query_8_a" displayName="Query_8_a" ref="A1:D4" tableType="queryTable" totalsRowShown="0">
  <autoFilter ref="A1:D4" xr:uid="{07597B53-3D30-4DD3-BC47-34DE36F6E901}"/>
  <tableColumns count="4">
    <tableColumn id="1" xr3:uid="{9B681080-2565-4323-914F-222ED7F509CA}" uniqueName="1" name="courtesy_title" queryTableFieldId="1" dataDxfId="53"/>
    <tableColumn id="2" xr3:uid="{B5A241B4-A181-4417-A0C4-DD1A8973CB2D}" uniqueName="2" name="count" queryTableFieldId="2"/>
    <tableColumn id="3" xr3:uid="{929D0E43-4AE9-4D08-BDC2-C0EB312D1D3B}" uniqueName="3" name="percentage" queryTableFieldId="3"/>
    <tableColumn id="4" xr3:uid="{4EA15D3A-0C71-4292-8B66-821F80BD623E}" uniqueName="4" name="job_titles_held" queryTableFieldId="4" dataDxfId="52"/>
  </tableColumns>
  <tableStyleInfo name="TableStyleMedium7"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C4E436FA-3497-43EF-80CF-FA652113FE29}" name="Query_8_b" displayName="Query_8_b" ref="A1:E6" tableType="queryTable" totalsRowShown="0">
  <autoFilter ref="A1:E6" xr:uid="{C4E436FA-3497-43EF-80CF-FA652113FE29}"/>
  <tableColumns count="5">
    <tableColumn id="1" xr3:uid="{71A9767B-B567-46CF-BF29-52F49E7BFAFA}" uniqueName="1" name="TitleOfCourtesy" queryTableFieldId="1" dataDxfId="51"/>
    <tableColumn id="2" xr3:uid="{A1DD3299-DA70-43BC-A6D7-C2299894A928}" uniqueName="2" name="Title" queryTableFieldId="2" dataDxfId="50"/>
    <tableColumn id="3" xr3:uid="{AD0580E6-D130-4154-866D-6EF6F88CCD65}" uniqueName="3" name="count" queryTableFieldId="3"/>
    <tableColumn id="4" xr3:uid="{3518B886-A8B1-423B-B732-023AA6E468A5}" uniqueName="4" name="avg_age" queryTableFieldId="4"/>
    <tableColumn id="5" xr3:uid="{2141AC31-04AE-4269-BDF0-3DAA237E09AA}" uniqueName="5" name="avg_tenure_years" queryTableFieldId="5"/>
  </tableColumns>
  <tableStyleInfo name="TableStyleMedium7"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5EE169DF-18BE-4E04-8F63-1E7C0B0BBAF7}" name="Query_8_a37" displayName="Query_8_a37" ref="H2:K5" tableType="queryTable" totalsRowShown="0">
  <autoFilter ref="H2:K5" xr:uid="{5EE169DF-18BE-4E04-8F63-1E7C0B0BBAF7}"/>
  <tableColumns count="4">
    <tableColumn id="1" xr3:uid="{CAC5C3C0-D221-46BC-BB2D-5287D22E653B}" uniqueName="1" name="courtesy_title" queryTableFieldId="1" dataDxfId="49"/>
    <tableColumn id="2" xr3:uid="{3C947022-CBAE-429F-A4E0-E39EE57905EC}" uniqueName="2" name="count" queryTableFieldId="2"/>
    <tableColumn id="3" xr3:uid="{2246C99C-7D08-4A75-A9D7-CE9EB5E1325C}" uniqueName="3" name="percentage" queryTableFieldId="3"/>
    <tableColumn id="4" xr3:uid="{92258B6E-32CC-4666-97F9-AFC51716D1AB}" uniqueName="4" name="job_titles_held" queryTableFieldId="4" dataDxfId="48"/>
  </tableColumns>
  <tableStyleInfo name="TableStyleMedium7"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B16624A3-D064-4B24-95C5-53EAE0A8C17D}" name="Query_8_b39" displayName="Query_8_b39" ref="J22:N27" tableType="queryTable" totalsRowShown="0">
  <autoFilter ref="J22:N27" xr:uid="{B16624A3-D064-4B24-95C5-53EAE0A8C17D}"/>
  <tableColumns count="5">
    <tableColumn id="1" xr3:uid="{B13745C3-11FE-47CB-AE52-4C462C307C76}" uniqueName="1" name="TitleOfCourtesy" queryTableFieldId="1" dataDxfId="47"/>
    <tableColumn id="2" xr3:uid="{264862E7-2AEB-4E4A-8FDE-920D409660D6}" uniqueName="2" name="Title" queryTableFieldId="2" dataDxfId="46"/>
    <tableColumn id="3" xr3:uid="{417D4EF7-92C6-4A06-A1F6-AF9CDC2BD86E}" uniqueName="3" name="count" queryTableFieldId="3"/>
    <tableColumn id="4" xr3:uid="{3342F7B8-9660-47C5-8182-3B657384B80E}" uniqueName="4" name="avg_age" queryTableFieldId="4"/>
    <tableColumn id="5" xr3:uid="{EDE15AB0-04F3-48B7-8754-8B5546AAA8A6}" uniqueName="5" name="avg_tenure_years" queryTableFieldId="5"/>
  </tableColumns>
  <tableStyleInfo name="TableStyleMedium7"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56226503-C040-4277-ABB1-6AFE73BC8C5B}" name="Query_9" displayName="Query_9" ref="A1:N78" tableType="queryTable" totalsRowShown="0">
  <autoFilter ref="A1:N78" xr:uid="{56226503-C040-4277-ABB1-6AFE73BC8C5B}"/>
  <tableColumns count="14">
    <tableColumn id="1" xr3:uid="{CA9DB8C6-3FB8-4729-A7EE-8373CFF4B809}" uniqueName="1" name="ProductID" queryTableFieldId="1"/>
    <tableColumn id="2" xr3:uid="{63D25744-0976-42D4-887F-DEAFEF01BDDA}" uniqueName="2" name="ProductName" queryTableFieldId="2" dataDxfId="45"/>
    <tableColumn id="3" xr3:uid="{82B51C4C-1F57-40DD-AB99-8A160F1EAEF7}" uniqueName="3" name="CategoryName" queryTableFieldId="3" dataDxfId="44"/>
    <tableColumn id="4" xr3:uid="{FADB7511-DC9D-4510-BDDB-A1D6FB13006C}" uniqueName="4" name="list_price" queryTableFieldId="4"/>
    <tableColumn id="5" xr3:uid="{E7438CCF-FB6C-432A-9BF4-B1BB436C3BB6}" uniqueName="5" name="UnitsInStock" queryTableFieldId="5"/>
    <tableColumn id="6" xr3:uid="{813719BD-3D37-44AC-A3FE-61CF7DE69B40}" uniqueName="6" name="UnitsOnOrder" queryTableFieldId="6"/>
    <tableColumn id="7" xr3:uid="{8D5F990D-D706-4218-B552-A59AB0E58B4B}" uniqueName="7" name="ReorderLevel" queryTableFieldId="7"/>
    <tableColumn id="8" xr3:uid="{8E97BFF7-F720-4C83-9329-637901FAA802}" uniqueName="8" name="Discontinued" queryTableFieldId="8"/>
    <tableColumn id="9" xr3:uid="{A2E8196B-2195-45C1-8517-6237BB1AB9EA}" uniqueName="9" name="times_ordered" queryTableFieldId="9"/>
    <tableColumn id="10" xr3:uid="{D040268A-1976-49D9-8BEB-78C01B0D5317}" uniqueName="10" name="total_units_sold" queryTableFieldId="10"/>
    <tableColumn id="11" xr3:uid="{5B8F8CF3-4BA2-405C-B226-EAC016DC2B55}" uniqueName="11" name="total_revenue" queryTableFieldId="11"/>
    <tableColumn id="12" xr3:uid="{332E9AC1-B5DB-4CEE-AA12-8A24DE72E4C4}" uniqueName="12" name="avg_selling_price" queryTableFieldId="12"/>
    <tableColumn id="13" xr3:uid="{E30CBC07-AA19-46DB-A99C-FC30A1471B7D}" uniqueName="13" name="stock_to_sales_ratio" queryTableFieldId="13"/>
    <tableColumn id="14" xr3:uid="{2091896C-3D01-47B7-B10F-6F66B9ADE5A3}" uniqueName="14" name="stock_status" queryTableFieldId="14" dataDxfId="43"/>
  </tableColumns>
  <tableStyleInfo name="TableStyleMedium7"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F0F51857-269A-474D-A016-330344811A8D}" name="Query_941" displayName="Query_941" ref="J2:W79" tableType="queryTable" totalsRowShown="0">
  <autoFilter ref="J2:W79" xr:uid="{F0F51857-269A-474D-A016-330344811A8D}"/>
  <tableColumns count="14">
    <tableColumn id="1" xr3:uid="{EA8E2CFC-4094-492A-839F-3945CC40C003}" uniqueName="1" name="ProductID" queryTableFieldId="1"/>
    <tableColumn id="2" xr3:uid="{6E872986-DEB5-43F4-B5BB-5DB8E5E88355}" uniqueName="2" name="ProductName" queryTableFieldId="2" dataDxfId="42"/>
    <tableColumn id="3" xr3:uid="{1F6AFDA8-F83A-4342-A9FC-C958E43D17C5}" uniqueName="3" name="CategoryName" queryTableFieldId="3" dataDxfId="41"/>
    <tableColumn id="4" xr3:uid="{A77908EC-E6B1-405C-8B7D-FF9F02E80F49}" uniqueName="4" name="list_price" queryTableFieldId="4"/>
    <tableColumn id="5" xr3:uid="{D977AB11-85D1-4DCD-9C74-2272C5EA2E57}" uniqueName="5" name="UnitsInStock" queryTableFieldId="5"/>
    <tableColumn id="6" xr3:uid="{8360A516-47E8-4523-AFB6-D997C3F4F2F9}" uniqueName="6" name="UnitsOnOrder" queryTableFieldId="6"/>
    <tableColumn id="7" xr3:uid="{4B2AD6D6-81C4-477E-9876-75A1A4EC2A3B}" uniqueName="7" name="ReorderLevel" queryTableFieldId="7"/>
    <tableColumn id="8" xr3:uid="{32E6BCE9-9901-48C8-B8BA-36B2138CE86B}" uniqueName="8" name="Discontinued" queryTableFieldId="8"/>
    <tableColumn id="9" xr3:uid="{9FA4616F-E2B7-4EF2-B005-BE0A37E4F46D}" uniqueName="9" name="times_ordered" queryTableFieldId="9"/>
    <tableColumn id="10" xr3:uid="{377F0D5B-2016-4E19-8FE8-103EA2B97356}" uniqueName="10" name="total_units_sold" queryTableFieldId="10"/>
    <tableColumn id="11" xr3:uid="{31C638A1-5FAB-4A17-A9C5-6B547A420955}" uniqueName="11" name="total_revenue" queryTableFieldId="11"/>
    <tableColumn id="12" xr3:uid="{7AF1D5E7-F2F6-40AD-9B92-2BF783723306}" uniqueName="12" name="avg_selling_price" queryTableFieldId="12"/>
    <tableColumn id="13" xr3:uid="{133CA9E3-25F4-45C9-8E10-BB091A7EF5D2}" uniqueName="13" name="stock_to_sales_ratio" queryTableFieldId="13"/>
    <tableColumn id="14" xr3:uid="{BE368DA4-B536-4775-9777-A148C80A0B37}" uniqueName="14" name="stock_status" queryTableFieldId="14" dataDxfId="40"/>
  </tableColumns>
  <tableStyleInfo name="TableStyleMedium7"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AA8F8769-D16A-46A2-8BBE-A172DF59C5CF}" name="Query_10" displayName="Query_10" ref="A1:I177" tableType="queryTable" totalsRowShown="0">
  <autoFilter ref="A1:I177" xr:uid="{AA8F8769-D16A-46A2-8BBE-A172DF59C5CF}"/>
  <tableColumns count="9">
    <tableColumn id="1" xr3:uid="{92F128FD-5603-481F-8A26-273D8F49F3B9}" uniqueName="1" name="order_year" queryTableFieldId="1"/>
    <tableColumn id="2" xr3:uid="{7C91F185-F794-4C68-B10B-467E67408560}" uniqueName="2" name="order_month" queryTableFieldId="2"/>
    <tableColumn id="3" xr3:uid="{6257CF3C-12BC-4719-B3EF-848DFC1EC602}" uniqueName="3" name="month_name" queryTableFieldId="3" dataDxfId="39"/>
    <tableColumn id="4" xr3:uid="{7B998A80-8821-4F5C-AC9E-7168B12A756D}" uniqueName="4" name="quarter" queryTableFieldId="4"/>
    <tableColumn id="5" xr3:uid="{A32E9785-0C96-4188-A7AF-0EAD7EF06BAF}" uniqueName="5" name="season" queryTableFieldId="5" dataDxfId="38"/>
    <tableColumn id="6" xr3:uid="{B95C2629-B9F2-4201-B90C-DECD6F5E9936}" uniqueName="6" name="CategoryName" queryTableFieldId="6" dataDxfId="37"/>
    <tableColumn id="7" xr3:uid="{EEEFE88C-9DD1-43B1-A303-0532705FDB09}" uniqueName="7" name="orders_placed" queryTableFieldId="7"/>
    <tableColumn id="8" xr3:uid="{18D5D558-CAFD-4DB7-B932-60CAAB1BEA87}" uniqueName="8" name="units_sold" queryTableFieldId="8"/>
    <tableColumn id="9" xr3:uid="{5EE54C90-46A6-409A-9687-1294DF5A6AA4}" uniqueName="9" name="monthly_revenue" queryTableFieldId="9"/>
  </tableColumns>
  <tableStyleInfo name="TableStyleMedium7"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8EEA74D6-102B-419D-8A90-5F6E96C4E126}" name="Query_1043" displayName="Query_1043" ref="J2:R178" tableType="queryTable" totalsRowShown="0">
  <autoFilter ref="J2:R178" xr:uid="{8EEA74D6-102B-419D-8A90-5F6E96C4E126}"/>
  <tableColumns count="9">
    <tableColumn id="1" xr3:uid="{39CC7749-40F5-477D-849A-6AD2A0E2FD7B}" uniqueName="1" name="order_year" queryTableFieldId="1"/>
    <tableColumn id="2" xr3:uid="{809B7EDA-0348-4C30-82C8-019F26B787B6}" uniqueName="2" name="order_month" queryTableFieldId="2"/>
    <tableColumn id="3" xr3:uid="{FF9D8DEE-9998-4AFD-A24C-C58AD300565B}" uniqueName="3" name="month_name" queryTableFieldId="3" dataDxfId="36"/>
    <tableColumn id="4" xr3:uid="{3DCFCFEA-F050-4793-B3EA-017BE75842BE}" uniqueName="4" name="quarter" queryTableFieldId="4"/>
    <tableColumn id="5" xr3:uid="{B5D00857-2E0B-4905-8326-B0680EF3DB9B}" uniqueName="5" name="season" queryTableFieldId="5" dataDxfId="35"/>
    <tableColumn id="6" xr3:uid="{95D6A20C-4726-4C28-9F7C-1366B8CD8C2F}" uniqueName="6" name="CategoryName" queryTableFieldId="6" dataDxfId="34"/>
    <tableColumn id="7" xr3:uid="{7E65EC75-6FF4-4532-B64B-D0824E05AE1A}" uniqueName="7" name="orders_placed" queryTableFieldId="7"/>
    <tableColumn id="8" xr3:uid="{EE76EB39-F820-4AEA-A1E1-644C30E6AA5C}" uniqueName="8" name="units_sold" queryTableFieldId="8"/>
    <tableColumn id="9" xr3:uid="{25ADEC37-F891-47FF-B184-C4E3711D65A6}" uniqueName="9" name="monthly_revenue" queryTableFieldId="9"/>
  </tableColumns>
  <tableStyleInfo name="TableStyleMedium7"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4F75628A-C507-40FB-AB59-85573C3331EF}" name="Query_11" displayName="Query_11" ref="A1:L78" tableType="queryTable" totalsRowShown="0">
  <autoFilter ref="A1:L78" xr:uid="{4F75628A-C507-40FB-AB59-85573C3331EF}"/>
  <tableColumns count="12">
    <tableColumn id="1" xr3:uid="{B8496BD1-54C4-4962-B99F-CD1C05AF84F0}" uniqueName="1" name="ProductID" queryTableFieldId="1"/>
    <tableColumn id="2" xr3:uid="{0132A22D-1079-461F-84A4-5813907BCEC1}" uniqueName="2" name="ProductName" queryTableFieldId="2" dataDxfId="33"/>
    <tableColumn id="3" xr3:uid="{3197446C-D55F-4A43-91CD-2BE6B147180F}" uniqueName="3" name="CategoryName" queryTableFieldId="3" dataDxfId="32"/>
    <tableColumn id="4" xr3:uid="{7C6AF372-1F3E-4802-841D-CC42246FB07B}" uniqueName="4" name="order_count" queryTableFieldId="4"/>
    <tableColumn id="5" xr3:uid="{6F773661-FBD7-4DCD-AB57-79927167A137}" uniqueName="5" name="units_sold" queryTableFieldId="5"/>
    <tableColumn id="6" xr3:uid="{EB746E03-2591-4912-9501-05BE9D23900B}" uniqueName="6" name="total_revenue" queryTableFieldId="6"/>
    <tableColumn id="7" xr3:uid="{A88DF2A0-98FE-4B46-8684-29C36116D212}" uniqueName="7" name="avg_discount_pct" queryTableFieldId="7"/>
    <tableColumn id="8" xr3:uid="{E80BFBC2-8231-44B7-9A80-B13B87CC9B54}" uniqueName="8" name="avg_selling_price" queryTableFieldId="8"/>
    <tableColumn id="9" xr3:uid="{D5D29721-4FD9-487F-8DDF-AE780BA65992}" uniqueName="9" name="revenue_z_score" queryTableFieldId="9"/>
    <tableColumn id="10" xr3:uid="{BDBC0C85-70AB-4F6B-AD37-4EF7CE831904}" uniqueName="10" name="units_z_score" queryTableFieldId="10"/>
    <tableColumn id="11" xr3:uid="{D7BCEE3D-B353-418B-A550-A6DCF63811DF}" uniqueName="11" name="discount_z_score" queryTableFieldId="11"/>
    <tableColumn id="12" xr3:uid="{B5E8EF53-E2B8-4182-864F-A5F8581B24AF}" uniqueName="12" name="anomaly_flag" queryTableFieldId="12" dataDxfId="31"/>
  </tableColumns>
  <tableStyleInfo name="TableStyleMedium7"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7CA3A4D5-A3F9-4AF1-870E-028849C8FAF3}" name="Query_1145" displayName="Query_1145" ref="N2:Y79" tableType="queryTable" totalsRowShown="0">
  <autoFilter ref="N2:Y79" xr:uid="{7CA3A4D5-A3F9-4AF1-870E-028849C8FAF3}"/>
  <tableColumns count="12">
    <tableColumn id="1" xr3:uid="{7D16A2BF-1390-4C10-AEC8-1E3D477261A3}" uniqueName="1" name="ProductID" queryTableFieldId="1"/>
    <tableColumn id="2" xr3:uid="{2DE33C1B-4A4A-4D3B-8179-B3FB98B3DE58}" uniqueName="2" name="ProductName" queryTableFieldId="2" dataDxfId="30"/>
    <tableColumn id="3" xr3:uid="{63AE9295-94CC-497F-8141-9C3BE09E8F84}" uniqueName="3" name="CategoryName" queryTableFieldId="3" dataDxfId="29"/>
    <tableColumn id="4" xr3:uid="{28323E0F-E248-47BD-9B4A-4CF2AD7075BD}" uniqueName="4" name="order_count" queryTableFieldId="4"/>
    <tableColumn id="5" xr3:uid="{C89E6E50-8CF3-438B-A654-3BA0C350909B}" uniqueName="5" name="units_sold" queryTableFieldId="5"/>
    <tableColumn id="6" xr3:uid="{8FBB8AB7-CC61-4ADC-9B76-D0C796CD916B}" uniqueName="6" name="total_revenue" queryTableFieldId="6"/>
    <tableColumn id="7" xr3:uid="{C522101D-BBB8-47F4-8956-6A5F4261944F}" uniqueName="7" name="avg_discount_pct" queryTableFieldId="7"/>
    <tableColumn id="8" xr3:uid="{8FC56789-408B-4B80-9FE2-A38F536AD4B2}" uniqueName="8" name="avg_selling_price" queryTableFieldId="8"/>
    <tableColumn id="9" xr3:uid="{36A6ECE6-684C-4DC7-A100-45A1FAFC5427}" uniqueName="9" name="revenue_z_score" queryTableFieldId="9"/>
    <tableColumn id="10" xr3:uid="{368846FC-7919-4734-8861-79B46FC73B05}" uniqueName="10" name="units_z_score" queryTableFieldId="10"/>
    <tableColumn id="11" xr3:uid="{530AAA01-E73D-46E9-A687-B4024E47BC25}" uniqueName="11" name="discount_z_score" queryTableFieldId="11"/>
    <tableColumn id="12" xr3:uid="{DE144C70-1F58-43CA-BDED-D77BE9AC573B}" uniqueName="12" name="anomaly_flag" queryTableFieldId="12" dataDxfId="28"/>
  </tableColumns>
  <tableStyleInfo name="TableStyleMedium7"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D98AF43A-8C2F-4642-9449-B854943DAED5}" name="Query_12_a" displayName="Query_12_a" ref="A1:L30" tableType="queryTable" totalsRowShown="0">
  <autoFilter ref="A1:L30" xr:uid="{D98AF43A-8C2F-4642-9449-B854943DAED5}"/>
  <tableColumns count="12">
    <tableColumn id="1" xr3:uid="{ECD83658-8CD7-476B-AEB9-A23B4D6422ED}" uniqueName="1" name="SupplierID" queryTableFieldId="1"/>
    <tableColumn id="2" xr3:uid="{0FCFD0A9-8305-4B82-91D3-76843FA82C77}" uniqueName="2" name="supplier_name" queryTableFieldId="2" dataDxfId="27"/>
    <tableColumn id="3" xr3:uid="{48B8C861-D6D9-482F-86E0-43A1282CABCA}" uniqueName="3" name="supplier_country" queryTableFieldId="3" dataDxfId="26"/>
    <tableColumn id="4" xr3:uid="{1BD9AE89-D918-4124-A06D-B8C86E5E1707}" uniqueName="4" name="supplier_city" queryTableFieldId="4" dataDxfId="25"/>
    <tableColumn id="5" xr3:uid="{1CCAC727-C940-4854-90A3-94435235EFE8}" uniqueName="5" name="supplier_region" queryTableFieldId="5" dataDxfId="24"/>
    <tableColumn id="6" xr3:uid="{F2ED18A4-5C67-4B9F-A32A-F454934C09ED}" uniqueName="6" name="products_supplied" queryTableFieldId="6"/>
    <tableColumn id="7" xr3:uid="{84FC9254-8388-461E-8B03-FEE6FE662810}" uniqueName="7" name="categories_covered" queryTableFieldId="7"/>
    <tableColumn id="8" xr3:uid="{3B1E1326-DF63-4A7F-978F-DF8C8F537411}" uniqueName="8" name="avg_product_price" queryTableFieldId="8"/>
    <tableColumn id="9" xr3:uid="{54EE0F6F-413B-4435-9752-0147002DBA7D}" uniqueName="9" name="min_product_price" queryTableFieldId="9"/>
    <tableColumn id="10" xr3:uid="{40AF13AC-4D80-48C2-9855-9BAF0557211B}" uniqueName="10" name="max_product_price" queryTableFieldId="10"/>
    <tableColumn id="11" xr3:uid="{243749FC-4C2E-4E9D-86FC-A860FB7F2875}" uniqueName="11" name="inventory_value" queryTableFieldId="11"/>
    <tableColumn id="12" xr3:uid="{89E7E2B0-19CC-4E6D-92BC-02DD03324BAA}" uniqueName="12" name="discontinued_products" queryTableFieldId="12"/>
  </tableColumns>
  <tableStyleInfo name="TableStyleMedium7"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733A6361-0476-4514-AD5D-EDE0CF887880}" name="Query_12_b" displayName="Query_12_b" ref="A1:E17" tableType="queryTable" totalsRowShown="0">
  <autoFilter ref="A1:E17" xr:uid="{733A6361-0476-4514-AD5D-EDE0CF887880}"/>
  <tableColumns count="5">
    <tableColumn id="1" xr3:uid="{3DC3AD1C-5A73-42EB-9DB2-5AC7C390DFDA}" uniqueName="1" name="Country" queryTableFieldId="1" dataDxfId="23"/>
    <tableColumn id="2" xr3:uid="{D667856F-431B-4510-909C-E4DFC82DC3BD}" uniqueName="2" name="supplier_count" queryTableFieldId="2"/>
    <tableColumn id="3" xr3:uid="{552FCF4B-A955-4907-AD9D-7A8B0CECA6E5}" uniqueName="3" name="products_count" queryTableFieldId="3"/>
    <tableColumn id="4" xr3:uid="{C0D8EF79-FF0D-4834-B2BC-B80785D3A9DC}" uniqueName="4" name="avg_price" queryTableFieldId="4"/>
    <tableColumn id="5" xr3:uid="{71170CEB-B8EC-4F53-91C3-A7E8437B34C7}" uniqueName="5" name="total_inventory_value" queryTableFieldId="5"/>
  </tableColumns>
  <tableStyleInfo name="TableStyleMedium7"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F9DA74F3-8B9E-4029-A943-484E03C2BCFC}" name="Query_12_c" displayName="Query_12_c" ref="A1:E30" tableType="queryTable" totalsRowShown="0">
  <autoFilter ref="A1:E30" xr:uid="{F9DA74F3-8B9E-4029-A943-484E03C2BCFC}"/>
  <tableColumns count="5">
    <tableColumn id="1" xr3:uid="{17CDAB34-D600-4A57-A52B-524AD3B1674C}" uniqueName="1" name="City" queryTableFieldId="1" dataDxfId="22"/>
    <tableColumn id="2" xr3:uid="{927F9564-CB43-4548-8940-D75EDB2C71FE}" uniqueName="2" name="supplier_count" queryTableFieldId="2"/>
    <tableColumn id="3" xr3:uid="{68CBF2D7-6417-40A1-BC6B-9AFF9D9280CA}" uniqueName="3" name="products_count" queryTableFieldId="3"/>
    <tableColumn id="4" xr3:uid="{B83EE849-52F8-4A17-AFB5-5D428FB65113}" uniqueName="4" name="avg_price" queryTableFieldId="4"/>
    <tableColumn id="5" xr3:uid="{6F7B2C88-748C-4996-AC63-A1AB1BD018F9}" uniqueName="5" name="total_inventory_value" queryTableFieldId="5"/>
  </tableColumns>
  <tableStyleInfo name="TableStyleMedium7"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5C9960A1-2D7F-4A8B-A475-BD7F73443249}" name="Query_12_a48" displayName="Query_12_a48" ref="J2:U31" tableType="queryTable" totalsRowShown="0">
  <autoFilter ref="J2:U31" xr:uid="{5C9960A1-2D7F-4A8B-A475-BD7F73443249}"/>
  <tableColumns count="12">
    <tableColumn id="1" xr3:uid="{1CA58877-478F-4514-B5E6-DFD2B7492C75}" uniqueName="1" name="SupplierID" queryTableFieldId="1"/>
    <tableColumn id="2" xr3:uid="{7D891044-8E86-4583-803F-F0EDABE0C785}" uniqueName="2" name="supplier_name" queryTableFieldId="2" dataDxfId="21"/>
    <tableColumn id="3" xr3:uid="{DA1CFEDF-FA48-46D9-AC7A-28928A800D52}" uniqueName="3" name="supplier_country" queryTableFieldId="3" dataDxfId="20"/>
    <tableColumn id="4" xr3:uid="{8BBE614B-99FF-419D-8455-9525ECE3FB5F}" uniqueName="4" name="supplier_city" queryTableFieldId="4" dataDxfId="19"/>
    <tableColumn id="5" xr3:uid="{21A5AB55-E379-4AF2-954D-D8B52F4485C6}" uniqueName="5" name="supplier_region" queryTableFieldId="5" dataDxfId="18"/>
    <tableColumn id="6" xr3:uid="{57258CAB-FAB9-4A00-B50F-5FBBB3625DE0}" uniqueName="6" name="products_supplied" queryTableFieldId="6"/>
    <tableColumn id="7" xr3:uid="{82A9ADFC-0434-48BC-A5E0-0E7670D77AFF}" uniqueName="7" name="categories_covered" queryTableFieldId="7"/>
    <tableColumn id="8" xr3:uid="{D61D7C8D-EEBE-488B-B5B9-3C8EFA3DE0F3}" uniqueName="8" name="avg_product_price" queryTableFieldId="8"/>
    <tableColumn id="9" xr3:uid="{46FEB5EE-12DF-4F8E-87D9-4DBE345A7505}" uniqueName="9" name="min_product_price" queryTableFieldId="9"/>
    <tableColumn id="10" xr3:uid="{2F689C41-6638-4B48-B42C-B8C622DD41D8}" uniqueName="10" name="max_product_price" queryTableFieldId="10"/>
    <tableColumn id="11" xr3:uid="{CFF04523-AD76-46CD-AD81-D3D8DCCA9758}" uniqueName="11" name="inventory_value" queryTableFieldId="11"/>
    <tableColumn id="12" xr3:uid="{9C479E08-B17A-45A8-948D-D9EA2AD6258E}" uniqueName="12" name="discontinued_products" queryTableFieldId="12"/>
  </tableColumns>
  <tableStyleInfo name="TableStyleMedium7"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F5D1FC64-3E9F-4042-B877-F0F1FD37810E}" name="Query_12_b50" displayName="Query_12_b50" ref="H35:L51" tableType="queryTable" totalsRowShown="0">
  <autoFilter ref="H35:L51" xr:uid="{F5D1FC64-3E9F-4042-B877-F0F1FD37810E}"/>
  <tableColumns count="5">
    <tableColumn id="1" xr3:uid="{F771B1DE-0D37-46C1-A472-D980BA6157A9}" uniqueName="1" name="Country" queryTableFieldId="1" dataDxfId="17"/>
    <tableColumn id="2" xr3:uid="{B6D452A0-C3F4-46DD-BD3A-32BD1C197D1C}" uniqueName="2" name="supplier_count" queryTableFieldId="2"/>
    <tableColumn id="3" xr3:uid="{D2560533-C6E6-492E-B5E0-A09927C9B887}" uniqueName="3" name="products_count" queryTableFieldId="3"/>
    <tableColumn id="4" xr3:uid="{A3745BB2-DD43-4A6B-B51F-F48CCEB19E34}" uniqueName="4" name="avg_price" queryTableFieldId="4"/>
    <tableColumn id="5" xr3:uid="{65294C7A-7CF9-4F2F-8054-557E7B2DD3DA}" uniqueName="5" name="total_inventory_value" queryTableFieldId="5"/>
  </tableColumns>
  <tableStyleInfo name="TableStyleMedium7"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D7953654-2533-4A56-A7A0-51C86385D463}" name="Query_12_c52" displayName="Query_12_c52" ref="H64:L93" tableType="queryTable" totalsRowShown="0">
  <autoFilter ref="H64:L93" xr:uid="{D7953654-2533-4A56-A7A0-51C86385D463}"/>
  <tableColumns count="5">
    <tableColumn id="1" xr3:uid="{94F8938F-802A-4EB9-897D-4915DF40BE2C}" uniqueName="1" name="City" queryTableFieldId="1" dataDxfId="16"/>
    <tableColumn id="2" xr3:uid="{0A4BF86C-D63E-4413-81F3-455EB80FA54B}" uniqueName="2" name="supplier_count" queryTableFieldId="2"/>
    <tableColumn id="3" xr3:uid="{0EE29A16-A219-4174-A212-8327C9FC6B08}" uniqueName="3" name="products_count" queryTableFieldId="3"/>
    <tableColumn id="4" xr3:uid="{7E9F7004-7524-45A2-AD08-0B90ECA2D189}" uniqueName="4" name="avg_price" queryTableFieldId="4"/>
    <tableColumn id="5" xr3:uid="{66FD2ECC-37D0-4FBF-9F11-A23F385B43A2}" uniqueName="5" name="total_inventory_value" queryTableFieldId="5"/>
  </tableColumns>
  <tableStyleInfo name="TableStyleMedium7"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323389BE-514A-473A-85ED-D11017D48C15}" name="Query_13_a" displayName="Query_13_a" ref="A1:H50" tableType="queryTable" totalsRowShown="0">
  <autoFilter ref="A1:H50" xr:uid="{323389BE-514A-473A-85ED-D11017D48C15}"/>
  <tableColumns count="8">
    <tableColumn id="1" xr3:uid="{202CCAD8-6B99-4AF0-BD04-168CCDFA6ABC}" uniqueName="1" name="SupplierID" queryTableFieldId="1"/>
    <tableColumn id="2" xr3:uid="{68ABF484-FE32-47D4-8460-732FFC3D9D54}" uniqueName="2" name="supplier_name" queryTableFieldId="2" dataDxfId="15"/>
    <tableColumn id="3" xr3:uid="{BDD64576-5940-4D96-BF89-3105A2B4361E}" uniqueName="3" name="Country" queryTableFieldId="3" dataDxfId="14"/>
    <tableColumn id="4" xr3:uid="{A6179DD3-DFF5-4F78-B129-AC076FECA4D9}" uniqueName="4" name="CategoryID" queryTableFieldId="4"/>
    <tableColumn id="5" xr3:uid="{4F5F8E2A-6467-40BF-911B-D16EE2627E82}" uniqueName="5" name="CategoryName" queryTableFieldId="5" dataDxfId="13"/>
    <tableColumn id="6" xr3:uid="{A1864E31-3113-49AD-94B4-9E84B1E84EAC}" uniqueName="6" name="products_in_category" queryTableFieldId="6"/>
    <tableColumn id="7" xr3:uid="{073E8EA2-64A3-4D54-8C18-F8FDBD0CBB80}" uniqueName="7" name="avg_price_in_category" queryTableFieldId="7"/>
    <tableColumn id="8" xr3:uid="{6BE7EBCE-BCFE-4105-9A7B-4D95EE49FEDE}" uniqueName="8" name="stock_in_category" queryTableFieldId="8"/>
  </tableColumns>
  <tableStyleInfo name="TableStyleMedium7"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12499745-80FF-44F7-8A70-9954FAB91054}" name="Query_13_b" displayName="Query_13_b" ref="A1:E9" tableType="queryTable" totalsRowShown="0">
  <autoFilter ref="A1:E9" xr:uid="{12499745-80FF-44F7-8A70-9954FAB91054}"/>
  <tableColumns count="5">
    <tableColumn id="1" xr3:uid="{B4F70062-A353-4BA0-85A9-E87C6E46D622}" uniqueName="1" name="CategoryName" queryTableFieldId="1" dataDxfId="12"/>
    <tableColumn id="2" xr3:uid="{F410212A-EAD9-45A7-8B4D-C0C40940BD49}" uniqueName="2" name="supplier_count" queryTableFieldId="2"/>
    <tableColumn id="3" xr3:uid="{FA0E11DE-F4D2-4F2C-9ADB-19B0E4FAB596}" uniqueName="3" name="product_count" queryTableFieldId="3"/>
    <tableColumn id="4" xr3:uid="{ACFED863-205B-47D6-BEA5-9758687EA78A}" uniqueName="4" name="avg_price" queryTableFieldId="4"/>
    <tableColumn id="5" xr3:uid="{ECC5671E-BF11-4E72-8818-094E9D14EAAE}" uniqueName="5" name="suppliers_list" queryTableFieldId="5" dataDxfId="11"/>
  </tableColumns>
  <tableStyleInfo name="TableStyleMedium7"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43F24070-303D-4E62-9CA6-884A9AC91EF9}" name="Query_13_a55" displayName="Query_13_a55" ref="J2:Q51" tableType="queryTable" totalsRowShown="0">
  <autoFilter ref="J2:Q51" xr:uid="{43F24070-303D-4E62-9CA6-884A9AC91EF9}"/>
  <tableColumns count="8">
    <tableColumn id="1" xr3:uid="{9B5CA901-AF2D-4F71-9705-125DCDC9617B}" uniqueName="1" name="SupplierID" queryTableFieldId="1"/>
    <tableColumn id="2" xr3:uid="{F5027987-E98A-451D-B150-000A65054305}" uniqueName="2" name="supplier_name" queryTableFieldId="2" dataDxfId="10"/>
    <tableColumn id="3" xr3:uid="{62669BD7-D9AC-477C-81A0-AB6CF205A9CA}" uniqueName="3" name="Country" queryTableFieldId="3" dataDxfId="9"/>
    <tableColumn id="4" xr3:uid="{59CDC71E-36AA-4352-8470-3C3243A2520D}" uniqueName="4" name="CategoryID" queryTableFieldId="4"/>
    <tableColumn id="5" xr3:uid="{1CBB9EAE-7BF2-4CC0-8969-DB7673BB5AEE}" uniqueName="5" name="CategoryName" queryTableFieldId="5" dataDxfId="8"/>
    <tableColumn id="6" xr3:uid="{30F18EB6-A519-4BAC-B05F-4F672F6F8194}" uniqueName="6" name="products_in_category" queryTableFieldId="6"/>
    <tableColumn id="7" xr3:uid="{B4A840B8-98F8-4715-8C15-8D6419D4B70B}" uniqueName="7" name="avg_price_in_category" queryTableFieldId="7"/>
    <tableColumn id="8" xr3:uid="{976B0B70-3ABF-4504-8176-B535786AD219}" uniqueName="8" name="stock_in_category" queryTableFieldId="8"/>
  </tableColumns>
  <tableStyleInfo name="TableStyleMedium7"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9DBE710D-8EAA-4DF0-83F4-9397F8B1F719}" name="Query_13_b57" displayName="Query_13_b57" ref="I55:M63" tableType="queryTable" totalsRowShown="0">
  <autoFilter ref="I55:M63" xr:uid="{9DBE710D-8EAA-4DF0-83F4-9397F8B1F719}"/>
  <tableColumns count="5">
    <tableColumn id="1" xr3:uid="{B98AA092-DF67-4E76-9F48-5995E372DD82}" uniqueName="1" name="CategoryName" queryTableFieldId="1" dataDxfId="7"/>
    <tableColumn id="2" xr3:uid="{01904023-589A-4274-9CA0-B0DF3531988B}" uniqueName="2" name="supplier_count" queryTableFieldId="2"/>
    <tableColumn id="3" xr3:uid="{73BDE592-14BB-4E4E-92EC-A650BA23C1BE}" uniqueName="3" name="product_count" queryTableFieldId="3"/>
    <tableColumn id="4" xr3:uid="{3230504C-62B9-4459-B0F7-F12682E0D546}" uniqueName="4" name="avg_price" queryTableFieldId="4"/>
    <tableColumn id="5" xr3:uid="{65C8FCC4-79C0-4C09-951D-38C1CBEE1B5C}" uniqueName="5" name="suppliers_list" queryTableFieldId="5" dataDxfId="6"/>
  </tableColumns>
  <tableStyleInfo name="TableStyleMedium7"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1BA3898C-B2D0-48FB-99AF-C3B261380FA0}" name="Query_14" displayName="Query_14" ref="A1:L48" tableType="queryTable" totalsRowShown="0">
  <autoFilter ref="A1:L48" xr:uid="{1BA3898C-B2D0-48FB-99AF-C3B261380FA0}"/>
  <tableColumns count="12">
    <tableColumn id="1" xr3:uid="{67E5FA45-B507-4F3D-B18A-34FD681129AD}" uniqueName="1" name="supplier_country" queryTableFieldId="1" dataDxfId="5"/>
    <tableColumn id="2" xr3:uid="{1DEE71C2-F99C-4DE9-9A52-BF861CF02B53}" uniqueName="2" name="supplier_region" queryTableFieldId="2" dataDxfId="4"/>
    <tableColumn id="3" xr3:uid="{78232F66-B077-492D-85F0-07BA626952DE}" uniqueName="3" name="CategoryName" queryTableFieldId="3" dataDxfId="3"/>
    <tableColumn id="4" xr3:uid="{072A95C6-BD62-4B19-B23D-3D1BC9A88952}" uniqueName="4" name="suppliers_in_segment" queryTableFieldId="4"/>
    <tableColumn id="5" xr3:uid="{429C81DC-B0A3-460F-AE8C-477245E9857E}" uniqueName="5" name="products" queryTableFieldId="5"/>
    <tableColumn id="6" xr3:uid="{78FD5C3F-C7E0-482C-8A80-8FD74DD199E4}" uniqueName="6" name="avg_price" queryTableFieldId="6"/>
    <tableColumn id="7" xr3:uid="{97C44B05-15CD-472C-B6FF-28AC7F35A200}" uniqueName="7" name="min_price" queryTableFieldId="7"/>
    <tableColumn id="8" xr3:uid="{3ABC3FBA-6482-4179-9953-77C5CA965595}" uniqueName="8" name="max_price" queryTableFieldId="8"/>
    <tableColumn id="9" xr3:uid="{7AC5D0DA-ABB5-46FA-9032-390506EDAF27}" uniqueName="9" name="price_range" queryTableFieldId="9"/>
    <tableColumn id="10" xr3:uid="{62A1BCA4-D22A-4B05-A7F1-BA9E38D78C8E}" uniqueName="10" name="price_std_dev" queryTableFieldId="10"/>
    <tableColumn id="11" xr3:uid="{45DE62B0-91B7-4B1A-859B-624446A49DCC}" uniqueName="11" name="avg_actual_selling_price" queryTableFieldId="11"/>
    <tableColumn id="12" xr3:uid="{9DACC591-0A29-4AA8-8193-70332344A546}" uniqueName="12" name="avg_price_discount_given" queryTableFieldId="12"/>
  </tableColumns>
  <tableStyleInfo name="TableStyleMedium7"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3514EE93-2F7D-4869-A798-D7205269C423}" name="Query_1459" displayName="Query_1459" ref="J2:U49" tableType="queryTable" totalsRowShown="0">
  <autoFilter ref="J2:U49" xr:uid="{3514EE93-2F7D-4869-A798-D7205269C423}"/>
  <tableColumns count="12">
    <tableColumn id="1" xr3:uid="{5632A9A4-E536-45F1-AC89-877147258D41}" uniqueName="1" name="supplier_country" queryTableFieldId="1" dataDxfId="2"/>
    <tableColumn id="2" xr3:uid="{80B7D597-CAEB-4BD3-829D-5C6BE27001ED}" uniqueName="2" name="supplier_region" queryTableFieldId="2" dataDxfId="1"/>
    <tableColumn id="3" xr3:uid="{6EF350A0-381B-4B19-A0A1-829066B827D9}" uniqueName="3" name="CategoryName" queryTableFieldId="3" dataDxfId="0"/>
    <tableColumn id="4" xr3:uid="{EFB7694E-C93E-476F-AEB9-3DA6A0027913}" uniqueName="4" name="suppliers_in_segment" queryTableFieldId="4"/>
    <tableColumn id="5" xr3:uid="{EED6D0F3-4E6B-4FA8-8083-1F9DF2289EB7}" uniqueName="5" name="products" queryTableFieldId="5"/>
    <tableColumn id="6" xr3:uid="{C7773055-DB66-440F-9CF1-AFDF4D8F559D}" uniqueName="6" name="avg_price" queryTableFieldId="6"/>
    <tableColumn id="7" xr3:uid="{5BCBE47C-11CA-4EB1-848E-8E88C0F033AD}" uniqueName="7" name="min_price" queryTableFieldId="7"/>
    <tableColumn id="8" xr3:uid="{65F140B1-2DEE-4B97-B6D5-75D792319602}" uniqueName="8" name="max_price" queryTableFieldId="8"/>
    <tableColumn id="9" xr3:uid="{A2FFF1F8-1741-4E98-A3A0-CB238DCCA951}" uniqueName="9" name="price_range" queryTableFieldId="9"/>
    <tableColumn id="10" xr3:uid="{C3F3F70D-F7E4-43B4-957F-281D8F178CEC}" uniqueName="10" name="price_std_dev" queryTableFieldId="10"/>
    <tableColumn id="11" xr3:uid="{E46FC20A-90CE-4699-8ABC-4FF28F67974D}" uniqueName="11" name="avg_actual_selling_price" queryTableFieldId="11"/>
    <tableColumn id="12" xr3:uid="{D784D08D-E3C7-4B36-A417-7088053FFF69}" uniqueName="12" name="avg_price_discount_given" queryTableFieldId="12"/>
  </tableColumns>
  <tableStyleInfo name="TableStyleMedium7"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6.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printerSettings" Target="../printerSettings/printerSettings1.bin"/></Relationships>
</file>

<file path=xl/worksheets/_rels/sheet2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23.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15.xml"/><Relationship Id="rId2" Type="http://schemas.openxmlformats.org/officeDocument/2006/relationships/table" Target="../tables/table14.xml"/><Relationship Id="rId1" Type="http://schemas.openxmlformats.org/officeDocument/2006/relationships/drawing" Target="../drawings/drawing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2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2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9.xml"/></Relationships>
</file>

<file path=xl/worksheets/_rels/sheet31.xml.rels><?xml version="1.0" encoding="UTF-8" standalone="yes"?>
<Relationships xmlns="http://schemas.openxmlformats.org/package/2006/relationships"><Relationship Id="rId2" Type="http://schemas.openxmlformats.org/officeDocument/2006/relationships/table" Target="../tables/table20.xml"/><Relationship Id="rId1" Type="http://schemas.openxmlformats.org/officeDocument/2006/relationships/table" Target="../tables/table19.xml"/></Relationships>
</file>

<file path=xl/worksheets/_rels/sheet32.xml.rels><?xml version="1.0" encoding="UTF-8" standalone="yes"?>
<Relationships xmlns="http://schemas.openxmlformats.org/package/2006/relationships"><Relationship Id="rId1" Type="http://schemas.openxmlformats.org/officeDocument/2006/relationships/table" Target="../tables/table21.xml"/></Relationships>
</file>

<file path=xl/worksheets/_rels/sheet3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34.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ivotTable" Target="../pivotTables/pivotTable11.xml"/><Relationship Id="rId1" Type="http://schemas.openxmlformats.org/officeDocument/2006/relationships/pivotTable" Target="../pivotTables/pivotTable10.xml"/></Relationships>
</file>

<file path=xl/worksheets/_rels/sheet35.xml.rels><?xml version="1.0" encoding="UTF-8" standalone="yes"?>
<Relationships xmlns="http://schemas.openxmlformats.org/package/2006/relationships"><Relationship Id="rId2" Type="http://schemas.openxmlformats.org/officeDocument/2006/relationships/table" Target="../tables/table24.xml"/><Relationship Id="rId1" Type="http://schemas.openxmlformats.org/officeDocument/2006/relationships/table" Target="../tables/table23.xml"/></Relationships>
</file>

<file path=xl/worksheets/_rels/sheet36.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37.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38.xml.rels><?xml version="1.0" encoding="UTF-8" standalone="yes"?>
<Relationships xmlns="http://schemas.openxmlformats.org/package/2006/relationships"><Relationship Id="rId3" Type="http://schemas.openxmlformats.org/officeDocument/2006/relationships/drawing" Target="../drawings/drawing8.xml"/><Relationship Id="rId2" Type="http://schemas.openxmlformats.org/officeDocument/2006/relationships/pivotTable" Target="../pivotTables/pivotTable13.xml"/><Relationship Id="rId1" Type="http://schemas.openxmlformats.org/officeDocument/2006/relationships/pivotTable" Target="../pivotTables/pivotTable12.xml"/></Relationships>
</file>

<file path=xl/worksheets/_rels/sheet39.xml.rels><?xml version="1.0" encoding="UTF-8" standalone="yes"?>
<Relationships xmlns="http://schemas.openxmlformats.org/package/2006/relationships"><Relationship Id="rId2" Type="http://schemas.openxmlformats.org/officeDocument/2006/relationships/table" Target="../tables/table28.xml"/><Relationship Id="rId1" Type="http://schemas.openxmlformats.org/officeDocument/2006/relationships/table" Target="../tables/table27.xml"/></Relationships>
</file>

<file path=xl/worksheets/_rels/sheet40.xml.rels><?xml version="1.0" encoding="UTF-8" standalone="yes"?>
<Relationships xmlns="http://schemas.openxmlformats.org/package/2006/relationships"><Relationship Id="rId1" Type="http://schemas.openxmlformats.org/officeDocument/2006/relationships/table" Target="../tables/table29.xml"/></Relationships>
</file>

<file path=xl/worksheets/_rels/sheet41.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ivotTable" Target="../pivotTables/pivotTable15.xml"/><Relationship Id="rId1" Type="http://schemas.openxmlformats.org/officeDocument/2006/relationships/pivotTable" Target="../pivotTables/pivotTable14.xml"/></Relationships>
</file>

<file path=xl/worksheets/_rels/sheet42.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43.xml.rels><?xml version="1.0" encoding="UTF-8" standalone="yes"?>
<Relationships xmlns="http://schemas.openxmlformats.org/package/2006/relationships"><Relationship Id="rId1" Type="http://schemas.openxmlformats.org/officeDocument/2006/relationships/table" Target="../tables/table31.xml"/></Relationships>
</file>

<file path=xl/worksheets/_rels/sheet44.xml.rels><?xml version="1.0" encoding="UTF-8" standalone="yes"?>
<Relationships xmlns="http://schemas.openxmlformats.org/package/2006/relationships"><Relationship Id="rId3" Type="http://schemas.openxmlformats.org/officeDocument/2006/relationships/pivotTable" Target="../pivotTables/pivotTable18.xml"/><Relationship Id="rId2" Type="http://schemas.openxmlformats.org/officeDocument/2006/relationships/pivotTable" Target="../pivotTables/pivotTable17.xml"/><Relationship Id="rId1" Type="http://schemas.openxmlformats.org/officeDocument/2006/relationships/pivotTable" Target="../pivotTables/pivotTable16.xml"/><Relationship Id="rId4" Type="http://schemas.openxmlformats.org/officeDocument/2006/relationships/drawing" Target="../drawings/drawing10.xml"/></Relationships>
</file>

<file path=xl/worksheets/_rels/sheet45.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46.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47.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ivotTable" Target="../pivotTables/pivotTable20.xml"/><Relationship Id="rId1" Type="http://schemas.openxmlformats.org/officeDocument/2006/relationships/pivotTable" Target="../pivotTables/pivotTable19.xml"/></Relationships>
</file>

<file path=xl/worksheets/_rels/sheet48.xml.rels><?xml version="1.0" encoding="UTF-8" standalone="yes"?>
<Relationships xmlns="http://schemas.openxmlformats.org/package/2006/relationships"><Relationship Id="rId1" Type="http://schemas.openxmlformats.org/officeDocument/2006/relationships/table" Target="../tables/table34.xml"/></Relationships>
</file>

<file path=xl/worksheets/_rels/sheet49.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50.xml.rels><?xml version="1.0" encoding="UTF-8" standalone="yes"?>
<Relationships xmlns="http://schemas.openxmlformats.org/package/2006/relationships"><Relationship Id="rId1" Type="http://schemas.openxmlformats.org/officeDocument/2006/relationships/table" Target="../tables/table36.xml"/></Relationships>
</file>

<file path=xl/worksheets/_rels/sheet51.xml.rels><?xml version="1.0" encoding="UTF-8" standalone="yes"?>
<Relationships xmlns="http://schemas.openxmlformats.org/package/2006/relationships"><Relationship Id="rId1" Type="http://schemas.openxmlformats.org/officeDocument/2006/relationships/table" Target="../tables/table37.xml"/></Relationships>
</file>

<file path=xl/worksheets/_rels/sheet52.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ivotTable" Target="../pivotTables/pivotTable22.xml"/><Relationship Id="rId1" Type="http://schemas.openxmlformats.org/officeDocument/2006/relationships/pivotTable" Target="../pivotTables/pivotTable21.xml"/></Relationships>
</file>

<file path=xl/worksheets/_rels/sheet53.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table" Target="../tables/table39.xml"/><Relationship Id="rId1" Type="http://schemas.openxmlformats.org/officeDocument/2006/relationships/table" Target="../tables/table38.xml"/></Relationships>
</file>

<file path=xl/worksheets/_rels/sheet54.xml.rels><?xml version="1.0" encoding="UTF-8" standalone="yes"?>
<Relationships xmlns="http://schemas.openxmlformats.org/package/2006/relationships"><Relationship Id="rId1" Type="http://schemas.openxmlformats.org/officeDocument/2006/relationships/table" Target="../tables/table41.xml"/></Relationships>
</file>

<file path=xl/worksheets/_rels/sheet55.xml.rels><?xml version="1.0" encoding="UTF-8" standalone="yes"?>
<Relationships xmlns="http://schemas.openxmlformats.org/package/2006/relationships"><Relationship Id="rId1" Type="http://schemas.openxmlformats.org/officeDocument/2006/relationships/table" Target="../tables/table42.xml"/></Relationships>
</file>

<file path=xl/worksheets/_rels/sheet56.xml.rels><?xml version="1.0" encoding="UTF-8" standalone="yes"?>
<Relationships xmlns="http://schemas.openxmlformats.org/package/2006/relationships"><Relationship Id="rId3" Type="http://schemas.openxmlformats.org/officeDocument/2006/relationships/pivotTable" Target="../pivotTables/pivotTable25.xml"/><Relationship Id="rId2" Type="http://schemas.openxmlformats.org/officeDocument/2006/relationships/pivotTable" Target="../pivotTables/pivotTable24.xml"/><Relationship Id="rId1" Type="http://schemas.openxmlformats.org/officeDocument/2006/relationships/pivotTable" Target="../pivotTables/pivotTable23.xml"/><Relationship Id="rId4" Type="http://schemas.openxmlformats.org/officeDocument/2006/relationships/drawing" Target="../drawings/drawing13.xml"/></Relationships>
</file>

<file path=xl/worksheets/_rels/sheet57.xml.rels><?xml version="1.0" encoding="UTF-8" standalone="yes"?>
<Relationships xmlns="http://schemas.openxmlformats.org/package/2006/relationships"><Relationship Id="rId2" Type="http://schemas.openxmlformats.org/officeDocument/2006/relationships/table" Target="../tables/table44.xml"/><Relationship Id="rId1" Type="http://schemas.openxmlformats.org/officeDocument/2006/relationships/table" Target="../tables/table43.xml"/></Relationships>
</file>

<file path=xl/worksheets/_rels/sheet58.xml.rels><?xml version="1.0" encoding="UTF-8" standalone="yes"?>
<Relationships xmlns="http://schemas.openxmlformats.org/package/2006/relationships"><Relationship Id="rId1" Type="http://schemas.openxmlformats.org/officeDocument/2006/relationships/table" Target="../tables/table45.xml"/></Relationships>
</file>

<file path=xl/worksheets/_rels/sheet59.xml.rels><?xml version="1.0" encoding="UTF-8" standalone="yes"?>
<Relationships xmlns="http://schemas.openxmlformats.org/package/2006/relationships"><Relationship Id="rId3" Type="http://schemas.openxmlformats.org/officeDocument/2006/relationships/drawing" Target="../drawings/drawing14.xml"/><Relationship Id="rId2" Type="http://schemas.openxmlformats.org/officeDocument/2006/relationships/pivotTable" Target="../pivotTables/pivotTable27.xml"/><Relationship Id="rId1" Type="http://schemas.openxmlformats.org/officeDocument/2006/relationships/pivotTable" Target="../pivotTables/pivotTable26.xml"/></Relationships>
</file>

<file path=xl/worksheets/_rels/sheet60.xml.rels><?xml version="1.0" encoding="UTF-8" standalone="yes"?>
<Relationships xmlns="http://schemas.openxmlformats.org/package/2006/relationships"><Relationship Id="rId1" Type="http://schemas.openxmlformats.org/officeDocument/2006/relationships/table" Target="../tables/table46.xml"/></Relationships>
</file>

<file path=xl/worksheets/_rels/sheet61.xml.rels><?xml version="1.0" encoding="UTF-8" standalone="yes"?>
<Relationships xmlns="http://schemas.openxmlformats.org/package/2006/relationships"><Relationship Id="rId3" Type="http://schemas.openxmlformats.org/officeDocument/2006/relationships/drawing" Target="../drawings/drawing15.xml"/><Relationship Id="rId2" Type="http://schemas.openxmlformats.org/officeDocument/2006/relationships/pivotTable" Target="../pivotTables/pivotTable29.xml"/><Relationship Id="rId1" Type="http://schemas.openxmlformats.org/officeDocument/2006/relationships/pivotTable" Target="../pivotTables/pivotTable2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L30"/>
  <sheetViews>
    <sheetView workbookViewId="0"/>
  </sheetViews>
  <sheetFormatPr baseColWidth="10" defaultColWidth="12.6640625" defaultRowHeight="15.75" customHeight="1"/>
  <cols>
    <col min="8" max="8" width="12.6640625" style="4"/>
    <col min="10" max="11" width="12.6640625" style="4"/>
  </cols>
  <sheetData>
    <row r="1" spans="1:12" ht="15.75" customHeight="1">
      <c r="A1" s="1" t="s">
        <v>0</v>
      </c>
      <c r="B1" s="1" t="s">
        <v>1</v>
      </c>
      <c r="C1" s="1" t="s">
        <v>2</v>
      </c>
      <c r="D1" s="1" t="s">
        <v>3</v>
      </c>
      <c r="E1" s="1" t="s">
        <v>4</v>
      </c>
      <c r="F1" s="1" t="s">
        <v>5</v>
      </c>
      <c r="G1" s="1" t="s">
        <v>6</v>
      </c>
      <c r="H1" s="3" t="s">
        <v>7</v>
      </c>
      <c r="I1" s="1" t="s">
        <v>8</v>
      </c>
      <c r="J1" s="3" t="s">
        <v>9</v>
      </c>
      <c r="K1" s="3" t="s">
        <v>10</v>
      </c>
      <c r="L1" s="1" t="s">
        <v>11</v>
      </c>
    </row>
    <row r="2" spans="1:12" ht="15.75" customHeight="1">
      <c r="A2" s="1">
        <v>1</v>
      </c>
      <c r="B2" s="1" t="s">
        <v>12</v>
      </c>
      <c r="C2" s="1" t="s">
        <v>13</v>
      </c>
      <c r="D2" s="1" t="s">
        <v>14</v>
      </c>
      <c r="E2" s="1" t="s">
        <v>15</v>
      </c>
      <c r="F2" s="1" t="s">
        <v>16</v>
      </c>
      <c r="H2" s="3" t="s">
        <v>17</v>
      </c>
      <c r="I2" s="1" t="s">
        <v>18</v>
      </c>
      <c r="J2" s="3" t="s">
        <v>19</v>
      </c>
    </row>
    <row r="3" spans="1:12" ht="15.75" customHeight="1">
      <c r="A3" s="1">
        <v>2</v>
      </c>
      <c r="B3" s="1" t="s">
        <v>20</v>
      </c>
      <c r="C3" s="1" t="s">
        <v>21</v>
      </c>
      <c r="D3" s="1" t="s">
        <v>22</v>
      </c>
      <c r="E3" s="1" t="s">
        <v>23</v>
      </c>
      <c r="F3" s="1" t="s">
        <v>24</v>
      </c>
      <c r="G3" s="1" t="s">
        <v>25</v>
      </c>
      <c r="H3" s="3">
        <v>70117</v>
      </c>
      <c r="I3" s="1" t="s">
        <v>26</v>
      </c>
      <c r="J3" s="3" t="s">
        <v>27</v>
      </c>
      <c r="L3" s="1" t="s">
        <v>28</v>
      </c>
    </row>
    <row r="4" spans="1:12" ht="15.75" customHeight="1">
      <c r="A4" s="1">
        <v>3</v>
      </c>
      <c r="B4" s="1" t="s">
        <v>29</v>
      </c>
      <c r="C4" s="1" t="s">
        <v>30</v>
      </c>
      <c r="D4" s="1" t="s">
        <v>31</v>
      </c>
      <c r="E4" s="1" t="s">
        <v>32</v>
      </c>
      <c r="F4" s="1" t="s">
        <v>33</v>
      </c>
      <c r="G4" s="1" t="s">
        <v>34</v>
      </c>
      <c r="H4" s="3">
        <v>48104</v>
      </c>
      <c r="I4" s="1" t="s">
        <v>26</v>
      </c>
      <c r="J4" s="3" t="s">
        <v>35</v>
      </c>
      <c r="K4" s="3" t="s">
        <v>36</v>
      </c>
    </row>
    <row r="5" spans="1:12" ht="15.75" customHeight="1">
      <c r="A5" s="1">
        <v>4</v>
      </c>
      <c r="B5" s="1" t="s">
        <v>37</v>
      </c>
      <c r="C5" s="1" t="s">
        <v>38</v>
      </c>
      <c r="D5" s="1" t="s">
        <v>39</v>
      </c>
      <c r="E5" s="1" t="s">
        <v>40</v>
      </c>
      <c r="F5" s="1" t="s">
        <v>41</v>
      </c>
      <c r="H5" s="3">
        <v>100</v>
      </c>
      <c r="I5" s="1" t="s">
        <v>42</v>
      </c>
      <c r="J5" s="3" t="s">
        <v>43</v>
      </c>
    </row>
    <row r="6" spans="1:12" ht="15.75" customHeight="1">
      <c r="A6" s="1">
        <v>5</v>
      </c>
      <c r="B6" s="1" t="s">
        <v>44</v>
      </c>
      <c r="C6" s="1" t="s">
        <v>45</v>
      </c>
      <c r="D6" s="1" t="s">
        <v>46</v>
      </c>
      <c r="E6" s="1" t="s">
        <v>47</v>
      </c>
      <c r="F6" s="1" t="s">
        <v>48</v>
      </c>
      <c r="G6" s="1" t="s">
        <v>49</v>
      </c>
      <c r="H6" s="3">
        <v>33007</v>
      </c>
      <c r="I6" s="1" t="s">
        <v>50</v>
      </c>
      <c r="J6" s="3" t="s">
        <v>51</v>
      </c>
    </row>
    <row r="7" spans="1:12" ht="15.75" customHeight="1">
      <c r="A7" s="1">
        <v>6</v>
      </c>
      <c r="B7" s="1" t="s">
        <v>52</v>
      </c>
      <c r="C7" s="1" t="s">
        <v>53</v>
      </c>
      <c r="D7" s="1" t="s">
        <v>54</v>
      </c>
      <c r="E7" s="1" t="s">
        <v>55</v>
      </c>
      <c r="F7" s="1" t="s">
        <v>56</v>
      </c>
      <c r="H7" s="3">
        <v>545</v>
      </c>
      <c r="I7" s="1" t="s">
        <v>42</v>
      </c>
      <c r="J7" s="3" t="s">
        <v>57</v>
      </c>
      <c r="L7" s="1" t="s">
        <v>58</v>
      </c>
    </row>
    <row r="8" spans="1:12" ht="15.75" customHeight="1">
      <c r="A8" s="1">
        <v>7</v>
      </c>
      <c r="B8" s="1" t="s">
        <v>59</v>
      </c>
      <c r="C8" s="1" t="s">
        <v>60</v>
      </c>
      <c r="D8" s="1" t="s">
        <v>39</v>
      </c>
      <c r="E8" s="1" t="s">
        <v>61</v>
      </c>
      <c r="F8" s="1" t="s">
        <v>62</v>
      </c>
      <c r="G8" s="1" t="s">
        <v>63</v>
      </c>
      <c r="H8" s="3">
        <v>3058</v>
      </c>
      <c r="I8" s="1" t="s">
        <v>64</v>
      </c>
      <c r="J8" s="3" t="s">
        <v>65</v>
      </c>
      <c r="K8" s="3" t="s">
        <v>66</v>
      </c>
    </row>
    <row r="9" spans="1:12" ht="15.75" customHeight="1">
      <c r="A9" s="1">
        <v>8</v>
      </c>
      <c r="B9" s="1" t="s">
        <v>67</v>
      </c>
      <c r="C9" s="1" t="s">
        <v>68</v>
      </c>
      <c r="D9" s="1" t="s">
        <v>31</v>
      </c>
      <c r="E9" s="1" t="s">
        <v>69</v>
      </c>
      <c r="F9" s="1" t="s">
        <v>70</v>
      </c>
      <c r="H9" s="3" t="s">
        <v>71</v>
      </c>
      <c r="I9" s="1" t="s">
        <v>18</v>
      </c>
      <c r="J9" s="3" t="s">
        <v>72</v>
      </c>
    </row>
    <row r="10" spans="1:12" ht="15.75" customHeight="1">
      <c r="A10" s="1">
        <v>9</v>
      </c>
      <c r="B10" s="1" t="s">
        <v>73</v>
      </c>
      <c r="C10" s="1" t="s">
        <v>74</v>
      </c>
      <c r="D10" s="1" t="s">
        <v>75</v>
      </c>
      <c r="E10" s="1" t="s">
        <v>76</v>
      </c>
      <c r="F10" s="1" t="s">
        <v>77</v>
      </c>
      <c r="H10" s="3" t="s">
        <v>78</v>
      </c>
      <c r="I10" s="1" t="s">
        <v>79</v>
      </c>
      <c r="J10" s="3" t="s">
        <v>80</v>
      </c>
      <c r="K10" s="3" t="s">
        <v>81</v>
      </c>
    </row>
    <row r="11" spans="1:12" ht="15.75" customHeight="1">
      <c r="A11" s="1">
        <v>10</v>
      </c>
      <c r="B11" s="1" t="s">
        <v>82</v>
      </c>
      <c r="C11" s="1" t="s">
        <v>83</v>
      </c>
      <c r="D11" s="1" t="s">
        <v>39</v>
      </c>
      <c r="E11" s="1" t="s">
        <v>84</v>
      </c>
      <c r="F11" s="1" t="s">
        <v>85</v>
      </c>
      <c r="H11" s="3">
        <v>5442</v>
      </c>
      <c r="I11" s="1" t="s">
        <v>86</v>
      </c>
      <c r="J11" s="3" t="s">
        <v>87</v>
      </c>
    </row>
    <row r="12" spans="1:12" ht="15.75" customHeight="1">
      <c r="A12" s="1">
        <v>11</v>
      </c>
      <c r="B12" s="1" t="s">
        <v>88</v>
      </c>
      <c r="C12" s="1" t="s">
        <v>89</v>
      </c>
      <c r="D12" s="1" t="s">
        <v>90</v>
      </c>
      <c r="E12" s="1" t="s">
        <v>91</v>
      </c>
      <c r="F12" s="1" t="s">
        <v>92</v>
      </c>
      <c r="H12" s="3">
        <v>10785</v>
      </c>
      <c r="I12" s="1" t="s">
        <v>93</v>
      </c>
      <c r="J12" s="3" t="s">
        <v>94</v>
      </c>
    </row>
    <row r="13" spans="1:12" ht="15.75" customHeight="1">
      <c r="A13" s="1">
        <v>12</v>
      </c>
      <c r="B13" s="1" t="s">
        <v>95</v>
      </c>
      <c r="C13" s="1" t="s">
        <v>96</v>
      </c>
      <c r="D13" s="1" t="s">
        <v>97</v>
      </c>
      <c r="E13" s="1" t="s">
        <v>98</v>
      </c>
      <c r="F13" s="1" t="s">
        <v>99</v>
      </c>
      <c r="H13" s="3">
        <v>60439</v>
      </c>
      <c r="I13" s="1" t="s">
        <v>93</v>
      </c>
      <c r="J13" s="3" t="s">
        <v>100</v>
      </c>
      <c r="L13" s="1" t="s">
        <v>101</v>
      </c>
    </row>
    <row r="14" spans="1:12" ht="15.75" customHeight="1">
      <c r="A14" s="1">
        <v>13</v>
      </c>
      <c r="B14" s="1" t="s">
        <v>102</v>
      </c>
      <c r="C14" s="1" t="s">
        <v>103</v>
      </c>
      <c r="D14" s="1" t="s">
        <v>104</v>
      </c>
      <c r="E14" s="1" t="s">
        <v>105</v>
      </c>
      <c r="F14" s="1" t="s">
        <v>106</v>
      </c>
      <c r="H14" s="3">
        <v>27478</v>
      </c>
      <c r="I14" s="1" t="s">
        <v>93</v>
      </c>
      <c r="J14" s="3" t="s">
        <v>107</v>
      </c>
      <c r="K14" s="3" t="s">
        <v>108</v>
      </c>
    </row>
    <row r="15" spans="1:12" ht="15.75" customHeight="1">
      <c r="A15" s="1">
        <v>14</v>
      </c>
      <c r="B15" s="1" t="s">
        <v>109</v>
      </c>
      <c r="C15" s="1" t="s">
        <v>110</v>
      </c>
      <c r="D15" s="1" t="s">
        <v>31</v>
      </c>
      <c r="E15" s="1" t="s">
        <v>111</v>
      </c>
      <c r="F15" s="1" t="s">
        <v>112</v>
      </c>
      <c r="H15" s="3">
        <v>48100</v>
      </c>
      <c r="I15" s="1" t="s">
        <v>113</v>
      </c>
      <c r="J15" s="3" t="s">
        <v>114</v>
      </c>
      <c r="K15" s="3" t="s">
        <v>115</v>
      </c>
      <c r="L15" s="1" t="s">
        <v>116</v>
      </c>
    </row>
    <row r="16" spans="1:12" ht="15.75" customHeight="1">
      <c r="A16" s="1">
        <v>15</v>
      </c>
      <c r="B16" s="1" t="s">
        <v>117</v>
      </c>
      <c r="C16" s="1" t="s">
        <v>118</v>
      </c>
      <c r="D16" s="1" t="s">
        <v>39</v>
      </c>
      <c r="E16" s="1" t="s">
        <v>119</v>
      </c>
      <c r="F16" s="1" t="s">
        <v>120</v>
      </c>
      <c r="H16" s="3">
        <v>1320</v>
      </c>
      <c r="I16" s="1" t="s">
        <v>121</v>
      </c>
      <c r="J16" s="3" t="s">
        <v>122</v>
      </c>
    </row>
    <row r="17" spans="1:12" ht="15.75" customHeight="1">
      <c r="A17" s="1">
        <v>16</v>
      </c>
      <c r="B17" s="1" t="s">
        <v>123</v>
      </c>
      <c r="C17" s="1" t="s">
        <v>124</v>
      </c>
      <c r="D17" s="1" t="s">
        <v>125</v>
      </c>
      <c r="E17" s="1" t="s">
        <v>126</v>
      </c>
      <c r="F17" s="1" t="s">
        <v>127</v>
      </c>
      <c r="G17" s="1" t="s">
        <v>128</v>
      </c>
      <c r="H17" s="3">
        <v>97101</v>
      </c>
      <c r="I17" s="1" t="s">
        <v>26</v>
      </c>
      <c r="J17" s="3" t="s">
        <v>129</v>
      </c>
    </row>
    <row r="18" spans="1:12" ht="15.75" customHeight="1">
      <c r="A18" s="1">
        <v>17</v>
      </c>
      <c r="B18" s="1" t="s">
        <v>130</v>
      </c>
      <c r="C18" s="1" t="s">
        <v>131</v>
      </c>
      <c r="D18" s="1" t="s">
        <v>31</v>
      </c>
      <c r="E18" s="1" t="s">
        <v>132</v>
      </c>
      <c r="F18" s="1" t="s">
        <v>133</v>
      </c>
      <c r="H18" s="3" t="s">
        <v>134</v>
      </c>
      <c r="I18" s="1" t="s">
        <v>79</v>
      </c>
      <c r="J18" s="3" t="s">
        <v>135</v>
      </c>
    </row>
    <row r="19" spans="1:12" ht="15.75" customHeight="1">
      <c r="A19" s="1">
        <v>18</v>
      </c>
      <c r="B19" s="1" t="s">
        <v>136</v>
      </c>
      <c r="C19" s="1" t="s">
        <v>137</v>
      </c>
      <c r="D19" s="1" t="s">
        <v>90</v>
      </c>
      <c r="E19" s="1" t="s">
        <v>138</v>
      </c>
      <c r="F19" s="1" t="s">
        <v>139</v>
      </c>
      <c r="H19" s="3">
        <v>75004</v>
      </c>
      <c r="I19" s="1" t="s">
        <v>140</v>
      </c>
      <c r="J19" s="3" t="s">
        <v>141</v>
      </c>
      <c r="K19" s="3" t="s">
        <v>142</v>
      </c>
    </row>
    <row r="20" spans="1:12" ht="15.75" customHeight="1">
      <c r="A20" s="1">
        <v>19</v>
      </c>
      <c r="B20" s="1" t="s">
        <v>143</v>
      </c>
      <c r="C20" s="1" t="s">
        <v>144</v>
      </c>
      <c r="D20" s="1" t="s">
        <v>145</v>
      </c>
      <c r="E20" s="1" t="s">
        <v>146</v>
      </c>
      <c r="F20" s="1" t="s">
        <v>147</v>
      </c>
      <c r="G20" s="1" t="s">
        <v>148</v>
      </c>
      <c r="H20" s="3">
        <v>2134</v>
      </c>
      <c r="I20" s="1" t="s">
        <v>26</v>
      </c>
      <c r="J20" s="3" t="s">
        <v>149</v>
      </c>
      <c r="K20" s="3" t="s">
        <v>150</v>
      </c>
    </row>
    <row r="21" spans="1:12" ht="15.75" customHeight="1">
      <c r="A21" s="1">
        <v>20</v>
      </c>
      <c r="B21" s="1" t="s">
        <v>151</v>
      </c>
      <c r="C21" s="1" t="s">
        <v>152</v>
      </c>
      <c r="D21" s="1" t="s">
        <v>153</v>
      </c>
      <c r="E21" s="1" t="s">
        <v>154</v>
      </c>
      <c r="F21" s="1" t="s">
        <v>155</v>
      </c>
      <c r="H21" s="3">
        <v>512</v>
      </c>
      <c r="I21" s="1" t="s">
        <v>155</v>
      </c>
      <c r="J21" s="3" t="s">
        <v>156</v>
      </c>
    </row>
    <row r="22" spans="1:12" ht="15.75" customHeight="1">
      <c r="A22" s="1">
        <v>21</v>
      </c>
      <c r="B22" s="1" t="s">
        <v>157</v>
      </c>
      <c r="C22" s="1" t="s">
        <v>158</v>
      </c>
      <c r="D22" s="1" t="s">
        <v>90</v>
      </c>
      <c r="E22" s="1" t="s">
        <v>159</v>
      </c>
      <c r="F22" s="1" t="s">
        <v>160</v>
      </c>
      <c r="H22" s="3">
        <v>2800</v>
      </c>
      <c r="I22" s="1" t="s">
        <v>161</v>
      </c>
      <c r="J22" s="3">
        <v>43844108</v>
      </c>
      <c r="K22" s="3">
        <v>43844115</v>
      </c>
    </row>
    <row r="23" spans="1:12" ht="15.75" customHeight="1">
      <c r="A23" s="1">
        <v>22</v>
      </c>
      <c r="B23" s="1" t="s">
        <v>162</v>
      </c>
      <c r="C23" s="1" t="s">
        <v>163</v>
      </c>
      <c r="D23" s="1" t="s">
        <v>164</v>
      </c>
      <c r="E23" s="1" t="s">
        <v>165</v>
      </c>
      <c r="F23" s="1" t="s">
        <v>166</v>
      </c>
      <c r="H23" s="3" t="s">
        <v>167</v>
      </c>
      <c r="I23" s="1" t="s">
        <v>168</v>
      </c>
      <c r="J23" s="3" t="s">
        <v>169</v>
      </c>
      <c r="K23" s="3" t="s">
        <v>170</v>
      </c>
    </row>
    <row r="24" spans="1:12" ht="15.75" customHeight="1">
      <c r="A24" s="1">
        <v>23</v>
      </c>
      <c r="B24" s="1" t="s">
        <v>171</v>
      </c>
      <c r="C24" s="1" t="s">
        <v>172</v>
      </c>
      <c r="D24" s="1" t="s">
        <v>173</v>
      </c>
      <c r="E24" s="1" t="s">
        <v>174</v>
      </c>
      <c r="F24" s="1" t="s">
        <v>175</v>
      </c>
      <c r="H24" s="3">
        <v>53120</v>
      </c>
      <c r="I24" s="1" t="s">
        <v>176</v>
      </c>
      <c r="J24" s="3" t="s">
        <v>177</v>
      </c>
    </row>
    <row r="25" spans="1:12" ht="15.75" customHeight="1">
      <c r="A25" s="1">
        <v>24</v>
      </c>
      <c r="B25" s="1" t="s">
        <v>178</v>
      </c>
      <c r="C25" s="1" t="s">
        <v>179</v>
      </c>
      <c r="D25" s="1" t="s">
        <v>31</v>
      </c>
      <c r="E25" s="1" t="s">
        <v>180</v>
      </c>
      <c r="F25" s="1" t="s">
        <v>181</v>
      </c>
      <c r="G25" s="1" t="s">
        <v>182</v>
      </c>
      <c r="H25" s="3">
        <v>2042</v>
      </c>
      <c r="I25" s="1" t="s">
        <v>64</v>
      </c>
      <c r="J25" s="3" t="s">
        <v>183</v>
      </c>
      <c r="K25" s="3" t="s">
        <v>184</v>
      </c>
      <c r="L25" s="1" t="s">
        <v>185</v>
      </c>
    </row>
    <row r="26" spans="1:12" ht="15.75" customHeight="1">
      <c r="A26" s="1">
        <v>25</v>
      </c>
      <c r="B26" s="1" t="s">
        <v>186</v>
      </c>
      <c r="C26" s="1" t="s">
        <v>187</v>
      </c>
      <c r="D26" s="1" t="s">
        <v>39</v>
      </c>
      <c r="E26" s="1" t="s">
        <v>188</v>
      </c>
      <c r="F26" s="1" t="s">
        <v>189</v>
      </c>
      <c r="G26" s="1" t="s">
        <v>190</v>
      </c>
      <c r="H26" s="3" t="s">
        <v>191</v>
      </c>
      <c r="I26" s="1" t="s">
        <v>192</v>
      </c>
      <c r="J26" s="3" t="s">
        <v>193</v>
      </c>
    </row>
    <row r="27" spans="1:12" ht="15.75" customHeight="1">
      <c r="A27" s="1">
        <v>26</v>
      </c>
      <c r="B27" s="1" t="s">
        <v>194</v>
      </c>
      <c r="C27" s="1" t="s">
        <v>195</v>
      </c>
      <c r="D27" s="1" t="s">
        <v>22</v>
      </c>
      <c r="E27" s="1" t="s">
        <v>196</v>
      </c>
      <c r="F27" s="1" t="s">
        <v>197</v>
      </c>
      <c r="H27" s="3">
        <v>84100</v>
      </c>
      <c r="I27" s="1" t="s">
        <v>113</v>
      </c>
      <c r="J27" s="3" t="s">
        <v>198</v>
      </c>
      <c r="K27" s="3" t="s">
        <v>199</v>
      </c>
    </row>
    <row r="28" spans="1:12" ht="15.75" customHeight="1">
      <c r="A28" s="1">
        <v>27</v>
      </c>
      <c r="B28" s="1" t="s">
        <v>200</v>
      </c>
      <c r="C28" s="1" t="s">
        <v>201</v>
      </c>
      <c r="D28" s="1" t="s">
        <v>90</v>
      </c>
      <c r="E28" s="1" t="s">
        <v>202</v>
      </c>
      <c r="F28" s="1" t="s">
        <v>203</v>
      </c>
      <c r="H28" s="3">
        <v>71300</v>
      </c>
      <c r="I28" s="1" t="s">
        <v>140</v>
      </c>
      <c r="J28" s="3" t="s">
        <v>204</v>
      </c>
    </row>
    <row r="29" spans="1:12" ht="15.75" customHeight="1">
      <c r="A29" s="1">
        <v>28</v>
      </c>
      <c r="B29" s="1" t="s">
        <v>205</v>
      </c>
      <c r="C29" s="1" t="s">
        <v>206</v>
      </c>
      <c r="D29" s="1" t="s">
        <v>31</v>
      </c>
      <c r="E29" s="1" t="s">
        <v>207</v>
      </c>
      <c r="F29" s="1" t="s">
        <v>208</v>
      </c>
      <c r="H29" s="3">
        <v>74000</v>
      </c>
      <c r="I29" s="1" t="s">
        <v>140</v>
      </c>
      <c r="J29" s="3" t="s">
        <v>209</v>
      </c>
      <c r="K29" s="3" t="s">
        <v>210</v>
      </c>
    </row>
    <row r="30" spans="1:12" ht="15.75" customHeight="1">
      <c r="A30" s="1">
        <v>29</v>
      </c>
      <c r="B30" s="1" t="s">
        <v>211</v>
      </c>
      <c r="C30" s="1" t="s">
        <v>212</v>
      </c>
      <c r="D30" s="1" t="s">
        <v>164</v>
      </c>
      <c r="E30" s="1" t="s">
        <v>213</v>
      </c>
      <c r="F30" s="1" t="s">
        <v>214</v>
      </c>
      <c r="G30" s="1" t="s">
        <v>190</v>
      </c>
      <c r="H30" s="3" t="s">
        <v>215</v>
      </c>
      <c r="I30" s="1" t="s">
        <v>192</v>
      </c>
      <c r="J30" s="3" t="s">
        <v>216</v>
      </c>
      <c r="K30" s="3" t="s">
        <v>217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C4"/>
  <sheetViews>
    <sheetView workbookViewId="0"/>
  </sheetViews>
  <sheetFormatPr baseColWidth="10" defaultColWidth="12.6640625" defaultRowHeight="15.75" customHeight="1"/>
  <cols>
    <col min="3" max="3" width="12.6640625" style="4"/>
  </cols>
  <sheetData>
    <row r="1" spans="1:3" ht="15.75" customHeight="1">
      <c r="A1" s="1" t="s">
        <v>218</v>
      </c>
      <c r="B1" s="1" t="s">
        <v>1</v>
      </c>
      <c r="C1" s="3" t="s">
        <v>9</v>
      </c>
    </row>
    <row r="2" spans="1:3" ht="15.75" customHeight="1">
      <c r="A2" s="1">
        <v>1</v>
      </c>
      <c r="B2" s="1" t="s">
        <v>219</v>
      </c>
      <c r="C2" s="3" t="s">
        <v>220</v>
      </c>
    </row>
    <row r="3" spans="1:3" ht="15.75" customHeight="1">
      <c r="A3" s="1">
        <v>2</v>
      </c>
      <c r="B3" s="1" t="s">
        <v>221</v>
      </c>
      <c r="C3" s="3" t="s">
        <v>222</v>
      </c>
    </row>
    <row r="4" spans="1:3" ht="15.75" customHeight="1">
      <c r="A4" s="1">
        <v>3</v>
      </c>
      <c r="B4" s="1" t="s">
        <v>223</v>
      </c>
      <c r="C4" s="3" t="s">
        <v>129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J78"/>
  <sheetViews>
    <sheetView workbookViewId="0"/>
  </sheetViews>
  <sheetFormatPr baseColWidth="10" defaultColWidth="12.6640625" defaultRowHeight="15.75" customHeight="1"/>
  <sheetData>
    <row r="1" spans="1:10" ht="15.75" customHeight="1">
      <c r="A1" s="1" t="s">
        <v>224</v>
      </c>
      <c r="B1" s="1" t="s">
        <v>225</v>
      </c>
      <c r="C1" s="1" t="s">
        <v>0</v>
      </c>
      <c r="D1" s="1" t="s">
        <v>226</v>
      </c>
      <c r="E1" s="1" t="s">
        <v>227</v>
      </c>
      <c r="F1" s="1" t="s">
        <v>228</v>
      </c>
      <c r="G1" s="1" t="s">
        <v>229</v>
      </c>
      <c r="H1" s="1" t="s">
        <v>230</v>
      </c>
      <c r="I1" s="1" t="s">
        <v>231</v>
      </c>
      <c r="J1" s="1" t="s">
        <v>232</v>
      </c>
    </row>
    <row r="2" spans="1:10" ht="15.75" customHeight="1">
      <c r="A2" s="1">
        <v>1</v>
      </c>
      <c r="B2" s="1" t="s">
        <v>233</v>
      </c>
      <c r="C2" s="1">
        <v>1</v>
      </c>
      <c r="D2" s="1">
        <v>1</v>
      </c>
      <c r="E2" s="1" t="s">
        <v>234</v>
      </c>
      <c r="F2" s="1">
        <v>18</v>
      </c>
      <c r="G2" s="1">
        <v>39</v>
      </c>
      <c r="H2" s="1">
        <v>0</v>
      </c>
      <c r="I2" s="1">
        <v>10</v>
      </c>
      <c r="J2" s="1">
        <v>0</v>
      </c>
    </row>
    <row r="3" spans="1:10" ht="15.75" customHeight="1">
      <c r="A3" s="1">
        <v>2</v>
      </c>
      <c r="B3" s="1" t="s">
        <v>235</v>
      </c>
      <c r="C3" s="1">
        <v>1</v>
      </c>
      <c r="D3" s="1">
        <v>1</v>
      </c>
      <c r="E3" s="1" t="s">
        <v>236</v>
      </c>
      <c r="F3" s="1">
        <v>19</v>
      </c>
      <c r="G3" s="1">
        <v>17</v>
      </c>
      <c r="H3" s="1">
        <v>40</v>
      </c>
      <c r="I3" s="1">
        <v>25</v>
      </c>
      <c r="J3" s="1">
        <v>0</v>
      </c>
    </row>
    <row r="4" spans="1:10" ht="15.75" customHeight="1">
      <c r="A4" s="1">
        <v>3</v>
      </c>
      <c r="B4" s="1" t="s">
        <v>237</v>
      </c>
      <c r="C4" s="1">
        <v>1</v>
      </c>
      <c r="D4" s="1">
        <v>2</v>
      </c>
      <c r="E4" s="1" t="s">
        <v>238</v>
      </c>
      <c r="F4" s="1">
        <v>10</v>
      </c>
      <c r="G4" s="1">
        <v>13</v>
      </c>
      <c r="H4" s="1">
        <v>70</v>
      </c>
      <c r="I4" s="1">
        <v>25</v>
      </c>
      <c r="J4" s="1">
        <v>0</v>
      </c>
    </row>
    <row r="5" spans="1:10" ht="15.75" customHeight="1">
      <c r="A5" s="1">
        <v>4</v>
      </c>
      <c r="B5" s="1" t="s">
        <v>239</v>
      </c>
      <c r="C5" s="1">
        <v>2</v>
      </c>
      <c r="D5" s="1">
        <v>2</v>
      </c>
      <c r="E5" s="1" t="s">
        <v>240</v>
      </c>
      <c r="F5" s="1">
        <v>22</v>
      </c>
      <c r="G5" s="1">
        <v>53</v>
      </c>
      <c r="H5" s="1">
        <v>0</v>
      </c>
      <c r="I5" s="1">
        <v>0</v>
      </c>
      <c r="J5" s="1">
        <v>0</v>
      </c>
    </row>
    <row r="6" spans="1:10" ht="15.75" customHeight="1">
      <c r="A6" s="1">
        <v>5</v>
      </c>
      <c r="B6" s="1" t="s">
        <v>241</v>
      </c>
      <c r="C6" s="1">
        <v>2</v>
      </c>
      <c r="D6" s="1">
        <v>2</v>
      </c>
      <c r="E6" s="1" t="s">
        <v>242</v>
      </c>
      <c r="F6" s="1">
        <v>21.35</v>
      </c>
      <c r="G6" s="1">
        <v>0</v>
      </c>
      <c r="H6" s="1">
        <v>0</v>
      </c>
      <c r="I6" s="1">
        <v>0</v>
      </c>
      <c r="J6" s="1">
        <v>1</v>
      </c>
    </row>
    <row r="7" spans="1:10" ht="15.75" customHeight="1">
      <c r="A7" s="1">
        <v>6</v>
      </c>
      <c r="B7" s="1" t="s">
        <v>243</v>
      </c>
      <c r="C7" s="1">
        <v>3</v>
      </c>
      <c r="D7" s="1">
        <v>2</v>
      </c>
      <c r="E7" s="1" t="s">
        <v>244</v>
      </c>
      <c r="F7" s="1">
        <v>25</v>
      </c>
      <c r="G7" s="1">
        <v>120</v>
      </c>
      <c r="H7" s="1">
        <v>0</v>
      </c>
      <c r="I7" s="1">
        <v>25</v>
      </c>
      <c r="J7" s="1">
        <v>0</v>
      </c>
    </row>
    <row r="8" spans="1:10" ht="15.75" customHeight="1">
      <c r="A8" s="1">
        <v>7</v>
      </c>
      <c r="B8" s="1" t="s">
        <v>245</v>
      </c>
      <c r="C8" s="1">
        <v>3</v>
      </c>
      <c r="D8" s="1">
        <v>7</v>
      </c>
      <c r="E8" s="1" t="s">
        <v>246</v>
      </c>
      <c r="F8" s="1">
        <v>30</v>
      </c>
      <c r="G8" s="1">
        <v>15</v>
      </c>
      <c r="H8" s="1">
        <v>0</v>
      </c>
      <c r="I8" s="1">
        <v>10</v>
      </c>
      <c r="J8" s="1">
        <v>0</v>
      </c>
    </row>
    <row r="9" spans="1:10" ht="15.75" customHeight="1">
      <c r="A9" s="1">
        <v>8</v>
      </c>
      <c r="B9" s="1" t="s">
        <v>247</v>
      </c>
      <c r="C9" s="1">
        <v>3</v>
      </c>
      <c r="D9" s="1">
        <v>2</v>
      </c>
      <c r="E9" s="1" t="s">
        <v>248</v>
      </c>
      <c r="F9" s="1">
        <v>40</v>
      </c>
      <c r="G9" s="1">
        <v>6</v>
      </c>
      <c r="H9" s="1">
        <v>0</v>
      </c>
      <c r="I9" s="1">
        <v>0</v>
      </c>
      <c r="J9" s="1">
        <v>0</v>
      </c>
    </row>
    <row r="10" spans="1:10" ht="15.75" customHeight="1">
      <c r="A10" s="1">
        <v>9</v>
      </c>
      <c r="B10" s="1" t="s">
        <v>249</v>
      </c>
      <c r="C10" s="1">
        <v>4</v>
      </c>
      <c r="D10" s="1">
        <v>6</v>
      </c>
      <c r="E10" s="1" t="s">
        <v>250</v>
      </c>
      <c r="F10" s="1">
        <v>97</v>
      </c>
      <c r="G10" s="1">
        <v>29</v>
      </c>
      <c r="H10" s="1">
        <v>0</v>
      </c>
      <c r="I10" s="1">
        <v>0</v>
      </c>
      <c r="J10" s="1">
        <v>1</v>
      </c>
    </row>
    <row r="11" spans="1:10" ht="15.75" customHeight="1">
      <c r="A11" s="1">
        <v>10</v>
      </c>
      <c r="B11" s="1" t="s">
        <v>251</v>
      </c>
      <c r="C11" s="1">
        <v>4</v>
      </c>
      <c r="D11" s="1">
        <v>8</v>
      </c>
      <c r="E11" s="1" t="s">
        <v>252</v>
      </c>
      <c r="F11" s="1">
        <v>31</v>
      </c>
      <c r="G11" s="1">
        <v>31</v>
      </c>
      <c r="H11" s="1">
        <v>0</v>
      </c>
      <c r="I11" s="1">
        <v>0</v>
      </c>
      <c r="J11" s="1">
        <v>0</v>
      </c>
    </row>
    <row r="12" spans="1:10" ht="15.75" customHeight="1">
      <c r="A12" s="1">
        <v>11</v>
      </c>
      <c r="B12" s="1" t="s">
        <v>253</v>
      </c>
      <c r="C12" s="1">
        <v>5</v>
      </c>
      <c r="D12" s="1">
        <v>4</v>
      </c>
      <c r="E12" s="1" t="s">
        <v>254</v>
      </c>
      <c r="F12" s="1">
        <v>21</v>
      </c>
      <c r="G12" s="1">
        <v>22</v>
      </c>
      <c r="H12" s="1">
        <v>30</v>
      </c>
      <c r="I12" s="1">
        <v>30</v>
      </c>
      <c r="J12" s="1">
        <v>0</v>
      </c>
    </row>
    <row r="13" spans="1:10" ht="15.75" customHeight="1">
      <c r="A13" s="1">
        <v>12</v>
      </c>
      <c r="B13" s="1" t="s">
        <v>255</v>
      </c>
      <c r="C13" s="1">
        <v>5</v>
      </c>
      <c r="D13" s="1">
        <v>4</v>
      </c>
      <c r="E13" s="1" t="s">
        <v>256</v>
      </c>
      <c r="F13" s="1">
        <v>38</v>
      </c>
      <c r="G13" s="1">
        <v>86</v>
      </c>
      <c r="H13" s="1">
        <v>0</v>
      </c>
      <c r="I13" s="1">
        <v>0</v>
      </c>
      <c r="J13" s="1">
        <v>0</v>
      </c>
    </row>
    <row r="14" spans="1:10" ht="15.75" customHeight="1">
      <c r="A14" s="1">
        <v>13</v>
      </c>
      <c r="B14" s="1" t="s">
        <v>257</v>
      </c>
      <c r="C14" s="1">
        <v>6</v>
      </c>
      <c r="D14" s="1">
        <v>8</v>
      </c>
      <c r="E14" s="1" t="s">
        <v>258</v>
      </c>
      <c r="F14" s="1">
        <v>6</v>
      </c>
      <c r="G14" s="1">
        <v>24</v>
      </c>
      <c r="H14" s="1">
        <v>0</v>
      </c>
      <c r="I14" s="1">
        <v>5</v>
      </c>
      <c r="J14" s="1">
        <v>0</v>
      </c>
    </row>
    <row r="15" spans="1:10" ht="15.75" customHeight="1">
      <c r="A15" s="1">
        <v>14</v>
      </c>
      <c r="B15" s="1" t="s">
        <v>259</v>
      </c>
      <c r="C15" s="1">
        <v>6</v>
      </c>
      <c r="D15" s="1">
        <v>7</v>
      </c>
      <c r="E15" s="1" t="s">
        <v>260</v>
      </c>
      <c r="F15" s="1">
        <v>23.25</v>
      </c>
      <c r="G15" s="1">
        <v>35</v>
      </c>
      <c r="H15" s="1">
        <v>0</v>
      </c>
      <c r="I15" s="1">
        <v>0</v>
      </c>
      <c r="J15" s="1">
        <v>0</v>
      </c>
    </row>
    <row r="16" spans="1:10" ht="15.75" customHeight="1">
      <c r="A16" s="1">
        <v>15</v>
      </c>
      <c r="B16" s="1" t="s">
        <v>261</v>
      </c>
      <c r="C16" s="1">
        <v>6</v>
      </c>
      <c r="D16" s="1">
        <v>2</v>
      </c>
      <c r="E16" s="1" t="s">
        <v>262</v>
      </c>
      <c r="F16" s="1">
        <v>15.5</v>
      </c>
      <c r="G16" s="1">
        <v>39</v>
      </c>
      <c r="H16" s="1">
        <v>0</v>
      </c>
      <c r="I16" s="1">
        <v>5</v>
      </c>
      <c r="J16" s="1">
        <v>0</v>
      </c>
    </row>
    <row r="17" spans="1:10" ht="15.75" customHeight="1">
      <c r="A17" s="1">
        <v>16</v>
      </c>
      <c r="B17" s="1" t="s">
        <v>263</v>
      </c>
      <c r="C17" s="1">
        <v>7</v>
      </c>
      <c r="D17" s="1">
        <v>3</v>
      </c>
      <c r="E17" s="1" t="s">
        <v>264</v>
      </c>
      <c r="F17" s="1">
        <v>17.45</v>
      </c>
      <c r="G17" s="1">
        <v>29</v>
      </c>
      <c r="H17" s="1">
        <v>0</v>
      </c>
      <c r="I17" s="1">
        <v>10</v>
      </c>
      <c r="J17" s="1">
        <v>0</v>
      </c>
    </row>
    <row r="18" spans="1:10" ht="15.75" customHeight="1">
      <c r="A18" s="1">
        <v>17</v>
      </c>
      <c r="B18" s="1" t="s">
        <v>265</v>
      </c>
      <c r="C18" s="1">
        <v>7</v>
      </c>
      <c r="D18" s="1">
        <v>6</v>
      </c>
      <c r="E18" s="1" t="s">
        <v>266</v>
      </c>
      <c r="F18" s="1">
        <v>39</v>
      </c>
      <c r="G18" s="1">
        <v>0</v>
      </c>
      <c r="H18" s="1">
        <v>0</v>
      </c>
      <c r="I18" s="1">
        <v>0</v>
      </c>
      <c r="J18" s="1">
        <v>1</v>
      </c>
    </row>
    <row r="19" spans="1:10" ht="15.75" customHeight="1">
      <c r="A19" s="1">
        <v>18</v>
      </c>
      <c r="B19" s="1" t="s">
        <v>267</v>
      </c>
      <c r="C19" s="1">
        <v>7</v>
      </c>
      <c r="D19" s="1">
        <v>8</v>
      </c>
      <c r="E19" s="1" t="s">
        <v>268</v>
      </c>
      <c r="F19" s="1">
        <v>62.5</v>
      </c>
      <c r="G19" s="1">
        <v>42</v>
      </c>
      <c r="H19" s="1">
        <v>0</v>
      </c>
      <c r="I19" s="1">
        <v>0</v>
      </c>
      <c r="J19" s="1">
        <v>0</v>
      </c>
    </row>
    <row r="20" spans="1:10" ht="15.75" customHeight="1">
      <c r="A20" s="1">
        <v>19</v>
      </c>
      <c r="B20" s="1" t="s">
        <v>269</v>
      </c>
      <c r="C20" s="1">
        <v>8</v>
      </c>
      <c r="D20" s="1">
        <v>3</v>
      </c>
      <c r="E20" s="1" t="s">
        <v>270</v>
      </c>
      <c r="F20" s="1">
        <v>9.1999999999999993</v>
      </c>
      <c r="G20" s="1">
        <v>25</v>
      </c>
      <c r="H20" s="1">
        <v>0</v>
      </c>
      <c r="I20" s="1">
        <v>5</v>
      </c>
      <c r="J20" s="1">
        <v>0</v>
      </c>
    </row>
    <row r="21" spans="1:10" ht="15.75" customHeight="1">
      <c r="A21" s="1">
        <v>20</v>
      </c>
      <c r="B21" s="1" t="s">
        <v>271</v>
      </c>
      <c r="C21" s="1">
        <v>8</v>
      </c>
      <c r="D21" s="1">
        <v>3</v>
      </c>
      <c r="E21" s="1" t="s">
        <v>272</v>
      </c>
      <c r="F21" s="1">
        <v>81</v>
      </c>
      <c r="G21" s="1">
        <v>40</v>
      </c>
      <c r="H21" s="1">
        <v>0</v>
      </c>
      <c r="I21" s="1">
        <v>0</v>
      </c>
      <c r="J21" s="1">
        <v>0</v>
      </c>
    </row>
    <row r="22" spans="1:10" ht="15.75" customHeight="1">
      <c r="A22" s="1">
        <v>21</v>
      </c>
      <c r="B22" s="1" t="s">
        <v>273</v>
      </c>
      <c r="C22" s="1">
        <v>8</v>
      </c>
      <c r="D22" s="1">
        <v>3</v>
      </c>
      <c r="E22" s="1" t="s">
        <v>274</v>
      </c>
      <c r="F22" s="1">
        <v>10</v>
      </c>
      <c r="G22" s="1">
        <v>3</v>
      </c>
      <c r="H22" s="1">
        <v>40</v>
      </c>
      <c r="I22" s="1">
        <v>5</v>
      </c>
      <c r="J22" s="1">
        <v>0</v>
      </c>
    </row>
    <row r="23" spans="1:10" ht="15.75" customHeight="1">
      <c r="A23" s="1">
        <v>22</v>
      </c>
      <c r="B23" s="1" t="s">
        <v>275</v>
      </c>
      <c r="C23" s="1">
        <v>9</v>
      </c>
      <c r="D23" s="1">
        <v>5</v>
      </c>
      <c r="E23" s="1" t="s">
        <v>276</v>
      </c>
      <c r="F23" s="1">
        <v>21</v>
      </c>
      <c r="G23" s="1">
        <v>104</v>
      </c>
      <c r="H23" s="1">
        <v>0</v>
      </c>
      <c r="I23" s="1">
        <v>25</v>
      </c>
      <c r="J23" s="1">
        <v>0</v>
      </c>
    </row>
    <row r="24" spans="1:10" ht="15.75" customHeight="1">
      <c r="A24" s="1">
        <v>23</v>
      </c>
      <c r="B24" s="1" t="s">
        <v>277</v>
      </c>
      <c r="C24" s="1">
        <v>9</v>
      </c>
      <c r="D24" s="1">
        <v>5</v>
      </c>
      <c r="E24" s="1" t="s">
        <v>278</v>
      </c>
      <c r="F24" s="1">
        <v>9</v>
      </c>
      <c r="G24" s="1">
        <v>61</v>
      </c>
      <c r="H24" s="1">
        <v>0</v>
      </c>
      <c r="I24" s="1">
        <v>25</v>
      </c>
      <c r="J24" s="1">
        <v>0</v>
      </c>
    </row>
    <row r="25" spans="1:10" ht="15.75" customHeight="1">
      <c r="A25" s="1">
        <v>24</v>
      </c>
      <c r="B25" s="1" t="s">
        <v>279</v>
      </c>
      <c r="C25" s="1">
        <v>10</v>
      </c>
      <c r="D25" s="1">
        <v>1</v>
      </c>
      <c r="E25" s="1" t="s">
        <v>280</v>
      </c>
      <c r="F25" s="1">
        <v>4.5</v>
      </c>
      <c r="G25" s="1">
        <v>20</v>
      </c>
      <c r="H25" s="1">
        <v>0</v>
      </c>
      <c r="I25" s="1">
        <v>0</v>
      </c>
      <c r="J25" s="1">
        <v>1</v>
      </c>
    </row>
    <row r="26" spans="1:10" ht="15.75" customHeight="1">
      <c r="A26" s="1">
        <v>25</v>
      </c>
      <c r="B26" s="1" t="s">
        <v>281</v>
      </c>
      <c r="C26" s="1">
        <v>11</v>
      </c>
      <c r="D26" s="1">
        <v>3</v>
      </c>
      <c r="E26" s="1" t="s">
        <v>282</v>
      </c>
      <c r="F26" s="1">
        <v>14</v>
      </c>
      <c r="G26" s="1">
        <v>76</v>
      </c>
      <c r="H26" s="1">
        <v>0</v>
      </c>
      <c r="I26" s="1">
        <v>30</v>
      </c>
      <c r="J26" s="1">
        <v>0</v>
      </c>
    </row>
    <row r="27" spans="1:10" ht="15.75" customHeight="1">
      <c r="A27" s="1">
        <v>26</v>
      </c>
      <c r="B27" s="1" t="s">
        <v>283</v>
      </c>
      <c r="C27" s="1">
        <v>11</v>
      </c>
      <c r="D27" s="1">
        <v>3</v>
      </c>
      <c r="E27" s="1" t="s">
        <v>284</v>
      </c>
      <c r="F27" s="1">
        <v>31.23</v>
      </c>
      <c r="G27" s="1">
        <v>15</v>
      </c>
      <c r="H27" s="1">
        <v>0</v>
      </c>
      <c r="I27" s="1">
        <v>0</v>
      </c>
      <c r="J27" s="1">
        <v>0</v>
      </c>
    </row>
    <row r="28" spans="1:10" ht="15.75" customHeight="1">
      <c r="A28" s="1">
        <v>27</v>
      </c>
      <c r="B28" s="1" t="s">
        <v>285</v>
      </c>
      <c r="C28" s="1">
        <v>11</v>
      </c>
      <c r="D28" s="1">
        <v>3</v>
      </c>
      <c r="E28" s="1" t="s">
        <v>286</v>
      </c>
      <c r="F28" s="1">
        <v>43.9</v>
      </c>
      <c r="G28" s="1">
        <v>49</v>
      </c>
      <c r="H28" s="1">
        <v>0</v>
      </c>
      <c r="I28" s="1">
        <v>30</v>
      </c>
      <c r="J28" s="1">
        <v>0</v>
      </c>
    </row>
    <row r="29" spans="1:10" ht="15.75" customHeight="1">
      <c r="A29" s="1">
        <v>28</v>
      </c>
      <c r="B29" s="1" t="s">
        <v>287</v>
      </c>
      <c r="C29" s="1">
        <v>12</v>
      </c>
      <c r="D29" s="1">
        <v>7</v>
      </c>
      <c r="E29" s="1" t="s">
        <v>288</v>
      </c>
      <c r="F29" s="1">
        <v>45.6</v>
      </c>
      <c r="G29" s="1">
        <v>26</v>
      </c>
      <c r="H29" s="1">
        <v>0</v>
      </c>
      <c r="I29" s="1">
        <v>0</v>
      </c>
      <c r="J29" s="1">
        <v>1</v>
      </c>
    </row>
    <row r="30" spans="1:10" ht="15.75" customHeight="1">
      <c r="A30" s="1">
        <v>29</v>
      </c>
      <c r="B30" s="1" t="s">
        <v>289</v>
      </c>
      <c r="C30" s="1">
        <v>12</v>
      </c>
      <c r="D30" s="1">
        <v>6</v>
      </c>
      <c r="E30" s="1" t="s">
        <v>290</v>
      </c>
      <c r="F30" s="1">
        <v>123.79</v>
      </c>
      <c r="G30" s="1">
        <v>0</v>
      </c>
      <c r="H30" s="1">
        <v>0</v>
      </c>
      <c r="I30" s="1">
        <v>0</v>
      </c>
      <c r="J30" s="1">
        <v>1</v>
      </c>
    </row>
    <row r="31" spans="1:10" ht="15.75" customHeight="1">
      <c r="A31" s="1">
        <v>30</v>
      </c>
      <c r="B31" s="1" t="s">
        <v>291</v>
      </c>
      <c r="C31" s="1">
        <v>13</v>
      </c>
      <c r="D31" s="1">
        <v>8</v>
      </c>
      <c r="E31" s="1" t="s">
        <v>292</v>
      </c>
      <c r="F31" s="1">
        <v>25.89</v>
      </c>
      <c r="G31" s="1">
        <v>10</v>
      </c>
      <c r="H31" s="1">
        <v>0</v>
      </c>
      <c r="I31" s="1">
        <v>15</v>
      </c>
      <c r="J31" s="1">
        <v>0</v>
      </c>
    </row>
    <row r="32" spans="1:10" ht="15.75" customHeight="1">
      <c r="A32" s="1">
        <v>31</v>
      </c>
      <c r="B32" s="1" t="s">
        <v>293</v>
      </c>
      <c r="C32" s="1">
        <v>14</v>
      </c>
      <c r="D32" s="1">
        <v>4</v>
      </c>
      <c r="E32" s="1" t="s">
        <v>294</v>
      </c>
      <c r="F32" s="1">
        <v>12.5</v>
      </c>
      <c r="G32" s="1">
        <v>0</v>
      </c>
      <c r="H32" s="1">
        <v>70</v>
      </c>
      <c r="I32" s="1">
        <v>20</v>
      </c>
      <c r="J32" s="1">
        <v>0</v>
      </c>
    </row>
    <row r="33" spans="1:10" ht="15.75" customHeight="1">
      <c r="A33" s="1">
        <v>32</v>
      </c>
      <c r="B33" s="1" t="s">
        <v>295</v>
      </c>
      <c r="C33" s="1">
        <v>14</v>
      </c>
      <c r="D33" s="1">
        <v>4</v>
      </c>
      <c r="E33" s="1" t="s">
        <v>296</v>
      </c>
      <c r="F33" s="1">
        <v>32</v>
      </c>
      <c r="G33" s="1">
        <v>9</v>
      </c>
      <c r="H33" s="1">
        <v>40</v>
      </c>
      <c r="I33" s="1">
        <v>25</v>
      </c>
      <c r="J33" s="1">
        <v>0</v>
      </c>
    </row>
    <row r="34" spans="1:10" ht="15.75" customHeight="1">
      <c r="A34" s="1">
        <v>33</v>
      </c>
      <c r="B34" s="1" t="s">
        <v>297</v>
      </c>
      <c r="C34" s="1">
        <v>15</v>
      </c>
      <c r="D34" s="1">
        <v>4</v>
      </c>
      <c r="E34" s="1" t="s">
        <v>298</v>
      </c>
      <c r="F34" s="1">
        <v>2.5</v>
      </c>
      <c r="G34" s="1">
        <v>112</v>
      </c>
      <c r="H34" s="1">
        <v>0</v>
      </c>
      <c r="I34" s="1">
        <v>20</v>
      </c>
      <c r="J34" s="1">
        <v>0</v>
      </c>
    </row>
    <row r="35" spans="1:10" ht="15.75" customHeight="1">
      <c r="A35" s="1">
        <v>34</v>
      </c>
      <c r="B35" s="1" t="s">
        <v>299</v>
      </c>
      <c r="C35" s="1">
        <v>16</v>
      </c>
      <c r="D35" s="1">
        <v>1</v>
      </c>
      <c r="E35" s="1" t="s">
        <v>236</v>
      </c>
      <c r="F35" s="1">
        <v>14</v>
      </c>
      <c r="G35" s="1">
        <v>111</v>
      </c>
      <c r="H35" s="1">
        <v>0</v>
      </c>
      <c r="I35" s="1">
        <v>15</v>
      </c>
      <c r="J35" s="1">
        <v>0</v>
      </c>
    </row>
    <row r="36" spans="1:10" ht="15.75" customHeight="1">
      <c r="A36" s="1">
        <v>35</v>
      </c>
      <c r="B36" s="1" t="s">
        <v>300</v>
      </c>
      <c r="C36" s="1">
        <v>16</v>
      </c>
      <c r="D36" s="1">
        <v>1</v>
      </c>
      <c r="E36" s="1" t="s">
        <v>236</v>
      </c>
      <c r="F36" s="1">
        <v>18</v>
      </c>
      <c r="G36" s="1">
        <v>20</v>
      </c>
      <c r="H36" s="1">
        <v>0</v>
      </c>
      <c r="I36" s="1">
        <v>15</v>
      </c>
      <c r="J36" s="1">
        <v>0</v>
      </c>
    </row>
    <row r="37" spans="1:10" ht="15.75" customHeight="1">
      <c r="A37" s="1">
        <v>36</v>
      </c>
      <c r="B37" s="1" t="s">
        <v>301</v>
      </c>
      <c r="C37" s="1">
        <v>17</v>
      </c>
      <c r="D37" s="1">
        <v>8</v>
      </c>
      <c r="E37" s="1" t="s">
        <v>302</v>
      </c>
      <c r="F37" s="1">
        <v>19</v>
      </c>
      <c r="G37" s="1">
        <v>112</v>
      </c>
      <c r="H37" s="1">
        <v>0</v>
      </c>
      <c r="I37" s="1">
        <v>20</v>
      </c>
      <c r="J37" s="1">
        <v>0</v>
      </c>
    </row>
    <row r="38" spans="1:10" ht="15.75" customHeight="1">
      <c r="A38" s="1">
        <v>37</v>
      </c>
      <c r="B38" s="1" t="s">
        <v>303</v>
      </c>
      <c r="C38" s="1">
        <v>17</v>
      </c>
      <c r="D38" s="1">
        <v>8</v>
      </c>
      <c r="E38" s="1" t="s">
        <v>304</v>
      </c>
      <c r="F38" s="1">
        <v>26</v>
      </c>
      <c r="G38" s="1">
        <v>11</v>
      </c>
      <c r="H38" s="1">
        <v>50</v>
      </c>
      <c r="I38" s="1">
        <v>25</v>
      </c>
      <c r="J38" s="1">
        <v>0</v>
      </c>
    </row>
    <row r="39" spans="1:10" ht="15.75" customHeight="1">
      <c r="A39" s="1">
        <v>38</v>
      </c>
      <c r="B39" s="1" t="s">
        <v>305</v>
      </c>
      <c r="C39" s="1">
        <v>18</v>
      </c>
      <c r="D39" s="1">
        <v>1</v>
      </c>
      <c r="E39" s="1" t="s">
        <v>306</v>
      </c>
      <c r="F39" s="1">
        <v>263.5</v>
      </c>
      <c r="G39" s="1">
        <v>17</v>
      </c>
      <c r="H39" s="1">
        <v>0</v>
      </c>
      <c r="I39" s="1">
        <v>15</v>
      </c>
      <c r="J39" s="1">
        <v>0</v>
      </c>
    </row>
    <row r="40" spans="1:10" ht="15.75" customHeight="1">
      <c r="A40" s="1">
        <v>39</v>
      </c>
      <c r="B40" s="1" t="s">
        <v>307</v>
      </c>
      <c r="C40" s="1">
        <v>18</v>
      </c>
      <c r="D40" s="1">
        <v>1</v>
      </c>
      <c r="E40" s="1" t="s">
        <v>308</v>
      </c>
      <c r="F40" s="1">
        <v>18</v>
      </c>
      <c r="G40" s="1">
        <v>69</v>
      </c>
      <c r="H40" s="1">
        <v>0</v>
      </c>
      <c r="I40" s="1">
        <v>5</v>
      </c>
      <c r="J40" s="1">
        <v>0</v>
      </c>
    </row>
    <row r="41" spans="1:10" ht="15.75" customHeight="1">
      <c r="A41" s="1">
        <v>40</v>
      </c>
      <c r="B41" s="1" t="s">
        <v>309</v>
      </c>
      <c r="C41" s="1">
        <v>19</v>
      </c>
      <c r="D41" s="1">
        <v>8</v>
      </c>
      <c r="E41" s="1" t="s">
        <v>310</v>
      </c>
      <c r="F41" s="1">
        <v>18.399999999999999</v>
      </c>
      <c r="G41" s="1">
        <v>123</v>
      </c>
      <c r="H41" s="1">
        <v>0</v>
      </c>
      <c r="I41" s="1">
        <v>30</v>
      </c>
      <c r="J41" s="1">
        <v>0</v>
      </c>
    </row>
    <row r="42" spans="1:10" ht="15.75" customHeight="1">
      <c r="A42" s="1">
        <v>41</v>
      </c>
      <c r="B42" s="1" t="s">
        <v>311</v>
      </c>
      <c r="C42" s="1">
        <v>19</v>
      </c>
      <c r="D42" s="1">
        <v>8</v>
      </c>
      <c r="E42" s="1" t="s">
        <v>312</v>
      </c>
      <c r="F42" s="1">
        <v>9.65</v>
      </c>
      <c r="G42" s="1">
        <v>85</v>
      </c>
      <c r="H42" s="1">
        <v>0</v>
      </c>
      <c r="I42" s="1">
        <v>10</v>
      </c>
      <c r="J42" s="1">
        <v>0</v>
      </c>
    </row>
    <row r="43" spans="1:10" ht="15.75" customHeight="1">
      <c r="A43" s="1">
        <v>42</v>
      </c>
      <c r="B43" s="1" t="s">
        <v>313</v>
      </c>
      <c r="C43" s="1">
        <v>20</v>
      </c>
      <c r="D43" s="1">
        <v>5</v>
      </c>
      <c r="E43" s="1" t="s">
        <v>314</v>
      </c>
      <c r="F43" s="1">
        <v>14</v>
      </c>
      <c r="G43" s="1">
        <v>26</v>
      </c>
      <c r="H43" s="1">
        <v>0</v>
      </c>
      <c r="I43" s="1">
        <v>0</v>
      </c>
      <c r="J43" s="1">
        <v>1</v>
      </c>
    </row>
    <row r="44" spans="1:10" ht="15.75" customHeight="1">
      <c r="A44" s="1">
        <v>43</v>
      </c>
      <c r="B44" s="1" t="s">
        <v>315</v>
      </c>
      <c r="C44" s="1">
        <v>20</v>
      </c>
      <c r="D44" s="1">
        <v>1</v>
      </c>
      <c r="E44" s="1" t="s">
        <v>316</v>
      </c>
      <c r="F44" s="1">
        <v>46</v>
      </c>
      <c r="G44" s="1">
        <v>17</v>
      </c>
      <c r="H44" s="1">
        <v>10</v>
      </c>
      <c r="I44" s="1">
        <v>25</v>
      </c>
      <c r="J44" s="1">
        <v>0</v>
      </c>
    </row>
    <row r="45" spans="1:10" ht="15.75" customHeight="1">
      <c r="A45" s="1">
        <v>44</v>
      </c>
      <c r="B45" s="1" t="s">
        <v>317</v>
      </c>
      <c r="C45" s="1">
        <v>20</v>
      </c>
      <c r="D45" s="1">
        <v>2</v>
      </c>
      <c r="E45" s="1" t="s">
        <v>318</v>
      </c>
      <c r="F45" s="1">
        <v>19.45</v>
      </c>
      <c r="G45" s="1">
        <v>27</v>
      </c>
      <c r="H45" s="1">
        <v>0</v>
      </c>
      <c r="I45" s="1">
        <v>15</v>
      </c>
      <c r="J45" s="1">
        <v>0</v>
      </c>
    </row>
    <row r="46" spans="1:10" ht="15.75" customHeight="1">
      <c r="A46" s="1">
        <v>45</v>
      </c>
      <c r="B46" s="1" t="s">
        <v>319</v>
      </c>
      <c r="C46" s="1">
        <v>21</v>
      </c>
      <c r="D46" s="1">
        <v>8</v>
      </c>
      <c r="E46" s="1" t="s">
        <v>320</v>
      </c>
      <c r="F46" s="1">
        <v>9.5</v>
      </c>
      <c r="G46" s="1">
        <v>5</v>
      </c>
      <c r="H46" s="1">
        <v>70</v>
      </c>
      <c r="I46" s="1">
        <v>15</v>
      </c>
      <c r="J46" s="1">
        <v>0</v>
      </c>
    </row>
    <row r="47" spans="1:10" ht="15.75" customHeight="1">
      <c r="A47" s="1">
        <v>46</v>
      </c>
      <c r="B47" s="1" t="s">
        <v>321</v>
      </c>
      <c r="C47" s="1">
        <v>21</v>
      </c>
      <c r="D47" s="1">
        <v>8</v>
      </c>
      <c r="E47" s="1" t="s">
        <v>322</v>
      </c>
      <c r="F47" s="1">
        <v>12</v>
      </c>
      <c r="G47" s="1">
        <v>95</v>
      </c>
      <c r="H47" s="1">
        <v>0</v>
      </c>
      <c r="I47" s="1">
        <v>0</v>
      </c>
      <c r="J47" s="1">
        <v>0</v>
      </c>
    </row>
    <row r="48" spans="1:10" ht="15.75" customHeight="1">
      <c r="A48" s="1">
        <v>47</v>
      </c>
      <c r="B48" s="1" t="s">
        <v>323</v>
      </c>
      <c r="C48" s="1">
        <v>22</v>
      </c>
      <c r="D48" s="1">
        <v>3</v>
      </c>
      <c r="E48" s="1" t="s">
        <v>324</v>
      </c>
      <c r="F48" s="1">
        <v>9.5</v>
      </c>
      <c r="G48" s="1">
        <v>36</v>
      </c>
      <c r="H48" s="1">
        <v>0</v>
      </c>
      <c r="I48" s="1">
        <v>0</v>
      </c>
      <c r="J48" s="1">
        <v>0</v>
      </c>
    </row>
    <row r="49" spans="1:10" ht="15.75" customHeight="1">
      <c r="A49" s="1">
        <v>48</v>
      </c>
      <c r="B49" s="1" t="s">
        <v>325</v>
      </c>
      <c r="C49" s="1">
        <v>22</v>
      </c>
      <c r="D49" s="1">
        <v>3</v>
      </c>
      <c r="E49" s="1" t="s">
        <v>326</v>
      </c>
      <c r="F49" s="1">
        <v>12.75</v>
      </c>
      <c r="G49" s="1">
        <v>15</v>
      </c>
      <c r="H49" s="1">
        <v>70</v>
      </c>
      <c r="I49" s="1">
        <v>25</v>
      </c>
      <c r="J49" s="1">
        <v>0</v>
      </c>
    </row>
    <row r="50" spans="1:10" ht="15.75" customHeight="1">
      <c r="A50" s="1">
        <v>49</v>
      </c>
      <c r="B50" s="1" t="s">
        <v>327</v>
      </c>
      <c r="C50" s="1">
        <v>23</v>
      </c>
      <c r="D50" s="1">
        <v>3</v>
      </c>
      <c r="E50" s="1" t="s">
        <v>328</v>
      </c>
      <c r="F50" s="1">
        <v>20</v>
      </c>
      <c r="G50" s="1">
        <v>10</v>
      </c>
      <c r="H50" s="1">
        <v>60</v>
      </c>
      <c r="I50" s="1">
        <v>15</v>
      </c>
      <c r="J50" s="1">
        <v>0</v>
      </c>
    </row>
    <row r="51" spans="1:10" ht="15.75" customHeight="1">
      <c r="A51" s="1">
        <v>50</v>
      </c>
      <c r="B51" s="1" t="s">
        <v>329</v>
      </c>
      <c r="C51" s="1">
        <v>23</v>
      </c>
      <c r="D51" s="1">
        <v>3</v>
      </c>
      <c r="E51" s="1" t="s">
        <v>330</v>
      </c>
      <c r="F51" s="1">
        <v>16.25</v>
      </c>
      <c r="G51" s="1">
        <v>65</v>
      </c>
      <c r="H51" s="1">
        <v>0</v>
      </c>
      <c r="I51" s="1">
        <v>30</v>
      </c>
      <c r="J51" s="1">
        <v>0</v>
      </c>
    </row>
    <row r="52" spans="1:10" ht="15.75" customHeight="1">
      <c r="A52" s="1">
        <v>51</v>
      </c>
      <c r="B52" s="1" t="s">
        <v>331</v>
      </c>
      <c r="C52" s="1">
        <v>24</v>
      </c>
      <c r="D52" s="1">
        <v>7</v>
      </c>
      <c r="E52" s="1" t="s">
        <v>332</v>
      </c>
      <c r="F52" s="1">
        <v>53</v>
      </c>
      <c r="G52" s="1">
        <v>20</v>
      </c>
      <c r="H52" s="1">
        <v>0</v>
      </c>
      <c r="I52" s="1">
        <v>10</v>
      </c>
      <c r="J52" s="1">
        <v>0</v>
      </c>
    </row>
    <row r="53" spans="1:10" ht="15.75" customHeight="1">
      <c r="A53" s="1">
        <v>52</v>
      </c>
      <c r="B53" s="1" t="s">
        <v>333</v>
      </c>
      <c r="C53" s="1">
        <v>24</v>
      </c>
      <c r="D53" s="1">
        <v>5</v>
      </c>
      <c r="E53" s="1" t="s">
        <v>334</v>
      </c>
      <c r="F53" s="1">
        <v>7</v>
      </c>
      <c r="G53" s="1">
        <v>38</v>
      </c>
      <c r="H53" s="1">
        <v>0</v>
      </c>
      <c r="I53" s="1">
        <v>25</v>
      </c>
      <c r="J53" s="1">
        <v>0</v>
      </c>
    </row>
    <row r="54" spans="1:10" ht="13">
      <c r="A54" s="1">
        <v>53</v>
      </c>
      <c r="B54" s="1" t="s">
        <v>335</v>
      </c>
      <c r="C54" s="1">
        <v>24</v>
      </c>
      <c r="D54" s="1">
        <v>6</v>
      </c>
      <c r="E54" s="1" t="s">
        <v>336</v>
      </c>
      <c r="F54" s="1">
        <v>32.799999999999997</v>
      </c>
      <c r="G54" s="1">
        <v>0</v>
      </c>
      <c r="H54" s="1">
        <v>0</v>
      </c>
      <c r="I54" s="1">
        <v>0</v>
      </c>
      <c r="J54" s="1">
        <v>1</v>
      </c>
    </row>
    <row r="55" spans="1:10" ht="13">
      <c r="A55" s="1">
        <v>54</v>
      </c>
      <c r="B55" s="1" t="s">
        <v>337</v>
      </c>
      <c r="C55" s="1">
        <v>25</v>
      </c>
      <c r="D55" s="1">
        <v>6</v>
      </c>
      <c r="E55" s="1" t="s">
        <v>338</v>
      </c>
      <c r="F55" s="1">
        <v>7.45</v>
      </c>
      <c r="G55" s="1">
        <v>21</v>
      </c>
      <c r="H55" s="1">
        <v>0</v>
      </c>
      <c r="I55" s="1">
        <v>10</v>
      </c>
      <c r="J55" s="1">
        <v>0</v>
      </c>
    </row>
    <row r="56" spans="1:10" ht="13">
      <c r="A56" s="1">
        <v>55</v>
      </c>
      <c r="B56" s="1" t="s">
        <v>339</v>
      </c>
      <c r="C56" s="1">
        <v>25</v>
      </c>
      <c r="D56" s="1">
        <v>6</v>
      </c>
      <c r="E56" s="1" t="s">
        <v>340</v>
      </c>
      <c r="F56" s="1">
        <v>24</v>
      </c>
      <c r="G56" s="1">
        <v>115</v>
      </c>
      <c r="H56" s="1">
        <v>0</v>
      </c>
      <c r="I56" s="1">
        <v>20</v>
      </c>
      <c r="J56" s="1">
        <v>0</v>
      </c>
    </row>
    <row r="57" spans="1:10" ht="13">
      <c r="A57" s="1">
        <v>56</v>
      </c>
      <c r="B57" s="1" t="s">
        <v>341</v>
      </c>
      <c r="C57" s="1">
        <v>26</v>
      </c>
      <c r="D57" s="1">
        <v>5</v>
      </c>
      <c r="E57" s="1" t="s">
        <v>342</v>
      </c>
      <c r="F57" s="1">
        <v>38</v>
      </c>
      <c r="G57" s="1">
        <v>21</v>
      </c>
      <c r="H57" s="1">
        <v>10</v>
      </c>
      <c r="I57" s="1">
        <v>30</v>
      </c>
      <c r="J57" s="1">
        <v>0</v>
      </c>
    </row>
    <row r="58" spans="1:10" ht="13">
      <c r="A58" s="1">
        <v>57</v>
      </c>
      <c r="B58" s="1" t="s">
        <v>343</v>
      </c>
      <c r="C58" s="1">
        <v>26</v>
      </c>
      <c r="D58" s="1">
        <v>5</v>
      </c>
      <c r="E58" s="1" t="s">
        <v>342</v>
      </c>
      <c r="F58" s="1">
        <v>19.5</v>
      </c>
      <c r="G58" s="1">
        <v>36</v>
      </c>
      <c r="H58" s="1">
        <v>0</v>
      </c>
      <c r="I58" s="1">
        <v>20</v>
      </c>
      <c r="J58" s="1">
        <v>0</v>
      </c>
    </row>
    <row r="59" spans="1:10" ht="13">
      <c r="A59" s="1">
        <v>58</v>
      </c>
      <c r="B59" s="1" t="s">
        <v>344</v>
      </c>
      <c r="C59" s="1">
        <v>27</v>
      </c>
      <c r="D59" s="1">
        <v>8</v>
      </c>
      <c r="E59" s="1" t="s">
        <v>345</v>
      </c>
      <c r="F59" s="1">
        <v>13.25</v>
      </c>
      <c r="G59" s="1">
        <v>62</v>
      </c>
      <c r="H59" s="1">
        <v>0</v>
      </c>
      <c r="I59" s="1">
        <v>20</v>
      </c>
      <c r="J59" s="1">
        <v>0</v>
      </c>
    </row>
    <row r="60" spans="1:10" ht="13">
      <c r="A60" s="1">
        <v>59</v>
      </c>
      <c r="B60" s="1" t="s">
        <v>346</v>
      </c>
      <c r="C60" s="1">
        <v>28</v>
      </c>
      <c r="D60" s="1">
        <v>4</v>
      </c>
      <c r="E60" s="1" t="s">
        <v>347</v>
      </c>
      <c r="F60" s="1">
        <v>55</v>
      </c>
      <c r="G60" s="1">
        <v>79</v>
      </c>
      <c r="H60" s="1">
        <v>0</v>
      </c>
      <c r="I60" s="1">
        <v>0</v>
      </c>
      <c r="J60" s="1">
        <v>0</v>
      </c>
    </row>
    <row r="61" spans="1:10" ht="13">
      <c r="A61" s="1">
        <v>60</v>
      </c>
      <c r="B61" s="1" t="s">
        <v>348</v>
      </c>
      <c r="C61" s="1">
        <v>28</v>
      </c>
      <c r="D61" s="1">
        <v>4</v>
      </c>
      <c r="E61" s="1" t="s">
        <v>349</v>
      </c>
      <c r="F61" s="1">
        <v>34</v>
      </c>
      <c r="G61" s="1">
        <v>19</v>
      </c>
      <c r="H61" s="1">
        <v>0</v>
      </c>
      <c r="I61" s="1">
        <v>0</v>
      </c>
      <c r="J61" s="1">
        <v>0</v>
      </c>
    </row>
    <row r="62" spans="1:10" ht="13">
      <c r="A62" s="1">
        <v>61</v>
      </c>
      <c r="B62" s="1" t="s">
        <v>350</v>
      </c>
      <c r="C62" s="1">
        <v>29</v>
      </c>
      <c r="D62" s="1">
        <v>2</v>
      </c>
      <c r="E62" s="1" t="s">
        <v>351</v>
      </c>
      <c r="F62" s="1">
        <v>28.5</v>
      </c>
      <c r="G62" s="1">
        <v>113</v>
      </c>
      <c r="H62" s="1">
        <v>0</v>
      </c>
      <c r="I62" s="1">
        <v>25</v>
      </c>
      <c r="J62" s="1">
        <v>0</v>
      </c>
    </row>
    <row r="63" spans="1:10" ht="13">
      <c r="A63" s="1">
        <v>62</v>
      </c>
      <c r="B63" s="1" t="s">
        <v>352</v>
      </c>
      <c r="C63" s="1">
        <v>29</v>
      </c>
      <c r="D63" s="1">
        <v>3</v>
      </c>
      <c r="E63" s="1" t="s">
        <v>353</v>
      </c>
      <c r="F63" s="1">
        <v>49.3</v>
      </c>
      <c r="G63" s="1">
        <v>17</v>
      </c>
      <c r="H63" s="1">
        <v>0</v>
      </c>
      <c r="I63" s="1">
        <v>0</v>
      </c>
      <c r="J63" s="1">
        <v>0</v>
      </c>
    </row>
    <row r="64" spans="1:10" ht="13">
      <c r="A64" s="1">
        <v>63</v>
      </c>
      <c r="B64" s="1" t="s">
        <v>354</v>
      </c>
      <c r="C64" s="1">
        <v>7</v>
      </c>
      <c r="D64" s="1">
        <v>2</v>
      </c>
      <c r="E64" s="1" t="s">
        <v>355</v>
      </c>
      <c r="F64" s="1">
        <v>43.9</v>
      </c>
      <c r="G64" s="1">
        <v>24</v>
      </c>
      <c r="H64" s="1">
        <v>0</v>
      </c>
      <c r="I64" s="1">
        <v>5</v>
      </c>
      <c r="J64" s="1">
        <v>0</v>
      </c>
    </row>
    <row r="65" spans="1:10" ht="13">
      <c r="A65" s="1">
        <v>64</v>
      </c>
      <c r="B65" s="1" t="s">
        <v>356</v>
      </c>
      <c r="C65" s="1">
        <v>12</v>
      </c>
      <c r="D65" s="1">
        <v>5</v>
      </c>
      <c r="E65" s="1" t="s">
        <v>357</v>
      </c>
      <c r="F65" s="1">
        <v>33.25</v>
      </c>
      <c r="G65" s="1">
        <v>22</v>
      </c>
      <c r="H65" s="1">
        <v>80</v>
      </c>
      <c r="I65" s="1">
        <v>30</v>
      </c>
      <c r="J65" s="1">
        <v>0</v>
      </c>
    </row>
    <row r="66" spans="1:10" ht="13">
      <c r="A66" s="1">
        <v>65</v>
      </c>
      <c r="B66" s="1" t="s">
        <v>358</v>
      </c>
      <c r="C66" s="1">
        <v>2</v>
      </c>
      <c r="D66" s="1">
        <v>2</v>
      </c>
      <c r="E66" s="1" t="s">
        <v>359</v>
      </c>
      <c r="F66" s="1">
        <v>21.05</v>
      </c>
      <c r="G66" s="1">
        <v>76</v>
      </c>
      <c r="H66" s="1">
        <v>0</v>
      </c>
      <c r="I66" s="1">
        <v>0</v>
      </c>
      <c r="J66" s="1">
        <v>0</v>
      </c>
    </row>
    <row r="67" spans="1:10" ht="13">
      <c r="A67" s="1">
        <v>66</v>
      </c>
      <c r="B67" s="1" t="s">
        <v>360</v>
      </c>
      <c r="C67" s="1">
        <v>2</v>
      </c>
      <c r="D67" s="1">
        <v>2</v>
      </c>
      <c r="E67" s="1" t="s">
        <v>361</v>
      </c>
      <c r="F67" s="1">
        <v>17</v>
      </c>
      <c r="G67" s="1">
        <v>4</v>
      </c>
      <c r="H67" s="1">
        <v>100</v>
      </c>
      <c r="I67" s="1">
        <v>20</v>
      </c>
      <c r="J67" s="1">
        <v>0</v>
      </c>
    </row>
    <row r="68" spans="1:10" ht="13">
      <c r="A68" s="1">
        <v>67</v>
      </c>
      <c r="B68" s="1" t="s">
        <v>362</v>
      </c>
      <c r="C68" s="1">
        <v>16</v>
      </c>
      <c r="D68" s="1">
        <v>1</v>
      </c>
      <c r="E68" s="1" t="s">
        <v>236</v>
      </c>
      <c r="F68" s="1">
        <v>14</v>
      </c>
      <c r="G68" s="1">
        <v>52</v>
      </c>
      <c r="H68" s="1">
        <v>0</v>
      </c>
      <c r="I68" s="1">
        <v>10</v>
      </c>
      <c r="J68" s="1">
        <v>0</v>
      </c>
    </row>
    <row r="69" spans="1:10" ht="13">
      <c r="A69" s="1">
        <v>68</v>
      </c>
      <c r="B69" s="1" t="s">
        <v>363</v>
      </c>
      <c r="C69" s="1">
        <v>8</v>
      </c>
      <c r="D69" s="1">
        <v>3</v>
      </c>
      <c r="E69" s="1" t="s">
        <v>364</v>
      </c>
      <c r="F69" s="1">
        <v>12.5</v>
      </c>
      <c r="G69" s="1">
        <v>6</v>
      </c>
      <c r="H69" s="1">
        <v>10</v>
      </c>
      <c r="I69" s="1">
        <v>15</v>
      </c>
      <c r="J69" s="1">
        <v>0</v>
      </c>
    </row>
    <row r="70" spans="1:10" ht="13">
      <c r="A70" s="1">
        <v>69</v>
      </c>
      <c r="B70" s="1" t="s">
        <v>365</v>
      </c>
      <c r="C70" s="1">
        <v>15</v>
      </c>
      <c r="D70" s="1">
        <v>4</v>
      </c>
      <c r="E70" s="1" t="s">
        <v>366</v>
      </c>
      <c r="F70" s="1">
        <v>36</v>
      </c>
      <c r="G70" s="1">
        <v>26</v>
      </c>
      <c r="H70" s="1">
        <v>0</v>
      </c>
      <c r="I70" s="1">
        <v>15</v>
      </c>
      <c r="J70" s="1">
        <v>0</v>
      </c>
    </row>
    <row r="71" spans="1:10" ht="13">
      <c r="A71" s="1">
        <v>70</v>
      </c>
      <c r="B71" s="1" t="s">
        <v>367</v>
      </c>
      <c r="C71" s="1">
        <v>7</v>
      </c>
      <c r="D71" s="1">
        <v>1</v>
      </c>
      <c r="E71" s="1" t="s">
        <v>368</v>
      </c>
      <c r="F71" s="1">
        <v>15</v>
      </c>
      <c r="G71" s="1">
        <v>15</v>
      </c>
      <c r="H71" s="1">
        <v>10</v>
      </c>
      <c r="I71" s="1">
        <v>30</v>
      </c>
      <c r="J71" s="1">
        <v>0</v>
      </c>
    </row>
    <row r="72" spans="1:10" ht="13">
      <c r="A72" s="1">
        <v>71</v>
      </c>
      <c r="B72" s="1" t="s">
        <v>369</v>
      </c>
      <c r="C72" s="1">
        <v>15</v>
      </c>
      <c r="D72" s="1">
        <v>4</v>
      </c>
      <c r="E72" s="1" t="s">
        <v>256</v>
      </c>
      <c r="F72" s="1">
        <v>21.5</v>
      </c>
      <c r="G72" s="1">
        <v>26</v>
      </c>
      <c r="H72" s="1">
        <v>0</v>
      </c>
      <c r="I72" s="1">
        <v>0</v>
      </c>
      <c r="J72" s="1">
        <v>0</v>
      </c>
    </row>
    <row r="73" spans="1:10" ht="13">
      <c r="A73" s="1">
        <v>72</v>
      </c>
      <c r="B73" s="1" t="s">
        <v>370</v>
      </c>
      <c r="C73" s="1">
        <v>14</v>
      </c>
      <c r="D73" s="1">
        <v>4</v>
      </c>
      <c r="E73" s="1" t="s">
        <v>296</v>
      </c>
      <c r="F73" s="1">
        <v>34.799999999999997</v>
      </c>
      <c r="G73" s="1">
        <v>14</v>
      </c>
      <c r="H73" s="1">
        <v>0</v>
      </c>
      <c r="I73" s="1">
        <v>0</v>
      </c>
      <c r="J73" s="1">
        <v>0</v>
      </c>
    </row>
    <row r="74" spans="1:10" ht="13">
      <c r="A74" s="1">
        <v>73</v>
      </c>
      <c r="B74" s="1" t="s">
        <v>371</v>
      </c>
      <c r="C74" s="1">
        <v>17</v>
      </c>
      <c r="D74" s="1">
        <v>8</v>
      </c>
      <c r="E74" s="1" t="s">
        <v>372</v>
      </c>
      <c r="F74" s="1">
        <v>15</v>
      </c>
      <c r="G74" s="1">
        <v>101</v>
      </c>
      <c r="H74" s="1">
        <v>0</v>
      </c>
      <c r="I74" s="1">
        <v>5</v>
      </c>
      <c r="J74" s="1">
        <v>0</v>
      </c>
    </row>
    <row r="75" spans="1:10" ht="13">
      <c r="A75" s="1">
        <v>74</v>
      </c>
      <c r="B75" s="1" t="s">
        <v>373</v>
      </c>
      <c r="C75" s="1">
        <v>4</v>
      </c>
      <c r="D75" s="1">
        <v>7</v>
      </c>
      <c r="E75" s="1" t="s">
        <v>347</v>
      </c>
      <c r="F75" s="1">
        <v>10</v>
      </c>
      <c r="G75" s="1">
        <v>4</v>
      </c>
      <c r="H75" s="1">
        <v>20</v>
      </c>
      <c r="I75" s="1">
        <v>5</v>
      </c>
      <c r="J75" s="1">
        <v>0</v>
      </c>
    </row>
    <row r="76" spans="1:10" ht="13">
      <c r="A76" s="1">
        <v>75</v>
      </c>
      <c r="B76" s="1" t="s">
        <v>374</v>
      </c>
      <c r="C76" s="1">
        <v>12</v>
      </c>
      <c r="D76" s="1">
        <v>1</v>
      </c>
      <c r="E76" s="1" t="s">
        <v>375</v>
      </c>
      <c r="F76" s="1">
        <v>7.75</v>
      </c>
      <c r="G76" s="1">
        <v>125</v>
      </c>
      <c r="H76" s="1">
        <v>0</v>
      </c>
      <c r="I76" s="1">
        <v>25</v>
      </c>
      <c r="J76" s="1">
        <v>0</v>
      </c>
    </row>
    <row r="77" spans="1:10" ht="13">
      <c r="A77" s="1">
        <v>76</v>
      </c>
      <c r="B77" s="1" t="s">
        <v>376</v>
      </c>
      <c r="C77" s="1">
        <v>23</v>
      </c>
      <c r="D77" s="1">
        <v>1</v>
      </c>
      <c r="E77" s="1" t="s">
        <v>377</v>
      </c>
      <c r="F77" s="1">
        <v>18</v>
      </c>
      <c r="G77" s="1">
        <v>57</v>
      </c>
      <c r="H77" s="1">
        <v>0</v>
      </c>
      <c r="I77" s="1">
        <v>20</v>
      </c>
      <c r="J77" s="1">
        <v>0</v>
      </c>
    </row>
    <row r="78" spans="1:10" ht="13">
      <c r="A78" s="1">
        <v>77</v>
      </c>
      <c r="B78" s="1" t="s">
        <v>378</v>
      </c>
      <c r="C78" s="1">
        <v>12</v>
      </c>
      <c r="D78" s="1">
        <v>2</v>
      </c>
      <c r="E78" s="1" t="s">
        <v>379</v>
      </c>
      <c r="F78" s="1">
        <v>13</v>
      </c>
      <c r="G78" s="1">
        <v>32</v>
      </c>
      <c r="H78" s="1">
        <v>0</v>
      </c>
      <c r="I78" s="1">
        <v>15</v>
      </c>
      <c r="J78" s="1">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N831"/>
  <sheetViews>
    <sheetView workbookViewId="0"/>
  </sheetViews>
  <sheetFormatPr baseColWidth="10" defaultColWidth="12.6640625" defaultRowHeight="15.75" customHeight="1"/>
  <cols>
    <col min="13" max="13" width="12.6640625" style="4"/>
  </cols>
  <sheetData>
    <row r="1" spans="1:14" ht="15.75" customHeight="1">
      <c r="A1" s="1" t="s">
        <v>380</v>
      </c>
      <c r="B1" s="1" t="s">
        <v>381</v>
      </c>
      <c r="C1" s="1" t="s">
        <v>382</v>
      </c>
      <c r="D1" s="1" t="s">
        <v>383</v>
      </c>
      <c r="E1" s="1" t="s">
        <v>384</v>
      </c>
      <c r="F1" s="1" t="s">
        <v>385</v>
      </c>
      <c r="G1" s="1" t="s">
        <v>386</v>
      </c>
      <c r="H1" s="1" t="s">
        <v>387</v>
      </c>
      <c r="I1" s="1" t="s">
        <v>388</v>
      </c>
      <c r="J1" s="1" t="s">
        <v>389</v>
      </c>
      <c r="K1" s="1" t="s">
        <v>390</v>
      </c>
      <c r="L1" s="1" t="s">
        <v>391</v>
      </c>
      <c r="M1" s="3" t="s">
        <v>392</v>
      </c>
      <c r="N1" s="1" t="s">
        <v>393</v>
      </c>
    </row>
    <row r="2" spans="1:14" ht="15.75" customHeight="1">
      <c r="A2" s="1">
        <v>10248</v>
      </c>
      <c r="B2" s="1" t="s">
        <v>394</v>
      </c>
      <c r="C2" s="1">
        <v>5</v>
      </c>
      <c r="D2" s="2">
        <v>34550</v>
      </c>
      <c r="E2" s="2">
        <v>34578</v>
      </c>
      <c r="F2" s="2">
        <v>34562</v>
      </c>
      <c r="G2" s="1">
        <v>3</v>
      </c>
      <c r="H2" s="1">
        <v>32.380000000000003</v>
      </c>
      <c r="I2" s="1" t="s">
        <v>395</v>
      </c>
      <c r="J2" s="1" t="s">
        <v>396</v>
      </c>
      <c r="K2" s="1" t="s">
        <v>397</v>
      </c>
      <c r="M2" s="3">
        <v>51100</v>
      </c>
      <c r="N2" s="1" t="s">
        <v>140</v>
      </c>
    </row>
    <row r="3" spans="1:14" ht="15.75" customHeight="1">
      <c r="A3" s="1">
        <v>10249</v>
      </c>
      <c r="B3" s="1" t="s">
        <v>398</v>
      </c>
      <c r="C3" s="1">
        <v>6</v>
      </c>
      <c r="D3" s="2">
        <v>34551</v>
      </c>
      <c r="E3" s="2">
        <v>34593</v>
      </c>
      <c r="F3" s="2">
        <v>34556</v>
      </c>
      <c r="G3" s="1">
        <v>1</v>
      </c>
      <c r="H3" s="1">
        <v>11.61</v>
      </c>
      <c r="I3" s="1" t="s">
        <v>399</v>
      </c>
      <c r="J3" s="1" t="s">
        <v>400</v>
      </c>
      <c r="K3" s="1" t="s">
        <v>401</v>
      </c>
      <c r="M3" s="3">
        <v>44087</v>
      </c>
      <c r="N3" s="1" t="s">
        <v>93</v>
      </c>
    </row>
    <row r="4" spans="1:14" ht="15.75" customHeight="1">
      <c r="A4" s="1">
        <v>10250</v>
      </c>
      <c r="B4" s="1" t="s">
        <v>402</v>
      </c>
      <c r="C4" s="1">
        <v>4</v>
      </c>
      <c r="D4" s="2">
        <v>34554</v>
      </c>
      <c r="E4" s="2">
        <v>34582</v>
      </c>
      <c r="F4" s="2">
        <v>34558</v>
      </c>
      <c r="G4" s="1">
        <v>2</v>
      </c>
      <c r="H4" s="1">
        <v>65.83</v>
      </c>
      <c r="I4" s="1" t="s">
        <v>403</v>
      </c>
      <c r="J4" s="1" t="s">
        <v>404</v>
      </c>
      <c r="K4" s="1" t="s">
        <v>405</v>
      </c>
      <c r="L4" s="1" t="s">
        <v>406</v>
      </c>
      <c r="M4" s="3" t="s">
        <v>407</v>
      </c>
      <c r="N4" s="1" t="s">
        <v>86</v>
      </c>
    </row>
    <row r="5" spans="1:14" ht="15.75" customHeight="1">
      <c r="A5" s="1">
        <v>10251</v>
      </c>
      <c r="B5" s="1" t="s">
        <v>408</v>
      </c>
      <c r="C5" s="1">
        <v>3</v>
      </c>
      <c r="D5" s="2">
        <v>34554</v>
      </c>
      <c r="E5" s="2">
        <v>34582</v>
      </c>
      <c r="F5" s="2">
        <v>34561</v>
      </c>
      <c r="G5" s="1">
        <v>1</v>
      </c>
      <c r="H5" s="1">
        <v>41.34</v>
      </c>
      <c r="I5" s="1" t="s">
        <v>409</v>
      </c>
      <c r="J5" s="1" t="s">
        <v>410</v>
      </c>
      <c r="K5" s="1" t="s">
        <v>411</v>
      </c>
      <c r="M5" s="3">
        <v>69004</v>
      </c>
      <c r="N5" s="1" t="s">
        <v>140</v>
      </c>
    </row>
    <row r="6" spans="1:14" ht="15.75" customHeight="1">
      <c r="A6" s="1">
        <v>10252</v>
      </c>
      <c r="B6" s="1" t="s">
        <v>412</v>
      </c>
      <c r="C6" s="1">
        <v>4</v>
      </c>
      <c r="D6" s="2">
        <v>34555</v>
      </c>
      <c r="E6" s="2">
        <v>34583</v>
      </c>
      <c r="F6" s="2">
        <v>34557</v>
      </c>
      <c r="G6" s="1">
        <v>2</v>
      </c>
      <c r="H6" s="1">
        <v>51.3</v>
      </c>
      <c r="I6" s="1" t="s">
        <v>413</v>
      </c>
      <c r="J6" s="1" t="s">
        <v>414</v>
      </c>
      <c r="K6" s="1" t="s">
        <v>415</v>
      </c>
      <c r="M6" s="3" t="s">
        <v>416</v>
      </c>
      <c r="N6" s="1" t="s">
        <v>417</v>
      </c>
    </row>
    <row r="7" spans="1:14" ht="15.75" customHeight="1">
      <c r="A7" s="1">
        <v>10253</v>
      </c>
      <c r="B7" s="1" t="s">
        <v>402</v>
      </c>
      <c r="C7" s="1">
        <v>3</v>
      </c>
      <c r="D7" s="2">
        <v>34556</v>
      </c>
      <c r="E7" s="2">
        <v>34570</v>
      </c>
      <c r="F7" s="2">
        <v>34562</v>
      </c>
      <c r="G7" s="1">
        <v>2</v>
      </c>
      <c r="H7" s="1">
        <v>58.17</v>
      </c>
      <c r="I7" s="1" t="s">
        <v>403</v>
      </c>
      <c r="J7" s="1" t="s">
        <v>404</v>
      </c>
      <c r="K7" s="1" t="s">
        <v>405</v>
      </c>
      <c r="L7" s="1" t="s">
        <v>406</v>
      </c>
      <c r="M7" s="3" t="s">
        <v>407</v>
      </c>
      <c r="N7" s="1" t="s">
        <v>86</v>
      </c>
    </row>
    <row r="8" spans="1:14" ht="15.75" customHeight="1">
      <c r="A8" s="1">
        <v>10254</v>
      </c>
      <c r="B8" s="1" t="s">
        <v>418</v>
      </c>
      <c r="C8" s="1">
        <v>5</v>
      </c>
      <c r="D8" s="2">
        <v>34557</v>
      </c>
      <c r="E8" s="2">
        <v>34585</v>
      </c>
      <c r="F8" s="2">
        <v>34569</v>
      </c>
      <c r="G8" s="1">
        <v>2</v>
      </c>
      <c r="H8" s="1">
        <v>22.98</v>
      </c>
      <c r="I8" s="1" t="s">
        <v>419</v>
      </c>
      <c r="J8" s="1" t="s">
        <v>420</v>
      </c>
      <c r="K8" s="1" t="s">
        <v>421</v>
      </c>
      <c r="M8" s="3">
        <v>3012</v>
      </c>
      <c r="N8" s="1" t="s">
        <v>422</v>
      </c>
    </row>
    <row r="9" spans="1:14" ht="15.75" customHeight="1">
      <c r="A9" s="1">
        <v>10255</v>
      </c>
      <c r="B9" s="1" t="s">
        <v>423</v>
      </c>
      <c r="C9" s="1">
        <v>9</v>
      </c>
      <c r="D9" s="2">
        <v>34558</v>
      </c>
      <c r="E9" s="2">
        <v>34586</v>
      </c>
      <c r="F9" s="2">
        <v>34561</v>
      </c>
      <c r="G9" s="1">
        <v>3</v>
      </c>
      <c r="H9" s="1">
        <v>148.33000000000001</v>
      </c>
      <c r="I9" s="1" t="s">
        <v>424</v>
      </c>
      <c r="J9" s="1" t="s">
        <v>425</v>
      </c>
      <c r="K9" s="1" t="s">
        <v>426</v>
      </c>
      <c r="M9" s="3">
        <v>1204</v>
      </c>
      <c r="N9" s="1" t="s">
        <v>422</v>
      </c>
    </row>
    <row r="10" spans="1:14" ht="15.75" customHeight="1">
      <c r="A10" s="1">
        <v>10256</v>
      </c>
      <c r="B10" s="1" t="s">
        <v>427</v>
      </c>
      <c r="C10" s="1">
        <v>3</v>
      </c>
      <c r="D10" s="2">
        <v>34561</v>
      </c>
      <c r="E10" s="2">
        <v>34589</v>
      </c>
      <c r="F10" s="2">
        <v>34563</v>
      </c>
      <c r="G10" s="1">
        <v>2</v>
      </c>
      <c r="H10" s="1">
        <v>13.97</v>
      </c>
      <c r="I10" s="1" t="s">
        <v>428</v>
      </c>
      <c r="J10" s="1" t="s">
        <v>429</v>
      </c>
      <c r="K10" s="1" t="s">
        <v>430</v>
      </c>
      <c r="L10" s="1" t="s">
        <v>431</v>
      </c>
      <c r="M10" s="3" t="s">
        <v>432</v>
      </c>
      <c r="N10" s="1" t="s">
        <v>86</v>
      </c>
    </row>
    <row r="11" spans="1:14" ht="15.75" customHeight="1">
      <c r="A11" s="1">
        <v>10257</v>
      </c>
      <c r="B11" s="1" t="s">
        <v>433</v>
      </c>
      <c r="C11" s="1">
        <v>4</v>
      </c>
      <c r="D11" s="2">
        <v>34562</v>
      </c>
      <c r="E11" s="2">
        <v>34590</v>
      </c>
      <c r="F11" s="2">
        <v>34568</v>
      </c>
      <c r="G11" s="1">
        <v>3</v>
      </c>
      <c r="H11" s="1">
        <v>81.91</v>
      </c>
      <c r="I11" s="1" t="s">
        <v>434</v>
      </c>
      <c r="J11" s="1" t="s">
        <v>435</v>
      </c>
      <c r="K11" s="1" t="s">
        <v>436</v>
      </c>
      <c r="L11" s="1" t="s">
        <v>437</v>
      </c>
      <c r="M11" s="3">
        <v>5022</v>
      </c>
      <c r="N11" s="1" t="s">
        <v>438</v>
      </c>
    </row>
    <row r="12" spans="1:14" ht="15.75" customHeight="1">
      <c r="A12" s="1">
        <v>10258</v>
      </c>
      <c r="B12" s="1" t="s">
        <v>439</v>
      </c>
      <c r="C12" s="1">
        <v>1</v>
      </c>
      <c r="D12" s="2">
        <v>34563</v>
      </c>
      <c r="E12" s="2">
        <v>34591</v>
      </c>
      <c r="F12" s="2">
        <v>34569</v>
      </c>
      <c r="G12" s="1">
        <v>1</v>
      </c>
      <c r="H12" s="1">
        <v>140.51</v>
      </c>
      <c r="I12" s="1" t="s">
        <v>440</v>
      </c>
      <c r="J12" s="1" t="s">
        <v>441</v>
      </c>
      <c r="K12" s="1" t="s">
        <v>442</v>
      </c>
      <c r="M12" s="3">
        <v>8010</v>
      </c>
      <c r="N12" s="1" t="s">
        <v>443</v>
      </c>
    </row>
    <row r="13" spans="1:14" ht="15.75" customHeight="1">
      <c r="A13" s="1">
        <v>10259</v>
      </c>
      <c r="B13" s="1" t="s">
        <v>444</v>
      </c>
      <c r="C13" s="1">
        <v>4</v>
      </c>
      <c r="D13" s="2">
        <v>34564</v>
      </c>
      <c r="E13" s="2">
        <v>34592</v>
      </c>
      <c r="F13" s="2">
        <v>34571</v>
      </c>
      <c r="G13" s="1">
        <v>3</v>
      </c>
      <c r="H13" s="1">
        <v>3.25</v>
      </c>
      <c r="I13" s="1" t="s">
        <v>445</v>
      </c>
      <c r="J13" s="1" t="s">
        <v>446</v>
      </c>
      <c r="K13" s="1" t="s">
        <v>447</v>
      </c>
      <c r="M13" s="3">
        <v>5022</v>
      </c>
      <c r="N13" s="1" t="s">
        <v>448</v>
      </c>
    </row>
    <row r="14" spans="1:14" ht="15.75" customHeight="1">
      <c r="A14" s="1">
        <v>10260</v>
      </c>
      <c r="B14" s="1" t="s">
        <v>449</v>
      </c>
      <c r="C14" s="1">
        <v>4</v>
      </c>
      <c r="D14" s="2">
        <v>34565</v>
      </c>
      <c r="E14" s="2">
        <v>34593</v>
      </c>
      <c r="F14" s="2">
        <v>34575</v>
      </c>
      <c r="G14" s="1">
        <v>1</v>
      </c>
      <c r="H14" s="1">
        <v>55.09</v>
      </c>
      <c r="I14" s="1" t="s">
        <v>450</v>
      </c>
      <c r="J14" s="1" t="s">
        <v>451</v>
      </c>
      <c r="K14" s="1" t="s">
        <v>452</v>
      </c>
      <c r="M14" s="3">
        <v>50739</v>
      </c>
      <c r="N14" s="1" t="s">
        <v>93</v>
      </c>
    </row>
    <row r="15" spans="1:14" ht="15.75" customHeight="1">
      <c r="A15" s="1">
        <v>10261</v>
      </c>
      <c r="B15" s="1" t="s">
        <v>453</v>
      </c>
      <c r="C15" s="1">
        <v>4</v>
      </c>
      <c r="D15" s="2">
        <v>34565</v>
      </c>
      <c r="E15" s="2">
        <v>34593</v>
      </c>
      <c r="F15" s="2">
        <v>34576</v>
      </c>
      <c r="G15" s="1">
        <v>2</v>
      </c>
      <c r="H15" s="1">
        <v>3.05</v>
      </c>
      <c r="I15" s="1" t="s">
        <v>454</v>
      </c>
      <c r="J15" s="1" t="s">
        <v>455</v>
      </c>
      <c r="K15" s="1" t="s">
        <v>405</v>
      </c>
      <c r="L15" s="1" t="s">
        <v>406</v>
      </c>
      <c r="M15" s="3" t="s">
        <v>456</v>
      </c>
      <c r="N15" s="1" t="s">
        <v>86</v>
      </c>
    </row>
    <row r="16" spans="1:14" ht="15.75" customHeight="1">
      <c r="A16" s="1">
        <v>10262</v>
      </c>
      <c r="B16" s="1" t="s">
        <v>457</v>
      </c>
      <c r="C16" s="1">
        <v>8</v>
      </c>
      <c r="D16" s="2">
        <v>34568</v>
      </c>
      <c r="E16" s="2">
        <v>34596</v>
      </c>
      <c r="F16" s="2">
        <v>34571</v>
      </c>
      <c r="G16" s="1">
        <v>3</v>
      </c>
      <c r="H16" s="1">
        <v>48.29</v>
      </c>
      <c r="I16" s="1" t="s">
        <v>458</v>
      </c>
      <c r="J16" s="1" t="s">
        <v>459</v>
      </c>
      <c r="K16" s="1" t="s">
        <v>460</v>
      </c>
      <c r="L16" s="1" t="s">
        <v>461</v>
      </c>
      <c r="M16" s="3">
        <v>87110</v>
      </c>
      <c r="N16" s="1" t="s">
        <v>26</v>
      </c>
    </row>
    <row r="17" spans="1:14" ht="15.75" customHeight="1">
      <c r="A17" s="1">
        <v>10263</v>
      </c>
      <c r="B17" s="1" t="s">
        <v>439</v>
      </c>
      <c r="C17" s="1">
        <v>9</v>
      </c>
      <c r="D17" s="2">
        <v>34569</v>
      </c>
      <c r="E17" s="2">
        <v>34597</v>
      </c>
      <c r="F17" s="2">
        <v>34577</v>
      </c>
      <c r="G17" s="1">
        <v>3</v>
      </c>
      <c r="H17" s="1">
        <v>146.06</v>
      </c>
      <c r="I17" s="1" t="s">
        <v>440</v>
      </c>
      <c r="J17" s="1" t="s">
        <v>441</v>
      </c>
      <c r="K17" s="1" t="s">
        <v>442</v>
      </c>
      <c r="M17" s="3">
        <v>8010</v>
      </c>
      <c r="N17" s="1" t="s">
        <v>443</v>
      </c>
    </row>
    <row r="18" spans="1:14" ht="15.75" customHeight="1">
      <c r="A18" s="1">
        <v>10264</v>
      </c>
      <c r="B18" s="1" t="s">
        <v>462</v>
      </c>
      <c r="C18" s="1">
        <v>6</v>
      </c>
      <c r="D18" s="2">
        <v>34570</v>
      </c>
      <c r="E18" s="2">
        <v>34598</v>
      </c>
      <c r="F18" s="2">
        <v>34600</v>
      </c>
      <c r="G18" s="1">
        <v>3</v>
      </c>
      <c r="H18" s="1">
        <v>3.67</v>
      </c>
      <c r="I18" s="1" t="s">
        <v>463</v>
      </c>
      <c r="J18" s="1" t="s">
        <v>464</v>
      </c>
      <c r="K18" s="1" t="s">
        <v>465</v>
      </c>
      <c r="M18" s="3" t="s">
        <v>466</v>
      </c>
      <c r="N18" s="1" t="s">
        <v>79</v>
      </c>
    </row>
    <row r="19" spans="1:14" ht="15.75" customHeight="1">
      <c r="A19" s="1">
        <v>10265</v>
      </c>
      <c r="B19" s="1" t="s">
        <v>467</v>
      </c>
      <c r="C19" s="1">
        <v>2</v>
      </c>
      <c r="D19" s="2">
        <v>34571</v>
      </c>
      <c r="E19" s="2">
        <v>34599</v>
      </c>
      <c r="F19" s="2">
        <v>34589</v>
      </c>
      <c r="G19" s="1">
        <v>1</v>
      </c>
      <c r="H19" s="1">
        <v>55.28</v>
      </c>
      <c r="I19" s="1" t="s">
        <v>468</v>
      </c>
      <c r="J19" s="1" t="s">
        <v>469</v>
      </c>
      <c r="K19" s="1" t="s">
        <v>470</v>
      </c>
      <c r="M19" s="3">
        <v>67000</v>
      </c>
      <c r="N19" s="1" t="s">
        <v>140</v>
      </c>
    </row>
    <row r="20" spans="1:14" ht="15.75" customHeight="1">
      <c r="A20" s="1">
        <v>10266</v>
      </c>
      <c r="B20" s="1" t="s">
        <v>471</v>
      </c>
      <c r="C20" s="1">
        <v>3</v>
      </c>
      <c r="D20" s="2">
        <v>34572</v>
      </c>
      <c r="E20" s="2">
        <v>34614</v>
      </c>
      <c r="F20" s="2">
        <v>34577</v>
      </c>
      <c r="G20" s="1">
        <v>3</v>
      </c>
      <c r="H20" s="1">
        <v>25.73</v>
      </c>
      <c r="I20" s="1" t="s">
        <v>472</v>
      </c>
      <c r="J20" s="1" t="s">
        <v>473</v>
      </c>
      <c r="K20" s="1" t="s">
        <v>474</v>
      </c>
      <c r="M20" s="3">
        <v>90110</v>
      </c>
      <c r="N20" s="1" t="s">
        <v>176</v>
      </c>
    </row>
    <row r="21" spans="1:14" ht="15.75" customHeight="1">
      <c r="A21" s="1">
        <v>10267</v>
      </c>
      <c r="B21" s="1" t="s">
        <v>475</v>
      </c>
      <c r="C21" s="1">
        <v>4</v>
      </c>
      <c r="D21" s="2">
        <v>34575</v>
      </c>
      <c r="E21" s="2">
        <v>34603</v>
      </c>
      <c r="F21" s="2">
        <v>34583</v>
      </c>
      <c r="G21" s="1">
        <v>1</v>
      </c>
      <c r="H21" s="1">
        <v>208.58</v>
      </c>
      <c r="I21" s="1" t="s">
        <v>476</v>
      </c>
      <c r="J21" s="1" t="s">
        <v>477</v>
      </c>
      <c r="K21" s="1" t="s">
        <v>478</v>
      </c>
      <c r="M21" s="3">
        <v>80805</v>
      </c>
      <c r="N21" s="1" t="s">
        <v>93</v>
      </c>
    </row>
    <row r="22" spans="1:14" ht="15.75" customHeight="1">
      <c r="A22" s="1">
        <v>10268</v>
      </c>
      <c r="B22" s="1" t="s">
        <v>479</v>
      </c>
      <c r="C22" s="1">
        <v>8</v>
      </c>
      <c r="D22" s="2">
        <v>34576</v>
      </c>
      <c r="E22" s="2">
        <v>34604</v>
      </c>
      <c r="F22" s="2">
        <v>34579</v>
      </c>
      <c r="G22" s="1">
        <v>3</v>
      </c>
      <c r="H22" s="1">
        <v>66.290000000000006</v>
      </c>
      <c r="I22" s="1" t="s">
        <v>480</v>
      </c>
      <c r="J22" s="1" t="s">
        <v>481</v>
      </c>
      <c r="K22" s="1" t="s">
        <v>482</v>
      </c>
      <c r="L22" s="1" t="s">
        <v>483</v>
      </c>
      <c r="M22" s="3">
        <v>1081</v>
      </c>
      <c r="N22" s="1" t="s">
        <v>438</v>
      </c>
    </row>
    <row r="23" spans="1:14" ht="15.75" customHeight="1">
      <c r="A23" s="1">
        <v>10269</v>
      </c>
      <c r="B23" s="1" t="s">
        <v>484</v>
      </c>
      <c r="C23" s="1">
        <v>5</v>
      </c>
      <c r="D23" s="2">
        <v>34577</v>
      </c>
      <c r="E23" s="2">
        <v>34591</v>
      </c>
      <c r="F23" s="2">
        <v>34586</v>
      </c>
      <c r="G23" s="1">
        <v>1</v>
      </c>
      <c r="H23" s="1">
        <v>4.5599999999999996</v>
      </c>
      <c r="I23" s="1" t="s">
        <v>485</v>
      </c>
      <c r="J23" s="1" t="s">
        <v>486</v>
      </c>
      <c r="K23" s="1" t="s">
        <v>487</v>
      </c>
      <c r="L23" s="1" t="s">
        <v>488</v>
      </c>
      <c r="M23" s="3">
        <v>98124</v>
      </c>
      <c r="N23" s="1" t="s">
        <v>26</v>
      </c>
    </row>
    <row r="24" spans="1:14" ht="15.75" customHeight="1">
      <c r="A24" s="1">
        <v>10270</v>
      </c>
      <c r="B24" s="1" t="s">
        <v>471</v>
      </c>
      <c r="C24" s="1">
        <v>1</v>
      </c>
      <c r="D24" s="2">
        <v>34578</v>
      </c>
      <c r="E24" s="2">
        <v>34606</v>
      </c>
      <c r="F24" s="2">
        <v>34579</v>
      </c>
      <c r="G24" s="1">
        <v>1</v>
      </c>
      <c r="H24" s="1">
        <v>136.54</v>
      </c>
      <c r="I24" s="1" t="s">
        <v>472</v>
      </c>
      <c r="J24" s="1" t="s">
        <v>473</v>
      </c>
      <c r="K24" s="1" t="s">
        <v>474</v>
      </c>
      <c r="M24" s="3">
        <v>90110</v>
      </c>
      <c r="N24" s="1" t="s">
        <v>176</v>
      </c>
    </row>
    <row r="25" spans="1:14" ht="15.75" customHeight="1">
      <c r="A25" s="1">
        <v>10271</v>
      </c>
      <c r="B25" s="1" t="s">
        <v>489</v>
      </c>
      <c r="C25" s="1">
        <v>6</v>
      </c>
      <c r="D25" s="2">
        <v>34578</v>
      </c>
      <c r="E25" s="2">
        <v>34606</v>
      </c>
      <c r="F25" s="2">
        <v>34607</v>
      </c>
      <c r="G25" s="1">
        <v>2</v>
      </c>
      <c r="H25" s="1">
        <v>4.54</v>
      </c>
      <c r="I25" s="1" t="s">
        <v>490</v>
      </c>
      <c r="J25" s="1" t="s">
        <v>491</v>
      </c>
      <c r="K25" s="1" t="s">
        <v>492</v>
      </c>
      <c r="L25" s="1" t="s">
        <v>493</v>
      </c>
      <c r="M25" s="3">
        <v>82520</v>
      </c>
      <c r="N25" s="1" t="s">
        <v>26</v>
      </c>
    </row>
    <row r="26" spans="1:14" ht="15.75" customHeight="1">
      <c r="A26" s="1">
        <v>10272</v>
      </c>
      <c r="B26" s="1" t="s">
        <v>457</v>
      </c>
      <c r="C26" s="1">
        <v>6</v>
      </c>
      <c r="D26" s="2">
        <v>34579</v>
      </c>
      <c r="E26" s="2">
        <v>34607</v>
      </c>
      <c r="F26" s="2">
        <v>34583</v>
      </c>
      <c r="G26" s="1">
        <v>2</v>
      </c>
      <c r="H26" s="1">
        <v>98.03</v>
      </c>
      <c r="I26" s="1" t="s">
        <v>458</v>
      </c>
      <c r="J26" s="1" t="s">
        <v>459</v>
      </c>
      <c r="K26" s="1" t="s">
        <v>460</v>
      </c>
      <c r="L26" s="1" t="s">
        <v>461</v>
      </c>
      <c r="M26" s="3">
        <v>87110</v>
      </c>
      <c r="N26" s="1" t="s">
        <v>26</v>
      </c>
    </row>
    <row r="27" spans="1:14" ht="15.75" customHeight="1">
      <c r="A27" s="1">
        <v>10273</v>
      </c>
      <c r="B27" s="1" t="s">
        <v>494</v>
      </c>
      <c r="C27" s="1">
        <v>3</v>
      </c>
      <c r="D27" s="2">
        <v>34582</v>
      </c>
      <c r="E27" s="2">
        <v>34610</v>
      </c>
      <c r="F27" s="2">
        <v>34589</v>
      </c>
      <c r="G27" s="1">
        <v>3</v>
      </c>
      <c r="H27" s="1">
        <v>76.069999999999993</v>
      </c>
      <c r="I27" s="1" t="s">
        <v>495</v>
      </c>
      <c r="J27" s="1" t="s">
        <v>496</v>
      </c>
      <c r="K27" s="1" t="s">
        <v>497</v>
      </c>
      <c r="M27" s="3">
        <v>1307</v>
      </c>
      <c r="N27" s="1" t="s">
        <v>93</v>
      </c>
    </row>
    <row r="28" spans="1:14" ht="15.75" customHeight="1">
      <c r="A28" s="1">
        <v>10274</v>
      </c>
      <c r="B28" s="1" t="s">
        <v>394</v>
      </c>
      <c r="C28" s="1">
        <v>6</v>
      </c>
      <c r="D28" s="2">
        <v>34583</v>
      </c>
      <c r="E28" s="2">
        <v>34611</v>
      </c>
      <c r="F28" s="2">
        <v>34593</v>
      </c>
      <c r="G28" s="1">
        <v>1</v>
      </c>
      <c r="H28" s="1">
        <v>6.01</v>
      </c>
      <c r="I28" s="1" t="s">
        <v>395</v>
      </c>
      <c r="J28" s="1" t="s">
        <v>396</v>
      </c>
      <c r="K28" s="1" t="s">
        <v>397</v>
      </c>
      <c r="M28" s="3">
        <v>51100</v>
      </c>
      <c r="N28" s="1" t="s">
        <v>140</v>
      </c>
    </row>
    <row r="29" spans="1:14" ht="15.75" customHeight="1">
      <c r="A29" s="1">
        <v>10275</v>
      </c>
      <c r="B29" s="1" t="s">
        <v>498</v>
      </c>
      <c r="C29" s="1">
        <v>1</v>
      </c>
      <c r="D29" s="2">
        <v>34584</v>
      </c>
      <c r="E29" s="2">
        <v>34612</v>
      </c>
      <c r="F29" s="2">
        <v>34586</v>
      </c>
      <c r="G29" s="1">
        <v>1</v>
      </c>
      <c r="H29" s="1">
        <v>26.93</v>
      </c>
      <c r="I29" s="1" t="s">
        <v>499</v>
      </c>
      <c r="J29" s="1" t="s">
        <v>500</v>
      </c>
      <c r="K29" s="1" t="s">
        <v>501</v>
      </c>
      <c r="M29" s="3">
        <v>24100</v>
      </c>
      <c r="N29" s="1" t="s">
        <v>113</v>
      </c>
    </row>
    <row r="30" spans="1:14" ht="15.75" customHeight="1">
      <c r="A30" s="1">
        <v>10276</v>
      </c>
      <c r="B30" s="1" t="s">
        <v>502</v>
      </c>
      <c r="C30" s="1">
        <v>8</v>
      </c>
      <c r="D30" s="2">
        <v>34585</v>
      </c>
      <c r="E30" s="2">
        <v>34599</v>
      </c>
      <c r="F30" s="2">
        <v>34591</v>
      </c>
      <c r="G30" s="1">
        <v>3</v>
      </c>
      <c r="H30" s="1">
        <v>13.84</v>
      </c>
      <c r="I30" s="1" t="s">
        <v>503</v>
      </c>
      <c r="J30" s="1" t="s">
        <v>504</v>
      </c>
      <c r="K30" s="1" t="s">
        <v>447</v>
      </c>
      <c r="M30" s="3">
        <v>5033</v>
      </c>
      <c r="N30" s="1" t="s">
        <v>448</v>
      </c>
    </row>
    <row r="31" spans="1:14" ht="15.75" customHeight="1">
      <c r="A31" s="1">
        <v>10277</v>
      </c>
      <c r="B31" s="1" t="s">
        <v>505</v>
      </c>
      <c r="C31" s="1">
        <v>2</v>
      </c>
      <c r="D31" s="2">
        <v>34586</v>
      </c>
      <c r="E31" s="2">
        <v>34614</v>
      </c>
      <c r="F31" s="2">
        <v>34590</v>
      </c>
      <c r="G31" s="1">
        <v>3</v>
      </c>
      <c r="H31" s="1">
        <v>125.77</v>
      </c>
      <c r="I31" s="1" t="s">
        <v>506</v>
      </c>
      <c r="J31" s="1" t="s">
        <v>507</v>
      </c>
      <c r="K31" s="1" t="s">
        <v>508</v>
      </c>
      <c r="M31" s="3">
        <v>4179</v>
      </c>
      <c r="N31" s="1" t="s">
        <v>93</v>
      </c>
    </row>
    <row r="32" spans="1:14" ht="15.75" customHeight="1">
      <c r="A32" s="1">
        <v>10278</v>
      </c>
      <c r="B32" s="1" t="s">
        <v>509</v>
      </c>
      <c r="C32" s="1">
        <v>8</v>
      </c>
      <c r="D32" s="2">
        <v>34589</v>
      </c>
      <c r="E32" s="2">
        <v>34617</v>
      </c>
      <c r="F32" s="2">
        <v>34593</v>
      </c>
      <c r="G32" s="1">
        <v>2</v>
      </c>
      <c r="H32" s="1">
        <v>92.69</v>
      </c>
      <c r="I32" s="1" t="s">
        <v>510</v>
      </c>
      <c r="J32" s="1" t="s">
        <v>511</v>
      </c>
      <c r="K32" s="1" t="s">
        <v>512</v>
      </c>
      <c r="M32" s="3" t="s">
        <v>513</v>
      </c>
      <c r="N32" s="1" t="s">
        <v>79</v>
      </c>
    </row>
    <row r="33" spans="1:14" ht="15.75" customHeight="1">
      <c r="A33" s="1">
        <v>10279</v>
      </c>
      <c r="B33" s="1" t="s">
        <v>514</v>
      </c>
      <c r="C33" s="1">
        <v>8</v>
      </c>
      <c r="D33" s="2">
        <v>34590</v>
      </c>
      <c r="E33" s="2">
        <v>34618</v>
      </c>
      <c r="F33" s="2">
        <v>34593</v>
      </c>
      <c r="G33" s="1">
        <v>2</v>
      </c>
      <c r="H33" s="1">
        <v>25.83</v>
      </c>
      <c r="I33" s="1" t="s">
        <v>515</v>
      </c>
      <c r="J33" s="1" t="s">
        <v>516</v>
      </c>
      <c r="K33" s="1" t="s">
        <v>517</v>
      </c>
      <c r="M33" s="3">
        <v>60528</v>
      </c>
      <c r="N33" s="1" t="s">
        <v>93</v>
      </c>
    </row>
    <row r="34" spans="1:14" ht="15.75" customHeight="1">
      <c r="A34" s="1">
        <v>10280</v>
      </c>
      <c r="B34" s="1" t="s">
        <v>509</v>
      </c>
      <c r="C34" s="1">
        <v>2</v>
      </c>
      <c r="D34" s="2">
        <v>34591</v>
      </c>
      <c r="E34" s="2">
        <v>34619</v>
      </c>
      <c r="F34" s="2">
        <v>34620</v>
      </c>
      <c r="G34" s="1">
        <v>1</v>
      </c>
      <c r="H34" s="1">
        <v>8.98</v>
      </c>
      <c r="I34" s="1" t="s">
        <v>510</v>
      </c>
      <c r="J34" s="1" t="s">
        <v>511</v>
      </c>
      <c r="K34" s="1" t="s">
        <v>512</v>
      </c>
      <c r="M34" s="3" t="s">
        <v>513</v>
      </c>
      <c r="N34" s="1" t="s">
        <v>79</v>
      </c>
    </row>
    <row r="35" spans="1:14" ht="15.75" customHeight="1">
      <c r="A35" s="1">
        <v>10281</v>
      </c>
      <c r="B35" s="1" t="s">
        <v>518</v>
      </c>
      <c r="C35" s="1">
        <v>4</v>
      </c>
      <c r="D35" s="2">
        <v>34591</v>
      </c>
      <c r="E35" s="2">
        <v>34605</v>
      </c>
      <c r="F35" s="2">
        <v>34598</v>
      </c>
      <c r="G35" s="1">
        <v>1</v>
      </c>
      <c r="H35" s="1">
        <v>2.94</v>
      </c>
      <c r="I35" s="1" t="s">
        <v>519</v>
      </c>
      <c r="J35" s="1" t="s">
        <v>520</v>
      </c>
      <c r="K35" s="1" t="s">
        <v>521</v>
      </c>
      <c r="M35" s="3">
        <v>28001</v>
      </c>
      <c r="N35" s="1" t="s">
        <v>50</v>
      </c>
    </row>
    <row r="36" spans="1:14" ht="15.75" customHeight="1">
      <c r="A36" s="1">
        <v>10282</v>
      </c>
      <c r="B36" s="1" t="s">
        <v>518</v>
      </c>
      <c r="C36" s="1">
        <v>4</v>
      </c>
      <c r="D36" s="2">
        <v>34592</v>
      </c>
      <c r="E36" s="2">
        <v>34620</v>
      </c>
      <c r="F36" s="2">
        <v>34598</v>
      </c>
      <c r="G36" s="1">
        <v>1</v>
      </c>
      <c r="H36" s="1">
        <v>12.69</v>
      </c>
      <c r="I36" s="1" t="s">
        <v>519</v>
      </c>
      <c r="J36" s="1" t="s">
        <v>520</v>
      </c>
      <c r="K36" s="1" t="s">
        <v>521</v>
      </c>
      <c r="M36" s="3">
        <v>28001</v>
      </c>
      <c r="N36" s="1" t="s">
        <v>50</v>
      </c>
    </row>
    <row r="37" spans="1:14" ht="15.75" customHeight="1">
      <c r="A37" s="1">
        <v>10283</v>
      </c>
      <c r="B37" s="1" t="s">
        <v>522</v>
      </c>
      <c r="C37" s="1">
        <v>3</v>
      </c>
      <c r="D37" s="2">
        <v>34593</v>
      </c>
      <c r="E37" s="2">
        <v>34621</v>
      </c>
      <c r="F37" s="2">
        <v>34600</v>
      </c>
      <c r="G37" s="1">
        <v>3</v>
      </c>
      <c r="H37" s="1">
        <v>84.81</v>
      </c>
      <c r="I37" s="1" t="s">
        <v>523</v>
      </c>
      <c r="J37" s="1" t="s">
        <v>524</v>
      </c>
      <c r="K37" s="1" t="s">
        <v>525</v>
      </c>
      <c r="L37" s="1" t="s">
        <v>526</v>
      </c>
      <c r="M37" s="3">
        <v>3508</v>
      </c>
      <c r="N37" s="1" t="s">
        <v>438</v>
      </c>
    </row>
    <row r="38" spans="1:14" ht="15.75" customHeight="1">
      <c r="A38" s="1">
        <v>10284</v>
      </c>
      <c r="B38" s="1" t="s">
        <v>514</v>
      </c>
      <c r="C38" s="1">
        <v>4</v>
      </c>
      <c r="D38" s="2">
        <v>34596</v>
      </c>
      <c r="E38" s="2">
        <v>34624</v>
      </c>
      <c r="F38" s="2">
        <v>34604</v>
      </c>
      <c r="G38" s="1">
        <v>1</v>
      </c>
      <c r="H38" s="1">
        <v>76.56</v>
      </c>
      <c r="I38" s="1" t="s">
        <v>515</v>
      </c>
      <c r="J38" s="1" t="s">
        <v>516</v>
      </c>
      <c r="K38" s="1" t="s">
        <v>517</v>
      </c>
      <c r="M38" s="3">
        <v>60528</v>
      </c>
      <c r="N38" s="1" t="s">
        <v>93</v>
      </c>
    </row>
    <row r="39" spans="1:14" ht="15.75" customHeight="1">
      <c r="A39" s="1">
        <v>10285</v>
      </c>
      <c r="B39" s="1" t="s">
        <v>494</v>
      </c>
      <c r="C39" s="1">
        <v>1</v>
      </c>
      <c r="D39" s="2">
        <v>34597</v>
      </c>
      <c r="E39" s="2">
        <v>34625</v>
      </c>
      <c r="F39" s="2">
        <v>34603</v>
      </c>
      <c r="G39" s="1">
        <v>2</v>
      </c>
      <c r="H39" s="1">
        <v>76.83</v>
      </c>
      <c r="I39" s="1" t="s">
        <v>495</v>
      </c>
      <c r="J39" s="1" t="s">
        <v>496</v>
      </c>
      <c r="K39" s="1" t="s">
        <v>497</v>
      </c>
      <c r="M39" s="3">
        <v>1307</v>
      </c>
      <c r="N39" s="1" t="s">
        <v>93</v>
      </c>
    </row>
    <row r="40" spans="1:14" ht="15.75" customHeight="1">
      <c r="A40" s="1">
        <v>10286</v>
      </c>
      <c r="B40" s="1" t="s">
        <v>494</v>
      </c>
      <c r="C40" s="1">
        <v>8</v>
      </c>
      <c r="D40" s="2">
        <v>34598</v>
      </c>
      <c r="E40" s="2">
        <v>34626</v>
      </c>
      <c r="F40" s="2">
        <v>34607</v>
      </c>
      <c r="G40" s="1">
        <v>3</v>
      </c>
      <c r="H40" s="1">
        <v>229.24</v>
      </c>
      <c r="I40" s="1" t="s">
        <v>495</v>
      </c>
      <c r="J40" s="1" t="s">
        <v>496</v>
      </c>
      <c r="K40" s="1" t="s">
        <v>497</v>
      </c>
      <c r="M40" s="3">
        <v>1307</v>
      </c>
      <c r="N40" s="1" t="s">
        <v>93</v>
      </c>
    </row>
    <row r="41" spans="1:14" ht="15.75" customHeight="1">
      <c r="A41" s="1">
        <v>10287</v>
      </c>
      <c r="B41" s="1" t="s">
        <v>527</v>
      </c>
      <c r="C41" s="1">
        <v>8</v>
      </c>
      <c r="D41" s="2">
        <v>34599</v>
      </c>
      <c r="E41" s="2">
        <v>34627</v>
      </c>
      <c r="F41" s="2">
        <v>34605</v>
      </c>
      <c r="G41" s="1">
        <v>3</v>
      </c>
      <c r="H41" s="1">
        <v>12.76</v>
      </c>
      <c r="I41" s="1" t="s">
        <v>528</v>
      </c>
      <c r="J41" s="1" t="s">
        <v>529</v>
      </c>
      <c r="K41" s="1" t="s">
        <v>405</v>
      </c>
      <c r="L41" s="1" t="s">
        <v>406</v>
      </c>
      <c r="M41" s="3" t="s">
        <v>530</v>
      </c>
      <c r="N41" s="1" t="s">
        <v>86</v>
      </c>
    </row>
    <row r="42" spans="1:14" ht="15.75" customHeight="1">
      <c r="A42" s="1">
        <v>10288</v>
      </c>
      <c r="B42" s="1" t="s">
        <v>531</v>
      </c>
      <c r="C42" s="1">
        <v>4</v>
      </c>
      <c r="D42" s="2">
        <v>34600</v>
      </c>
      <c r="E42" s="2">
        <v>34628</v>
      </c>
      <c r="F42" s="2">
        <v>34611</v>
      </c>
      <c r="G42" s="1">
        <v>1</v>
      </c>
      <c r="H42" s="1">
        <v>7.45</v>
      </c>
      <c r="I42" s="1" t="s">
        <v>532</v>
      </c>
      <c r="J42" s="1" t="s">
        <v>533</v>
      </c>
      <c r="K42" s="1" t="s">
        <v>534</v>
      </c>
      <c r="M42" s="3">
        <v>42100</v>
      </c>
      <c r="N42" s="1" t="s">
        <v>113</v>
      </c>
    </row>
    <row r="43" spans="1:14" ht="15.75" customHeight="1">
      <c r="A43" s="1">
        <v>10289</v>
      </c>
      <c r="B43" s="1" t="s">
        <v>535</v>
      </c>
      <c r="C43" s="1">
        <v>7</v>
      </c>
      <c r="D43" s="2">
        <v>34603</v>
      </c>
      <c r="E43" s="2">
        <v>34631</v>
      </c>
      <c r="F43" s="2">
        <v>34605</v>
      </c>
      <c r="G43" s="1">
        <v>3</v>
      </c>
      <c r="H43" s="1">
        <v>22.77</v>
      </c>
      <c r="I43" s="1" t="s">
        <v>536</v>
      </c>
      <c r="J43" s="1" t="s">
        <v>537</v>
      </c>
      <c r="K43" s="1" t="s">
        <v>16</v>
      </c>
      <c r="M43" s="3" t="s">
        <v>538</v>
      </c>
      <c r="N43" s="1" t="s">
        <v>18</v>
      </c>
    </row>
    <row r="44" spans="1:14" ht="15.75" customHeight="1">
      <c r="A44" s="1">
        <v>10290</v>
      </c>
      <c r="B44" s="1" t="s">
        <v>539</v>
      </c>
      <c r="C44" s="1">
        <v>8</v>
      </c>
      <c r="D44" s="2">
        <v>34604</v>
      </c>
      <c r="E44" s="2">
        <v>34632</v>
      </c>
      <c r="F44" s="2">
        <v>34611</v>
      </c>
      <c r="G44" s="1">
        <v>1</v>
      </c>
      <c r="H44" s="1">
        <v>79.7</v>
      </c>
      <c r="I44" s="1" t="s">
        <v>540</v>
      </c>
      <c r="J44" s="1" t="s">
        <v>541</v>
      </c>
      <c r="K44" s="1" t="s">
        <v>85</v>
      </c>
      <c r="L44" s="1" t="s">
        <v>431</v>
      </c>
      <c r="M44" s="3" t="s">
        <v>542</v>
      </c>
      <c r="N44" s="1" t="s">
        <v>86</v>
      </c>
    </row>
    <row r="45" spans="1:14" ht="15.75" customHeight="1">
      <c r="A45" s="1">
        <v>10291</v>
      </c>
      <c r="B45" s="1" t="s">
        <v>453</v>
      </c>
      <c r="C45" s="1">
        <v>6</v>
      </c>
      <c r="D45" s="2">
        <v>34604</v>
      </c>
      <c r="E45" s="2">
        <v>34632</v>
      </c>
      <c r="F45" s="2">
        <v>34612</v>
      </c>
      <c r="G45" s="1">
        <v>2</v>
      </c>
      <c r="H45" s="1">
        <v>6.4</v>
      </c>
      <c r="I45" s="1" t="s">
        <v>454</v>
      </c>
      <c r="J45" s="1" t="s">
        <v>455</v>
      </c>
      <c r="K45" s="1" t="s">
        <v>405</v>
      </c>
      <c r="L45" s="1" t="s">
        <v>406</v>
      </c>
      <c r="M45" s="3" t="s">
        <v>456</v>
      </c>
      <c r="N45" s="1" t="s">
        <v>86</v>
      </c>
    </row>
    <row r="46" spans="1:14" ht="15.75" customHeight="1">
      <c r="A46" s="1">
        <v>10292</v>
      </c>
      <c r="B46" s="1" t="s">
        <v>543</v>
      </c>
      <c r="C46" s="1">
        <v>1</v>
      </c>
      <c r="D46" s="2">
        <v>34605</v>
      </c>
      <c r="E46" s="2">
        <v>34633</v>
      </c>
      <c r="F46" s="2">
        <v>34610</v>
      </c>
      <c r="G46" s="1">
        <v>2</v>
      </c>
      <c r="H46" s="1">
        <v>1.35</v>
      </c>
      <c r="I46" s="1" t="s">
        <v>544</v>
      </c>
      <c r="J46" s="1" t="s">
        <v>545</v>
      </c>
      <c r="K46" s="1" t="s">
        <v>85</v>
      </c>
      <c r="L46" s="1" t="s">
        <v>431</v>
      </c>
      <c r="M46" s="3" t="s">
        <v>546</v>
      </c>
      <c r="N46" s="1" t="s">
        <v>86</v>
      </c>
    </row>
    <row r="47" spans="1:14" ht="15.75" customHeight="1">
      <c r="A47" s="1">
        <v>10293</v>
      </c>
      <c r="B47" s="1" t="s">
        <v>502</v>
      </c>
      <c r="C47" s="1">
        <v>1</v>
      </c>
      <c r="D47" s="2">
        <v>34606</v>
      </c>
      <c r="E47" s="2">
        <v>34634</v>
      </c>
      <c r="F47" s="2">
        <v>34619</v>
      </c>
      <c r="G47" s="1">
        <v>3</v>
      </c>
      <c r="H47" s="1">
        <v>21.18</v>
      </c>
      <c r="I47" s="1" t="s">
        <v>503</v>
      </c>
      <c r="J47" s="1" t="s">
        <v>504</v>
      </c>
      <c r="K47" s="1" t="s">
        <v>447</v>
      </c>
      <c r="M47" s="3">
        <v>5033</v>
      </c>
      <c r="N47" s="1" t="s">
        <v>448</v>
      </c>
    </row>
    <row r="48" spans="1:14" ht="15.75" customHeight="1">
      <c r="A48" s="1">
        <v>10294</v>
      </c>
      <c r="B48" s="1" t="s">
        <v>457</v>
      </c>
      <c r="C48" s="1">
        <v>4</v>
      </c>
      <c r="D48" s="2">
        <v>34607</v>
      </c>
      <c r="E48" s="2">
        <v>34635</v>
      </c>
      <c r="F48" s="2">
        <v>34613</v>
      </c>
      <c r="G48" s="1">
        <v>2</v>
      </c>
      <c r="H48" s="1">
        <v>147.26</v>
      </c>
      <c r="I48" s="1" t="s">
        <v>458</v>
      </c>
      <c r="J48" s="1" t="s">
        <v>459</v>
      </c>
      <c r="K48" s="1" t="s">
        <v>460</v>
      </c>
      <c r="L48" s="1" t="s">
        <v>461</v>
      </c>
      <c r="M48" s="3">
        <v>87110</v>
      </c>
      <c r="N48" s="1" t="s">
        <v>26</v>
      </c>
    </row>
    <row r="49" spans="1:14" ht="15.75" customHeight="1">
      <c r="A49" s="1">
        <v>10295</v>
      </c>
      <c r="B49" s="1" t="s">
        <v>394</v>
      </c>
      <c r="C49" s="1">
        <v>2</v>
      </c>
      <c r="D49" s="2">
        <v>34610</v>
      </c>
      <c r="E49" s="2">
        <v>34638</v>
      </c>
      <c r="F49" s="2">
        <v>34618</v>
      </c>
      <c r="G49" s="1">
        <v>2</v>
      </c>
      <c r="H49" s="1">
        <v>1.1499999999999999</v>
      </c>
      <c r="I49" s="1" t="s">
        <v>395</v>
      </c>
      <c r="J49" s="1" t="s">
        <v>396</v>
      </c>
      <c r="K49" s="1" t="s">
        <v>397</v>
      </c>
      <c r="M49" s="3">
        <v>51100</v>
      </c>
      <c r="N49" s="1" t="s">
        <v>140</v>
      </c>
    </row>
    <row r="50" spans="1:14" ht="15.75" customHeight="1">
      <c r="A50" s="1">
        <v>10296</v>
      </c>
      <c r="B50" s="1" t="s">
        <v>522</v>
      </c>
      <c r="C50" s="1">
        <v>6</v>
      </c>
      <c r="D50" s="2">
        <v>34611</v>
      </c>
      <c r="E50" s="2">
        <v>34639</v>
      </c>
      <c r="F50" s="2">
        <v>34619</v>
      </c>
      <c r="G50" s="1">
        <v>1</v>
      </c>
      <c r="H50" s="1">
        <v>0.12</v>
      </c>
      <c r="I50" s="1" t="s">
        <v>523</v>
      </c>
      <c r="J50" s="1" t="s">
        <v>524</v>
      </c>
      <c r="K50" s="1" t="s">
        <v>525</v>
      </c>
      <c r="L50" s="1" t="s">
        <v>526</v>
      </c>
      <c r="M50" s="3">
        <v>3508</v>
      </c>
      <c r="N50" s="1" t="s">
        <v>438</v>
      </c>
    </row>
    <row r="51" spans="1:14" ht="15.75" customHeight="1">
      <c r="A51" s="1">
        <v>10297</v>
      </c>
      <c r="B51" s="1" t="s">
        <v>467</v>
      </c>
      <c r="C51" s="1">
        <v>5</v>
      </c>
      <c r="D51" s="2">
        <v>34612</v>
      </c>
      <c r="E51" s="2">
        <v>34654</v>
      </c>
      <c r="F51" s="2">
        <v>34618</v>
      </c>
      <c r="G51" s="1">
        <v>2</v>
      </c>
      <c r="H51" s="1">
        <v>5.74</v>
      </c>
      <c r="I51" s="1" t="s">
        <v>468</v>
      </c>
      <c r="J51" s="1" t="s">
        <v>469</v>
      </c>
      <c r="K51" s="1" t="s">
        <v>470</v>
      </c>
      <c r="M51" s="3">
        <v>67000</v>
      </c>
      <c r="N51" s="1" t="s">
        <v>140</v>
      </c>
    </row>
    <row r="52" spans="1:14" ht="15.75" customHeight="1">
      <c r="A52" s="1">
        <v>10298</v>
      </c>
      <c r="B52" s="1" t="s">
        <v>547</v>
      </c>
      <c r="C52" s="1">
        <v>6</v>
      </c>
      <c r="D52" s="2">
        <v>34613</v>
      </c>
      <c r="E52" s="2">
        <v>34641</v>
      </c>
      <c r="F52" s="2">
        <v>34619</v>
      </c>
      <c r="G52" s="1">
        <v>2</v>
      </c>
      <c r="H52" s="1">
        <v>168.22</v>
      </c>
      <c r="I52" s="1" t="s">
        <v>548</v>
      </c>
      <c r="J52" s="1" t="s">
        <v>549</v>
      </c>
      <c r="K52" s="1" t="s">
        <v>550</v>
      </c>
      <c r="L52" s="1" t="s">
        <v>551</v>
      </c>
      <c r="N52" s="1" t="s">
        <v>552</v>
      </c>
    </row>
    <row r="53" spans="1:14" ht="15.75" customHeight="1">
      <c r="A53" s="1">
        <v>10299</v>
      </c>
      <c r="B53" s="1" t="s">
        <v>527</v>
      </c>
      <c r="C53" s="1">
        <v>4</v>
      </c>
      <c r="D53" s="2">
        <v>34614</v>
      </c>
      <c r="E53" s="2">
        <v>34642</v>
      </c>
      <c r="F53" s="2">
        <v>34621</v>
      </c>
      <c r="G53" s="1">
        <v>2</v>
      </c>
      <c r="H53" s="1">
        <v>29.76</v>
      </c>
      <c r="I53" s="1" t="s">
        <v>528</v>
      </c>
      <c r="J53" s="1" t="s">
        <v>529</v>
      </c>
      <c r="K53" s="1" t="s">
        <v>405</v>
      </c>
      <c r="L53" s="1" t="s">
        <v>406</v>
      </c>
      <c r="M53" s="3" t="s">
        <v>530</v>
      </c>
      <c r="N53" s="1" t="s">
        <v>86</v>
      </c>
    </row>
    <row r="54" spans="1:14" ht="13">
      <c r="A54" s="1">
        <v>10300</v>
      </c>
      <c r="B54" s="1" t="s">
        <v>498</v>
      </c>
      <c r="C54" s="1">
        <v>2</v>
      </c>
      <c r="D54" s="2">
        <v>34617</v>
      </c>
      <c r="E54" s="2">
        <v>34645</v>
      </c>
      <c r="F54" s="2">
        <v>34626</v>
      </c>
      <c r="G54" s="1">
        <v>2</v>
      </c>
      <c r="H54" s="1">
        <v>17.68</v>
      </c>
      <c r="I54" s="1" t="s">
        <v>499</v>
      </c>
      <c r="J54" s="1" t="s">
        <v>500</v>
      </c>
      <c r="K54" s="1" t="s">
        <v>501</v>
      </c>
      <c r="M54" s="3">
        <v>24100</v>
      </c>
      <c r="N54" s="1" t="s">
        <v>113</v>
      </c>
    </row>
    <row r="55" spans="1:14" ht="13">
      <c r="A55" s="1">
        <v>10301</v>
      </c>
      <c r="B55" s="1" t="s">
        <v>553</v>
      </c>
      <c r="C55" s="1">
        <v>8</v>
      </c>
      <c r="D55" s="2">
        <v>34617</v>
      </c>
      <c r="E55" s="2">
        <v>34645</v>
      </c>
      <c r="F55" s="2">
        <v>34625</v>
      </c>
      <c r="G55" s="1">
        <v>2</v>
      </c>
      <c r="H55" s="1">
        <v>45.08</v>
      </c>
      <c r="I55" s="1" t="s">
        <v>554</v>
      </c>
      <c r="J55" s="1" t="s">
        <v>555</v>
      </c>
      <c r="K55" s="1" t="s">
        <v>556</v>
      </c>
      <c r="M55" s="3">
        <v>70563</v>
      </c>
      <c r="N55" s="1" t="s">
        <v>93</v>
      </c>
    </row>
    <row r="56" spans="1:14" ht="13">
      <c r="A56" s="1">
        <v>10302</v>
      </c>
      <c r="B56" s="1" t="s">
        <v>412</v>
      </c>
      <c r="C56" s="1">
        <v>4</v>
      </c>
      <c r="D56" s="2">
        <v>34618</v>
      </c>
      <c r="E56" s="2">
        <v>34646</v>
      </c>
      <c r="F56" s="2">
        <v>34647</v>
      </c>
      <c r="G56" s="1">
        <v>2</v>
      </c>
      <c r="H56" s="1">
        <v>6.27</v>
      </c>
      <c r="I56" s="1" t="s">
        <v>413</v>
      </c>
      <c r="J56" s="1" t="s">
        <v>414</v>
      </c>
      <c r="K56" s="1" t="s">
        <v>415</v>
      </c>
      <c r="M56" s="3" t="s">
        <v>416</v>
      </c>
      <c r="N56" s="1" t="s">
        <v>417</v>
      </c>
    </row>
    <row r="57" spans="1:14" ht="13">
      <c r="A57" s="1">
        <v>10303</v>
      </c>
      <c r="B57" s="1" t="s">
        <v>557</v>
      </c>
      <c r="C57" s="1">
        <v>7</v>
      </c>
      <c r="D57" s="2">
        <v>34619</v>
      </c>
      <c r="E57" s="2">
        <v>34647</v>
      </c>
      <c r="F57" s="2">
        <v>34626</v>
      </c>
      <c r="G57" s="1">
        <v>2</v>
      </c>
      <c r="H57" s="1">
        <v>107.83</v>
      </c>
      <c r="I57" s="1" t="s">
        <v>558</v>
      </c>
      <c r="J57" s="1" t="s">
        <v>559</v>
      </c>
      <c r="K57" s="1" t="s">
        <v>560</v>
      </c>
      <c r="M57" s="3">
        <v>41101</v>
      </c>
      <c r="N57" s="1" t="s">
        <v>50</v>
      </c>
    </row>
    <row r="58" spans="1:14" ht="13">
      <c r="A58" s="1">
        <v>10304</v>
      </c>
      <c r="B58" s="1" t="s">
        <v>502</v>
      </c>
      <c r="C58" s="1">
        <v>1</v>
      </c>
      <c r="D58" s="2">
        <v>34620</v>
      </c>
      <c r="E58" s="2">
        <v>34648</v>
      </c>
      <c r="F58" s="2">
        <v>34625</v>
      </c>
      <c r="G58" s="1">
        <v>2</v>
      </c>
      <c r="H58" s="1">
        <v>63.79</v>
      </c>
      <c r="I58" s="1" t="s">
        <v>503</v>
      </c>
      <c r="J58" s="1" t="s">
        <v>504</v>
      </c>
      <c r="K58" s="1" t="s">
        <v>447</v>
      </c>
      <c r="M58" s="3">
        <v>5033</v>
      </c>
      <c r="N58" s="1" t="s">
        <v>448</v>
      </c>
    </row>
    <row r="59" spans="1:14" ht="13">
      <c r="A59" s="1">
        <v>10305</v>
      </c>
      <c r="B59" s="1" t="s">
        <v>561</v>
      </c>
      <c r="C59" s="1">
        <v>8</v>
      </c>
      <c r="D59" s="2">
        <v>34621</v>
      </c>
      <c r="E59" s="2">
        <v>34649</v>
      </c>
      <c r="F59" s="2">
        <v>34647</v>
      </c>
      <c r="G59" s="1">
        <v>3</v>
      </c>
      <c r="H59" s="1">
        <v>257.62</v>
      </c>
      <c r="I59" s="1" t="s">
        <v>562</v>
      </c>
      <c r="J59" s="1" t="s">
        <v>563</v>
      </c>
      <c r="K59" s="1" t="s">
        <v>564</v>
      </c>
      <c r="L59" s="1" t="s">
        <v>565</v>
      </c>
      <c r="M59" s="3">
        <v>99508</v>
      </c>
      <c r="N59" s="1" t="s">
        <v>26</v>
      </c>
    </row>
    <row r="60" spans="1:14" ht="13">
      <c r="A60" s="1">
        <v>10306</v>
      </c>
      <c r="B60" s="1" t="s">
        <v>518</v>
      </c>
      <c r="C60" s="1">
        <v>1</v>
      </c>
      <c r="D60" s="2">
        <v>34624</v>
      </c>
      <c r="E60" s="2">
        <v>34652</v>
      </c>
      <c r="F60" s="2">
        <v>34631</v>
      </c>
      <c r="G60" s="1">
        <v>3</v>
      </c>
      <c r="H60" s="1">
        <v>7.56</v>
      </c>
      <c r="I60" s="1" t="s">
        <v>519</v>
      </c>
      <c r="J60" s="1" t="s">
        <v>520</v>
      </c>
      <c r="K60" s="1" t="s">
        <v>521</v>
      </c>
      <c r="M60" s="3">
        <v>28001</v>
      </c>
      <c r="N60" s="1" t="s">
        <v>50</v>
      </c>
    </row>
    <row r="61" spans="1:14" ht="13">
      <c r="A61" s="1">
        <v>10307</v>
      </c>
      <c r="B61" s="1" t="s">
        <v>566</v>
      </c>
      <c r="C61" s="1">
        <v>2</v>
      </c>
      <c r="D61" s="2">
        <v>34625</v>
      </c>
      <c r="E61" s="2">
        <v>34653</v>
      </c>
      <c r="F61" s="2">
        <v>34633</v>
      </c>
      <c r="G61" s="1">
        <v>2</v>
      </c>
      <c r="H61" s="1">
        <v>0.56000000000000005</v>
      </c>
      <c r="I61" s="1" t="s">
        <v>567</v>
      </c>
      <c r="J61" s="1" t="s">
        <v>568</v>
      </c>
      <c r="K61" s="1" t="s">
        <v>569</v>
      </c>
      <c r="L61" s="1" t="s">
        <v>128</v>
      </c>
      <c r="M61" s="3">
        <v>97219</v>
      </c>
      <c r="N61" s="1" t="s">
        <v>26</v>
      </c>
    </row>
    <row r="62" spans="1:14" ht="13">
      <c r="A62" s="1">
        <v>10308</v>
      </c>
      <c r="B62" s="1" t="s">
        <v>570</v>
      </c>
      <c r="C62" s="1">
        <v>7</v>
      </c>
      <c r="D62" s="2">
        <v>34626</v>
      </c>
      <c r="E62" s="2">
        <v>34654</v>
      </c>
      <c r="F62" s="2">
        <v>34632</v>
      </c>
      <c r="G62" s="1">
        <v>3</v>
      </c>
      <c r="H62" s="1">
        <v>1.61</v>
      </c>
      <c r="I62" s="1" t="s">
        <v>571</v>
      </c>
      <c r="J62" s="1" t="s">
        <v>572</v>
      </c>
      <c r="K62" s="1" t="s">
        <v>447</v>
      </c>
      <c r="M62" s="3">
        <v>5021</v>
      </c>
      <c r="N62" s="1" t="s">
        <v>448</v>
      </c>
    </row>
    <row r="63" spans="1:14" ht="13">
      <c r="A63" s="1">
        <v>10309</v>
      </c>
      <c r="B63" s="1" t="s">
        <v>547</v>
      </c>
      <c r="C63" s="1">
        <v>3</v>
      </c>
      <c r="D63" s="2">
        <v>34627</v>
      </c>
      <c r="E63" s="2">
        <v>34655</v>
      </c>
      <c r="F63" s="2">
        <v>34661</v>
      </c>
      <c r="G63" s="1">
        <v>1</v>
      </c>
      <c r="H63" s="1">
        <v>47.3</v>
      </c>
      <c r="I63" s="1" t="s">
        <v>548</v>
      </c>
      <c r="J63" s="1" t="s">
        <v>549</v>
      </c>
      <c r="K63" s="1" t="s">
        <v>550</v>
      </c>
      <c r="L63" s="1" t="s">
        <v>551</v>
      </c>
      <c r="N63" s="1" t="s">
        <v>552</v>
      </c>
    </row>
    <row r="64" spans="1:14" ht="13">
      <c r="A64" s="1">
        <v>10310</v>
      </c>
      <c r="B64" s="1" t="s">
        <v>573</v>
      </c>
      <c r="C64" s="1">
        <v>8</v>
      </c>
      <c r="D64" s="2">
        <v>34628</v>
      </c>
      <c r="E64" s="2">
        <v>34656</v>
      </c>
      <c r="F64" s="2">
        <v>34635</v>
      </c>
      <c r="G64" s="1">
        <v>2</v>
      </c>
      <c r="H64" s="1">
        <v>17.52</v>
      </c>
      <c r="I64" s="1" t="s">
        <v>574</v>
      </c>
      <c r="J64" s="1" t="s">
        <v>575</v>
      </c>
      <c r="K64" s="1" t="s">
        <v>569</v>
      </c>
      <c r="L64" s="1" t="s">
        <v>128</v>
      </c>
      <c r="M64" s="3">
        <v>97201</v>
      </c>
      <c r="N64" s="1" t="s">
        <v>26</v>
      </c>
    </row>
    <row r="65" spans="1:14" ht="13">
      <c r="A65" s="1">
        <v>10311</v>
      </c>
      <c r="B65" s="1" t="s">
        <v>576</v>
      </c>
      <c r="C65" s="1">
        <v>1</v>
      </c>
      <c r="D65" s="2">
        <v>34628</v>
      </c>
      <c r="E65" s="2">
        <v>34642</v>
      </c>
      <c r="F65" s="2">
        <v>34634</v>
      </c>
      <c r="G65" s="1">
        <v>3</v>
      </c>
      <c r="H65" s="1">
        <v>24.69</v>
      </c>
      <c r="I65" s="1" t="s">
        <v>577</v>
      </c>
      <c r="J65" s="1" t="s">
        <v>578</v>
      </c>
      <c r="K65" s="1" t="s">
        <v>579</v>
      </c>
      <c r="M65" s="3">
        <v>44000</v>
      </c>
      <c r="N65" s="1" t="s">
        <v>140</v>
      </c>
    </row>
    <row r="66" spans="1:14" ht="13">
      <c r="A66" s="1">
        <v>10312</v>
      </c>
      <c r="B66" s="1" t="s">
        <v>553</v>
      </c>
      <c r="C66" s="1">
        <v>2</v>
      </c>
      <c r="D66" s="2">
        <v>34631</v>
      </c>
      <c r="E66" s="2">
        <v>34659</v>
      </c>
      <c r="F66" s="2">
        <v>34641</v>
      </c>
      <c r="G66" s="1">
        <v>2</v>
      </c>
      <c r="H66" s="1">
        <v>40.26</v>
      </c>
      <c r="I66" s="1" t="s">
        <v>554</v>
      </c>
      <c r="J66" s="1" t="s">
        <v>555</v>
      </c>
      <c r="K66" s="1" t="s">
        <v>556</v>
      </c>
      <c r="M66" s="3">
        <v>70563</v>
      </c>
      <c r="N66" s="1" t="s">
        <v>93</v>
      </c>
    </row>
    <row r="67" spans="1:14" ht="13">
      <c r="A67" s="1">
        <v>10313</v>
      </c>
      <c r="B67" s="1" t="s">
        <v>494</v>
      </c>
      <c r="C67" s="1">
        <v>2</v>
      </c>
      <c r="D67" s="2">
        <v>34632</v>
      </c>
      <c r="E67" s="2">
        <v>34660</v>
      </c>
      <c r="F67" s="2">
        <v>34642</v>
      </c>
      <c r="G67" s="1">
        <v>2</v>
      </c>
      <c r="H67" s="1">
        <v>1.96</v>
      </c>
      <c r="I67" s="1" t="s">
        <v>495</v>
      </c>
      <c r="J67" s="1" t="s">
        <v>496</v>
      </c>
      <c r="K67" s="1" t="s">
        <v>497</v>
      </c>
      <c r="M67" s="3">
        <v>1307</v>
      </c>
      <c r="N67" s="1" t="s">
        <v>93</v>
      </c>
    </row>
    <row r="68" spans="1:14" ht="13">
      <c r="A68" s="1">
        <v>10314</v>
      </c>
      <c r="B68" s="1" t="s">
        <v>457</v>
      </c>
      <c r="C68" s="1">
        <v>1</v>
      </c>
      <c r="D68" s="2">
        <v>34633</v>
      </c>
      <c r="E68" s="2">
        <v>34661</v>
      </c>
      <c r="F68" s="2">
        <v>34642</v>
      </c>
      <c r="G68" s="1">
        <v>2</v>
      </c>
      <c r="H68" s="1">
        <v>74.16</v>
      </c>
      <c r="I68" s="1" t="s">
        <v>458</v>
      </c>
      <c r="J68" s="1" t="s">
        <v>459</v>
      </c>
      <c r="K68" s="1" t="s">
        <v>460</v>
      </c>
      <c r="L68" s="1" t="s">
        <v>461</v>
      </c>
      <c r="M68" s="3">
        <v>87110</v>
      </c>
      <c r="N68" s="1" t="s">
        <v>26</v>
      </c>
    </row>
    <row r="69" spans="1:14" ht="13">
      <c r="A69" s="1">
        <v>10315</v>
      </c>
      <c r="B69" s="1" t="s">
        <v>580</v>
      </c>
      <c r="C69" s="1">
        <v>4</v>
      </c>
      <c r="D69" s="2">
        <v>34634</v>
      </c>
      <c r="E69" s="2">
        <v>34662</v>
      </c>
      <c r="F69" s="2">
        <v>34641</v>
      </c>
      <c r="G69" s="1">
        <v>2</v>
      </c>
      <c r="H69" s="1">
        <v>41.76</v>
      </c>
      <c r="I69" s="1" t="s">
        <v>581</v>
      </c>
      <c r="J69" s="1" t="s">
        <v>582</v>
      </c>
      <c r="K69" s="1" t="s">
        <v>583</v>
      </c>
      <c r="L69" s="1" t="s">
        <v>584</v>
      </c>
      <c r="M69" s="3" t="s">
        <v>585</v>
      </c>
      <c r="N69" s="1" t="s">
        <v>18</v>
      </c>
    </row>
    <row r="70" spans="1:14" ht="13">
      <c r="A70" s="1">
        <v>10316</v>
      </c>
      <c r="B70" s="1" t="s">
        <v>457</v>
      </c>
      <c r="C70" s="1">
        <v>1</v>
      </c>
      <c r="D70" s="2">
        <v>34635</v>
      </c>
      <c r="E70" s="2">
        <v>34663</v>
      </c>
      <c r="F70" s="2">
        <v>34646</v>
      </c>
      <c r="G70" s="1">
        <v>3</v>
      </c>
      <c r="H70" s="1">
        <v>150.15</v>
      </c>
      <c r="I70" s="1" t="s">
        <v>458</v>
      </c>
      <c r="J70" s="1" t="s">
        <v>459</v>
      </c>
      <c r="K70" s="1" t="s">
        <v>460</v>
      </c>
      <c r="L70" s="1" t="s">
        <v>461</v>
      </c>
      <c r="M70" s="3">
        <v>87110</v>
      </c>
      <c r="N70" s="1" t="s">
        <v>26</v>
      </c>
    </row>
    <row r="71" spans="1:14" ht="13">
      <c r="A71" s="1">
        <v>10317</v>
      </c>
      <c r="B71" s="1" t="s">
        <v>566</v>
      </c>
      <c r="C71" s="1">
        <v>6</v>
      </c>
      <c r="D71" s="2">
        <v>34638</v>
      </c>
      <c r="E71" s="2">
        <v>34666</v>
      </c>
      <c r="F71" s="2">
        <v>34648</v>
      </c>
      <c r="G71" s="1">
        <v>1</v>
      </c>
      <c r="H71" s="1">
        <v>12.69</v>
      </c>
      <c r="I71" s="1" t="s">
        <v>567</v>
      </c>
      <c r="J71" s="1" t="s">
        <v>568</v>
      </c>
      <c r="K71" s="1" t="s">
        <v>569</v>
      </c>
      <c r="L71" s="1" t="s">
        <v>128</v>
      </c>
      <c r="M71" s="3">
        <v>97219</v>
      </c>
      <c r="N71" s="1" t="s">
        <v>26</v>
      </c>
    </row>
    <row r="72" spans="1:14" ht="13">
      <c r="A72" s="1">
        <v>10318</v>
      </c>
      <c r="B72" s="1" t="s">
        <v>580</v>
      </c>
      <c r="C72" s="1">
        <v>8</v>
      </c>
      <c r="D72" s="2">
        <v>34639</v>
      </c>
      <c r="E72" s="2">
        <v>34667</v>
      </c>
      <c r="F72" s="2">
        <v>34642</v>
      </c>
      <c r="G72" s="1">
        <v>2</v>
      </c>
      <c r="H72" s="1">
        <v>4.7300000000000004</v>
      </c>
      <c r="I72" s="1" t="s">
        <v>581</v>
      </c>
      <c r="J72" s="1" t="s">
        <v>582</v>
      </c>
      <c r="K72" s="1" t="s">
        <v>583</v>
      </c>
      <c r="L72" s="1" t="s">
        <v>584</v>
      </c>
      <c r="M72" s="3" t="s">
        <v>585</v>
      </c>
      <c r="N72" s="1" t="s">
        <v>18</v>
      </c>
    </row>
    <row r="73" spans="1:14" ht="13">
      <c r="A73" s="1">
        <v>10319</v>
      </c>
      <c r="B73" s="1" t="s">
        <v>502</v>
      </c>
      <c r="C73" s="1">
        <v>7</v>
      </c>
      <c r="D73" s="2">
        <v>34640</v>
      </c>
      <c r="E73" s="2">
        <v>34668</v>
      </c>
      <c r="F73" s="2">
        <v>34649</v>
      </c>
      <c r="G73" s="1">
        <v>3</v>
      </c>
      <c r="H73" s="1">
        <v>64.5</v>
      </c>
      <c r="I73" s="1" t="s">
        <v>503</v>
      </c>
      <c r="J73" s="1" t="s">
        <v>504</v>
      </c>
      <c r="K73" s="1" t="s">
        <v>447</v>
      </c>
      <c r="M73" s="3">
        <v>5033</v>
      </c>
      <c r="N73" s="1" t="s">
        <v>448</v>
      </c>
    </row>
    <row r="74" spans="1:14" ht="13">
      <c r="A74" s="1">
        <v>10320</v>
      </c>
      <c r="B74" s="1" t="s">
        <v>471</v>
      </c>
      <c r="C74" s="1">
        <v>5</v>
      </c>
      <c r="D74" s="2">
        <v>34641</v>
      </c>
      <c r="E74" s="2">
        <v>34655</v>
      </c>
      <c r="F74" s="2">
        <v>34656</v>
      </c>
      <c r="G74" s="1">
        <v>3</v>
      </c>
      <c r="H74" s="1">
        <v>34.57</v>
      </c>
      <c r="I74" s="1" t="s">
        <v>472</v>
      </c>
      <c r="J74" s="1" t="s">
        <v>473</v>
      </c>
      <c r="K74" s="1" t="s">
        <v>474</v>
      </c>
      <c r="M74" s="3">
        <v>90110</v>
      </c>
      <c r="N74" s="1" t="s">
        <v>176</v>
      </c>
    </row>
    <row r="75" spans="1:14" ht="13">
      <c r="A75" s="1">
        <v>10321</v>
      </c>
      <c r="B75" s="1" t="s">
        <v>580</v>
      </c>
      <c r="C75" s="1">
        <v>3</v>
      </c>
      <c r="D75" s="2">
        <v>34641</v>
      </c>
      <c r="E75" s="2">
        <v>34669</v>
      </c>
      <c r="F75" s="2">
        <v>34649</v>
      </c>
      <c r="G75" s="1">
        <v>2</v>
      </c>
      <c r="H75" s="1">
        <v>3.43</v>
      </c>
      <c r="I75" s="1" t="s">
        <v>581</v>
      </c>
      <c r="J75" s="1" t="s">
        <v>582</v>
      </c>
      <c r="K75" s="1" t="s">
        <v>583</v>
      </c>
      <c r="L75" s="1" t="s">
        <v>584</v>
      </c>
      <c r="M75" s="3" t="s">
        <v>585</v>
      </c>
      <c r="N75" s="1" t="s">
        <v>18</v>
      </c>
    </row>
    <row r="76" spans="1:14" ht="13">
      <c r="A76" s="1">
        <v>10322</v>
      </c>
      <c r="B76" s="1" t="s">
        <v>586</v>
      </c>
      <c r="C76" s="1">
        <v>7</v>
      </c>
      <c r="D76" s="2">
        <v>34642</v>
      </c>
      <c r="E76" s="2">
        <v>34670</v>
      </c>
      <c r="F76" s="2">
        <v>34661</v>
      </c>
      <c r="G76" s="1">
        <v>3</v>
      </c>
      <c r="H76" s="1">
        <v>0.4</v>
      </c>
      <c r="I76" s="1" t="s">
        <v>587</v>
      </c>
      <c r="J76" s="1" t="s">
        <v>588</v>
      </c>
      <c r="K76" s="1" t="s">
        <v>447</v>
      </c>
      <c r="M76" s="3">
        <v>5033</v>
      </c>
      <c r="N76" s="1" t="s">
        <v>448</v>
      </c>
    </row>
    <row r="77" spans="1:14" ht="13">
      <c r="A77" s="1">
        <v>10323</v>
      </c>
      <c r="B77" s="1" t="s">
        <v>589</v>
      </c>
      <c r="C77" s="1">
        <v>4</v>
      </c>
      <c r="D77" s="2">
        <v>34645</v>
      </c>
      <c r="E77" s="2">
        <v>34673</v>
      </c>
      <c r="F77" s="2">
        <v>34652</v>
      </c>
      <c r="G77" s="1">
        <v>1</v>
      </c>
      <c r="H77" s="1">
        <v>4.88</v>
      </c>
      <c r="I77" s="1" t="s">
        <v>590</v>
      </c>
      <c r="J77" s="1" t="s">
        <v>591</v>
      </c>
      <c r="K77" s="1" t="s">
        <v>592</v>
      </c>
      <c r="M77" s="3">
        <v>14776</v>
      </c>
      <c r="N77" s="1" t="s">
        <v>93</v>
      </c>
    </row>
    <row r="78" spans="1:14" ht="13">
      <c r="A78" s="1">
        <v>10324</v>
      </c>
      <c r="B78" s="1" t="s">
        <v>593</v>
      </c>
      <c r="C78" s="1">
        <v>9</v>
      </c>
      <c r="D78" s="2">
        <v>34646</v>
      </c>
      <c r="E78" s="2">
        <v>34674</v>
      </c>
      <c r="F78" s="2">
        <v>34648</v>
      </c>
      <c r="G78" s="1">
        <v>1</v>
      </c>
      <c r="H78" s="1">
        <v>214.27</v>
      </c>
      <c r="I78" s="1" t="s">
        <v>594</v>
      </c>
      <c r="J78" s="1" t="s">
        <v>595</v>
      </c>
      <c r="K78" s="1" t="s">
        <v>596</v>
      </c>
      <c r="L78" s="1" t="s">
        <v>597</v>
      </c>
      <c r="M78" s="3">
        <v>83720</v>
      </c>
      <c r="N78" s="1" t="s">
        <v>26</v>
      </c>
    </row>
    <row r="79" spans="1:14" ht="13">
      <c r="A79" s="1">
        <v>10325</v>
      </c>
      <c r="B79" s="1" t="s">
        <v>589</v>
      </c>
      <c r="C79" s="1">
        <v>1</v>
      </c>
      <c r="D79" s="2">
        <v>34647</v>
      </c>
      <c r="E79" s="2">
        <v>34661</v>
      </c>
      <c r="F79" s="2">
        <v>34652</v>
      </c>
      <c r="G79" s="1">
        <v>3</v>
      </c>
      <c r="H79" s="1">
        <v>64.86</v>
      </c>
      <c r="I79" s="1" t="s">
        <v>590</v>
      </c>
      <c r="J79" s="1" t="s">
        <v>591</v>
      </c>
      <c r="K79" s="1" t="s">
        <v>592</v>
      </c>
      <c r="M79" s="3">
        <v>14776</v>
      </c>
      <c r="N79" s="1" t="s">
        <v>93</v>
      </c>
    </row>
    <row r="80" spans="1:14" ht="13">
      <c r="A80" s="1">
        <v>10326</v>
      </c>
      <c r="B80" s="1" t="s">
        <v>598</v>
      </c>
      <c r="C80" s="1">
        <v>4</v>
      </c>
      <c r="D80" s="2">
        <v>34648</v>
      </c>
      <c r="E80" s="2">
        <v>34676</v>
      </c>
      <c r="F80" s="2">
        <v>34652</v>
      </c>
      <c r="G80" s="1">
        <v>2</v>
      </c>
      <c r="H80" s="1">
        <v>77.92</v>
      </c>
      <c r="I80" s="1" t="s">
        <v>599</v>
      </c>
      <c r="J80" s="1" t="s">
        <v>600</v>
      </c>
      <c r="K80" s="1" t="s">
        <v>521</v>
      </c>
      <c r="M80" s="3">
        <v>28023</v>
      </c>
      <c r="N80" s="1" t="s">
        <v>50</v>
      </c>
    </row>
    <row r="81" spans="1:14" ht="13">
      <c r="A81" s="1">
        <v>10327</v>
      </c>
      <c r="B81" s="1" t="s">
        <v>462</v>
      </c>
      <c r="C81" s="1">
        <v>2</v>
      </c>
      <c r="D81" s="2">
        <v>34649</v>
      </c>
      <c r="E81" s="2">
        <v>34677</v>
      </c>
      <c r="F81" s="2">
        <v>34652</v>
      </c>
      <c r="G81" s="1">
        <v>1</v>
      </c>
      <c r="H81" s="1">
        <v>63.36</v>
      </c>
      <c r="I81" s="1" t="s">
        <v>463</v>
      </c>
      <c r="J81" s="1" t="s">
        <v>464</v>
      </c>
      <c r="K81" s="1" t="s">
        <v>465</v>
      </c>
      <c r="M81" s="3" t="s">
        <v>466</v>
      </c>
      <c r="N81" s="1" t="s">
        <v>79</v>
      </c>
    </row>
    <row r="82" spans="1:14" ht="13">
      <c r="A82" s="1">
        <v>10328</v>
      </c>
      <c r="B82" s="1" t="s">
        <v>601</v>
      </c>
      <c r="C82" s="1">
        <v>4</v>
      </c>
      <c r="D82" s="2">
        <v>34652</v>
      </c>
      <c r="E82" s="2">
        <v>34680</v>
      </c>
      <c r="F82" s="2">
        <v>34655</v>
      </c>
      <c r="G82" s="1">
        <v>3</v>
      </c>
      <c r="H82" s="1">
        <v>87.03</v>
      </c>
      <c r="I82" s="1" t="s">
        <v>602</v>
      </c>
      <c r="J82" s="1" t="s">
        <v>603</v>
      </c>
      <c r="K82" s="1" t="s">
        <v>604</v>
      </c>
      <c r="M82" s="3">
        <v>1675</v>
      </c>
      <c r="N82" s="1" t="s">
        <v>605</v>
      </c>
    </row>
    <row r="83" spans="1:14" ht="13">
      <c r="A83" s="1">
        <v>10329</v>
      </c>
      <c r="B83" s="1" t="s">
        <v>489</v>
      </c>
      <c r="C83" s="1">
        <v>4</v>
      </c>
      <c r="D83" s="2">
        <v>34653</v>
      </c>
      <c r="E83" s="2">
        <v>34695</v>
      </c>
      <c r="F83" s="2">
        <v>34661</v>
      </c>
      <c r="G83" s="1">
        <v>2</v>
      </c>
      <c r="H83" s="1">
        <v>191.67</v>
      </c>
      <c r="I83" s="1" t="s">
        <v>490</v>
      </c>
      <c r="J83" s="1" t="s">
        <v>491</v>
      </c>
      <c r="K83" s="1" t="s">
        <v>492</v>
      </c>
      <c r="L83" s="1" t="s">
        <v>493</v>
      </c>
      <c r="M83" s="3">
        <v>82520</v>
      </c>
      <c r="N83" s="1" t="s">
        <v>26</v>
      </c>
    </row>
    <row r="84" spans="1:14" ht="13">
      <c r="A84" s="1">
        <v>10330</v>
      </c>
      <c r="B84" s="1" t="s">
        <v>522</v>
      </c>
      <c r="C84" s="1">
        <v>3</v>
      </c>
      <c r="D84" s="2">
        <v>34654</v>
      </c>
      <c r="E84" s="2">
        <v>34682</v>
      </c>
      <c r="F84" s="2">
        <v>34666</v>
      </c>
      <c r="G84" s="1">
        <v>1</v>
      </c>
      <c r="H84" s="1">
        <v>12.75</v>
      </c>
      <c r="I84" s="1" t="s">
        <v>523</v>
      </c>
      <c r="J84" s="1" t="s">
        <v>524</v>
      </c>
      <c r="K84" s="1" t="s">
        <v>525</v>
      </c>
      <c r="L84" s="1" t="s">
        <v>526</v>
      </c>
      <c r="M84" s="3">
        <v>3508</v>
      </c>
      <c r="N84" s="1" t="s">
        <v>438</v>
      </c>
    </row>
    <row r="85" spans="1:14" ht="13">
      <c r="A85" s="1">
        <v>10331</v>
      </c>
      <c r="B85" s="1" t="s">
        <v>606</v>
      </c>
      <c r="C85" s="1">
        <v>9</v>
      </c>
      <c r="D85" s="2">
        <v>34654</v>
      </c>
      <c r="E85" s="2">
        <v>34696</v>
      </c>
      <c r="F85" s="2">
        <v>34659</v>
      </c>
      <c r="G85" s="1">
        <v>1</v>
      </c>
      <c r="H85" s="1">
        <v>10.19</v>
      </c>
      <c r="I85" s="1" t="s">
        <v>607</v>
      </c>
      <c r="J85" s="1" t="s">
        <v>608</v>
      </c>
      <c r="K85" s="1" t="s">
        <v>609</v>
      </c>
      <c r="M85" s="3">
        <v>13008</v>
      </c>
      <c r="N85" s="1" t="s">
        <v>140</v>
      </c>
    </row>
    <row r="86" spans="1:14" ht="13">
      <c r="A86" s="1">
        <v>10332</v>
      </c>
      <c r="B86" s="1" t="s">
        <v>610</v>
      </c>
      <c r="C86" s="1">
        <v>3</v>
      </c>
      <c r="D86" s="2">
        <v>34655</v>
      </c>
      <c r="E86" s="2">
        <v>34697</v>
      </c>
      <c r="F86" s="2">
        <v>34659</v>
      </c>
      <c r="G86" s="1">
        <v>2</v>
      </c>
      <c r="H86" s="1">
        <v>52.84</v>
      </c>
      <c r="I86" s="1" t="s">
        <v>611</v>
      </c>
      <c r="J86" s="1" t="s">
        <v>612</v>
      </c>
      <c r="K86" s="1" t="s">
        <v>189</v>
      </c>
      <c r="L86" s="1" t="s">
        <v>190</v>
      </c>
      <c r="M86" s="3" t="s">
        <v>191</v>
      </c>
      <c r="N86" s="1" t="s">
        <v>192</v>
      </c>
    </row>
    <row r="87" spans="1:14" ht="13">
      <c r="A87" s="1">
        <v>10333</v>
      </c>
      <c r="B87" s="1" t="s">
        <v>471</v>
      </c>
      <c r="C87" s="1">
        <v>5</v>
      </c>
      <c r="D87" s="2">
        <v>34656</v>
      </c>
      <c r="E87" s="2">
        <v>34684</v>
      </c>
      <c r="F87" s="2">
        <v>34663</v>
      </c>
      <c r="G87" s="1">
        <v>3</v>
      </c>
      <c r="H87" s="1">
        <v>0.59</v>
      </c>
      <c r="I87" s="1" t="s">
        <v>472</v>
      </c>
      <c r="J87" s="1" t="s">
        <v>473</v>
      </c>
      <c r="K87" s="1" t="s">
        <v>474</v>
      </c>
      <c r="M87" s="3">
        <v>90110</v>
      </c>
      <c r="N87" s="1" t="s">
        <v>176</v>
      </c>
    </row>
    <row r="88" spans="1:14" ht="13">
      <c r="A88" s="1">
        <v>10334</v>
      </c>
      <c r="B88" s="1" t="s">
        <v>408</v>
      </c>
      <c r="C88" s="1">
        <v>8</v>
      </c>
      <c r="D88" s="2">
        <v>34659</v>
      </c>
      <c r="E88" s="2">
        <v>34687</v>
      </c>
      <c r="F88" s="2">
        <v>34666</v>
      </c>
      <c r="G88" s="1">
        <v>2</v>
      </c>
      <c r="H88" s="1">
        <v>8.56</v>
      </c>
      <c r="I88" s="1" t="s">
        <v>409</v>
      </c>
      <c r="J88" s="1" t="s">
        <v>410</v>
      </c>
      <c r="K88" s="1" t="s">
        <v>411</v>
      </c>
      <c r="M88" s="3">
        <v>69004</v>
      </c>
      <c r="N88" s="1" t="s">
        <v>140</v>
      </c>
    </row>
    <row r="89" spans="1:14" ht="13">
      <c r="A89" s="1">
        <v>10335</v>
      </c>
      <c r="B89" s="1" t="s">
        <v>547</v>
      </c>
      <c r="C89" s="1">
        <v>7</v>
      </c>
      <c r="D89" s="2">
        <v>34660</v>
      </c>
      <c r="E89" s="2">
        <v>34688</v>
      </c>
      <c r="F89" s="2">
        <v>34662</v>
      </c>
      <c r="G89" s="1">
        <v>2</v>
      </c>
      <c r="H89" s="1">
        <v>42.11</v>
      </c>
      <c r="I89" s="1" t="s">
        <v>548</v>
      </c>
      <c r="J89" s="1" t="s">
        <v>549</v>
      </c>
      <c r="K89" s="1" t="s">
        <v>550</v>
      </c>
      <c r="L89" s="1" t="s">
        <v>551</v>
      </c>
      <c r="N89" s="1" t="s">
        <v>552</v>
      </c>
    </row>
    <row r="90" spans="1:14" ht="13">
      <c r="A90" s="1">
        <v>10336</v>
      </c>
      <c r="B90" s="1" t="s">
        <v>613</v>
      </c>
      <c r="C90" s="1">
        <v>7</v>
      </c>
      <c r="D90" s="2">
        <v>34661</v>
      </c>
      <c r="E90" s="2">
        <v>34689</v>
      </c>
      <c r="F90" s="2">
        <v>34663</v>
      </c>
      <c r="G90" s="1">
        <v>2</v>
      </c>
      <c r="H90" s="1">
        <v>15.51</v>
      </c>
      <c r="I90" s="1" t="s">
        <v>614</v>
      </c>
      <c r="J90" s="1" t="s">
        <v>615</v>
      </c>
      <c r="K90" s="1" t="s">
        <v>604</v>
      </c>
      <c r="M90" s="3">
        <v>1756</v>
      </c>
      <c r="N90" s="1" t="s">
        <v>605</v>
      </c>
    </row>
    <row r="91" spans="1:14" ht="13">
      <c r="A91" s="1">
        <v>10337</v>
      </c>
      <c r="B91" s="1" t="s">
        <v>475</v>
      </c>
      <c r="C91" s="1">
        <v>4</v>
      </c>
      <c r="D91" s="2">
        <v>34662</v>
      </c>
      <c r="E91" s="2">
        <v>34690</v>
      </c>
      <c r="F91" s="2">
        <v>34667</v>
      </c>
      <c r="G91" s="1">
        <v>3</v>
      </c>
      <c r="H91" s="1">
        <v>108.26</v>
      </c>
      <c r="I91" s="1" t="s">
        <v>476</v>
      </c>
      <c r="J91" s="1" t="s">
        <v>477</v>
      </c>
      <c r="K91" s="1" t="s">
        <v>478</v>
      </c>
      <c r="M91" s="3">
        <v>80805</v>
      </c>
      <c r="N91" s="1" t="s">
        <v>93</v>
      </c>
    </row>
    <row r="92" spans="1:14" ht="13">
      <c r="A92" s="1">
        <v>10338</v>
      </c>
      <c r="B92" s="1" t="s">
        <v>561</v>
      </c>
      <c r="C92" s="1">
        <v>4</v>
      </c>
      <c r="D92" s="2">
        <v>34663</v>
      </c>
      <c r="E92" s="2">
        <v>34691</v>
      </c>
      <c r="F92" s="2">
        <v>34667</v>
      </c>
      <c r="G92" s="1">
        <v>3</v>
      </c>
      <c r="H92" s="1">
        <v>84.21</v>
      </c>
      <c r="I92" s="1" t="s">
        <v>562</v>
      </c>
      <c r="J92" s="1" t="s">
        <v>563</v>
      </c>
      <c r="K92" s="1" t="s">
        <v>564</v>
      </c>
      <c r="L92" s="1" t="s">
        <v>565</v>
      </c>
      <c r="M92" s="3">
        <v>99508</v>
      </c>
      <c r="N92" s="1" t="s">
        <v>26</v>
      </c>
    </row>
    <row r="93" spans="1:14" ht="13">
      <c r="A93" s="1">
        <v>10339</v>
      </c>
      <c r="B93" s="1" t="s">
        <v>610</v>
      </c>
      <c r="C93" s="1">
        <v>2</v>
      </c>
      <c r="D93" s="2">
        <v>34666</v>
      </c>
      <c r="E93" s="2">
        <v>34694</v>
      </c>
      <c r="F93" s="2">
        <v>34673</v>
      </c>
      <c r="G93" s="1">
        <v>2</v>
      </c>
      <c r="H93" s="1">
        <v>15.66</v>
      </c>
      <c r="I93" s="1" t="s">
        <v>611</v>
      </c>
      <c r="J93" s="1" t="s">
        <v>612</v>
      </c>
      <c r="K93" s="1" t="s">
        <v>189</v>
      </c>
      <c r="L93" s="1" t="s">
        <v>190</v>
      </c>
      <c r="M93" s="3" t="s">
        <v>191</v>
      </c>
      <c r="N93" s="1" t="s">
        <v>192</v>
      </c>
    </row>
    <row r="94" spans="1:14" ht="13">
      <c r="A94" s="1">
        <v>10340</v>
      </c>
      <c r="B94" s="1" t="s">
        <v>606</v>
      </c>
      <c r="C94" s="1">
        <v>1</v>
      </c>
      <c r="D94" s="2">
        <v>34667</v>
      </c>
      <c r="E94" s="2">
        <v>34695</v>
      </c>
      <c r="F94" s="2">
        <v>34677</v>
      </c>
      <c r="G94" s="1">
        <v>3</v>
      </c>
      <c r="H94" s="1">
        <v>166.31</v>
      </c>
      <c r="I94" s="1" t="s">
        <v>607</v>
      </c>
      <c r="J94" s="1" t="s">
        <v>608</v>
      </c>
      <c r="K94" s="1" t="s">
        <v>609</v>
      </c>
      <c r="M94" s="3">
        <v>13008</v>
      </c>
      <c r="N94" s="1" t="s">
        <v>140</v>
      </c>
    </row>
    <row r="95" spans="1:14" ht="13">
      <c r="A95" s="1">
        <v>10341</v>
      </c>
      <c r="B95" s="1" t="s">
        <v>616</v>
      </c>
      <c r="C95" s="1">
        <v>7</v>
      </c>
      <c r="D95" s="2">
        <v>34667</v>
      </c>
      <c r="E95" s="2">
        <v>34695</v>
      </c>
      <c r="F95" s="2">
        <v>34674</v>
      </c>
      <c r="G95" s="1">
        <v>3</v>
      </c>
      <c r="H95" s="1">
        <v>26.78</v>
      </c>
      <c r="I95" s="1" t="s">
        <v>617</v>
      </c>
      <c r="J95" s="1" t="s">
        <v>618</v>
      </c>
      <c r="K95" s="1" t="s">
        <v>619</v>
      </c>
      <c r="M95" s="3">
        <v>1734</v>
      </c>
      <c r="N95" s="1" t="s">
        <v>161</v>
      </c>
    </row>
    <row r="96" spans="1:14" ht="13">
      <c r="A96" s="1">
        <v>10342</v>
      </c>
      <c r="B96" s="1" t="s">
        <v>475</v>
      </c>
      <c r="C96" s="1">
        <v>4</v>
      </c>
      <c r="D96" s="2">
        <v>34668</v>
      </c>
      <c r="E96" s="2">
        <v>34682</v>
      </c>
      <c r="F96" s="2">
        <v>34673</v>
      </c>
      <c r="G96" s="1">
        <v>2</v>
      </c>
      <c r="H96" s="1">
        <v>54.83</v>
      </c>
      <c r="I96" s="1" t="s">
        <v>476</v>
      </c>
      <c r="J96" s="1" t="s">
        <v>477</v>
      </c>
      <c r="K96" s="1" t="s">
        <v>478</v>
      </c>
      <c r="M96" s="3">
        <v>80805</v>
      </c>
      <c r="N96" s="1" t="s">
        <v>93</v>
      </c>
    </row>
    <row r="97" spans="1:14" ht="13">
      <c r="A97" s="1">
        <v>10343</v>
      </c>
      <c r="B97" s="1" t="s">
        <v>514</v>
      </c>
      <c r="C97" s="1">
        <v>4</v>
      </c>
      <c r="D97" s="2">
        <v>34669</v>
      </c>
      <c r="E97" s="2">
        <v>34697</v>
      </c>
      <c r="F97" s="2">
        <v>34675</v>
      </c>
      <c r="G97" s="1">
        <v>1</v>
      </c>
      <c r="H97" s="1">
        <v>110.37</v>
      </c>
      <c r="I97" s="1" t="s">
        <v>515</v>
      </c>
      <c r="J97" s="1" t="s">
        <v>516</v>
      </c>
      <c r="K97" s="1" t="s">
        <v>517</v>
      </c>
      <c r="M97" s="3">
        <v>60528</v>
      </c>
      <c r="N97" s="1" t="s">
        <v>93</v>
      </c>
    </row>
    <row r="98" spans="1:14" ht="13">
      <c r="A98" s="1">
        <v>10344</v>
      </c>
      <c r="B98" s="1" t="s">
        <v>484</v>
      </c>
      <c r="C98" s="1">
        <v>4</v>
      </c>
      <c r="D98" s="2">
        <v>34670</v>
      </c>
      <c r="E98" s="2">
        <v>34698</v>
      </c>
      <c r="F98" s="2">
        <v>34674</v>
      </c>
      <c r="G98" s="1">
        <v>2</v>
      </c>
      <c r="H98" s="1">
        <v>23.29</v>
      </c>
      <c r="I98" s="1" t="s">
        <v>485</v>
      </c>
      <c r="J98" s="1" t="s">
        <v>486</v>
      </c>
      <c r="K98" s="1" t="s">
        <v>487</v>
      </c>
      <c r="L98" s="1" t="s">
        <v>488</v>
      </c>
      <c r="M98" s="3">
        <v>98124</v>
      </c>
      <c r="N98" s="1" t="s">
        <v>26</v>
      </c>
    </row>
    <row r="99" spans="1:14" ht="13">
      <c r="A99" s="1">
        <v>10345</v>
      </c>
      <c r="B99" s="1" t="s">
        <v>494</v>
      </c>
      <c r="C99" s="1">
        <v>2</v>
      </c>
      <c r="D99" s="2">
        <v>34673</v>
      </c>
      <c r="E99" s="2">
        <v>34701</v>
      </c>
      <c r="F99" s="2">
        <v>34680</v>
      </c>
      <c r="G99" s="1">
        <v>2</v>
      </c>
      <c r="H99" s="1">
        <v>249.06</v>
      </c>
      <c r="I99" s="1" t="s">
        <v>495</v>
      </c>
      <c r="J99" s="1" t="s">
        <v>496</v>
      </c>
      <c r="K99" s="1" t="s">
        <v>497</v>
      </c>
      <c r="M99" s="3">
        <v>1307</v>
      </c>
      <c r="N99" s="1" t="s">
        <v>93</v>
      </c>
    </row>
    <row r="100" spans="1:14" ht="13">
      <c r="A100" s="1">
        <v>10346</v>
      </c>
      <c r="B100" s="1" t="s">
        <v>457</v>
      </c>
      <c r="C100" s="1">
        <v>3</v>
      </c>
      <c r="D100" s="2">
        <v>34674</v>
      </c>
      <c r="E100" s="2">
        <v>34716</v>
      </c>
      <c r="F100" s="2">
        <v>34677</v>
      </c>
      <c r="G100" s="1">
        <v>3</v>
      </c>
      <c r="H100" s="1">
        <v>142.08000000000001</v>
      </c>
      <c r="I100" s="1" t="s">
        <v>458</v>
      </c>
      <c r="J100" s="1" t="s">
        <v>459</v>
      </c>
      <c r="K100" s="1" t="s">
        <v>460</v>
      </c>
      <c r="L100" s="1" t="s">
        <v>461</v>
      </c>
      <c r="M100" s="3">
        <v>87110</v>
      </c>
      <c r="N100" s="1" t="s">
        <v>26</v>
      </c>
    </row>
    <row r="101" spans="1:14" ht="13">
      <c r="A101" s="1">
        <v>10347</v>
      </c>
      <c r="B101" s="1" t="s">
        <v>620</v>
      </c>
      <c r="C101" s="1">
        <v>4</v>
      </c>
      <c r="D101" s="2">
        <v>34675</v>
      </c>
      <c r="E101" s="2">
        <v>34703</v>
      </c>
      <c r="F101" s="2">
        <v>34677</v>
      </c>
      <c r="G101" s="1">
        <v>3</v>
      </c>
      <c r="H101" s="1">
        <v>3.1</v>
      </c>
      <c r="I101" s="1" t="s">
        <v>621</v>
      </c>
      <c r="J101" s="1" t="s">
        <v>622</v>
      </c>
      <c r="K101" s="1" t="s">
        <v>85</v>
      </c>
      <c r="L101" s="1" t="s">
        <v>431</v>
      </c>
      <c r="M101" s="3" t="s">
        <v>623</v>
      </c>
      <c r="N101" s="1" t="s">
        <v>86</v>
      </c>
    </row>
    <row r="102" spans="1:14" ht="13">
      <c r="A102" s="1">
        <v>10348</v>
      </c>
      <c r="B102" s="1" t="s">
        <v>553</v>
      </c>
      <c r="C102" s="1">
        <v>4</v>
      </c>
      <c r="D102" s="2">
        <v>34676</v>
      </c>
      <c r="E102" s="2">
        <v>34704</v>
      </c>
      <c r="F102" s="2">
        <v>34684</v>
      </c>
      <c r="G102" s="1">
        <v>2</v>
      </c>
      <c r="H102" s="1">
        <v>0.78</v>
      </c>
      <c r="I102" s="1" t="s">
        <v>554</v>
      </c>
      <c r="J102" s="1" t="s">
        <v>555</v>
      </c>
      <c r="K102" s="1" t="s">
        <v>556</v>
      </c>
      <c r="M102" s="3">
        <v>70563</v>
      </c>
      <c r="N102" s="1" t="s">
        <v>93</v>
      </c>
    </row>
    <row r="103" spans="1:14" ht="13">
      <c r="A103" s="1">
        <v>10349</v>
      </c>
      <c r="B103" s="1" t="s">
        <v>489</v>
      </c>
      <c r="C103" s="1">
        <v>7</v>
      </c>
      <c r="D103" s="2">
        <v>34677</v>
      </c>
      <c r="E103" s="2">
        <v>34705</v>
      </c>
      <c r="F103" s="2">
        <v>34684</v>
      </c>
      <c r="G103" s="1">
        <v>1</v>
      </c>
      <c r="H103" s="1">
        <v>8.6300000000000008</v>
      </c>
      <c r="I103" s="1" t="s">
        <v>490</v>
      </c>
      <c r="J103" s="1" t="s">
        <v>491</v>
      </c>
      <c r="K103" s="1" t="s">
        <v>492</v>
      </c>
      <c r="L103" s="1" t="s">
        <v>493</v>
      </c>
      <c r="M103" s="3">
        <v>82520</v>
      </c>
      <c r="N103" s="1" t="s">
        <v>26</v>
      </c>
    </row>
    <row r="104" spans="1:14" ht="13">
      <c r="A104" s="1">
        <v>10350</v>
      </c>
      <c r="B104" s="1" t="s">
        <v>624</v>
      </c>
      <c r="C104" s="1">
        <v>6</v>
      </c>
      <c r="D104" s="2">
        <v>34680</v>
      </c>
      <c r="E104" s="2">
        <v>34708</v>
      </c>
      <c r="F104" s="2">
        <v>34702</v>
      </c>
      <c r="G104" s="1">
        <v>2</v>
      </c>
      <c r="H104" s="1">
        <v>64.19</v>
      </c>
      <c r="I104" s="1" t="s">
        <v>625</v>
      </c>
      <c r="J104" s="1" t="s">
        <v>626</v>
      </c>
      <c r="K104" s="1" t="s">
        <v>627</v>
      </c>
      <c r="M104" s="3">
        <v>31000</v>
      </c>
      <c r="N104" s="1" t="s">
        <v>140</v>
      </c>
    </row>
    <row r="105" spans="1:14" ht="13">
      <c r="A105" s="1">
        <v>10351</v>
      </c>
      <c r="B105" s="1" t="s">
        <v>439</v>
      </c>
      <c r="C105" s="1">
        <v>1</v>
      </c>
      <c r="D105" s="2">
        <v>34680</v>
      </c>
      <c r="E105" s="2">
        <v>34708</v>
      </c>
      <c r="F105" s="2">
        <v>34689</v>
      </c>
      <c r="G105" s="1">
        <v>1</v>
      </c>
      <c r="H105" s="1">
        <v>162.33000000000001</v>
      </c>
      <c r="I105" s="1" t="s">
        <v>440</v>
      </c>
      <c r="J105" s="1" t="s">
        <v>441</v>
      </c>
      <c r="K105" s="1" t="s">
        <v>442</v>
      </c>
      <c r="M105" s="3">
        <v>8010</v>
      </c>
      <c r="N105" s="1" t="s">
        <v>443</v>
      </c>
    </row>
    <row r="106" spans="1:14" ht="13">
      <c r="A106" s="1">
        <v>10352</v>
      </c>
      <c r="B106" s="1" t="s">
        <v>601</v>
      </c>
      <c r="C106" s="1">
        <v>3</v>
      </c>
      <c r="D106" s="2">
        <v>34681</v>
      </c>
      <c r="E106" s="2">
        <v>34695</v>
      </c>
      <c r="F106" s="2">
        <v>34687</v>
      </c>
      <c r="G106" s="1">
        <v>3</v>
      </c>
      <c r="H106" s="1">
        <v>1.3</v>
      </c>
      <c r="I106" s="1" t="s">
        <v>602</v>
      </c>
      <c r="J106" s="1" t="s">
        <v>603</v>
      </c>
      <c r="K106" s="1" t="s">
        <v>604</v>
      </c>
      <c r="M106" s="3">
        <v>1675</v>
      </c>
      <c r="N106" s="1" t="s">
        <v>605</v>
      </c>
    </row>
    <row r="107" spans="1:14" ht="13">
      <c r="A107" s="1">
        <v>10353</v>
      </c>
      <c r="B107" s="1" t="s">
        <v>628</v>
      </c>
      <c r="C107" s="1">
        <v>7</v>
      </c>
      <c r="D107" s="2">
        <v>34682</v>
      </c>
      <c r="E107" s="2">
        <v>34710</v>
      </c>
      <c r="F107" s="2">
        <v>34694</v>
      </c>
      <c r="G107" s="1">
        <v>3</v>
      </c>
      <c r="H107" s="1">
        <v>360.63</v>
      </c>
      <c r="I107" s="1" t="s">
        <v>629</v>
      </c>
      <c r="J107" s="1" t="s">
        <v>630</v>
      </c>
      <c r="K107" s="1" t="s">
        <v>631</v>
      </c>
      <c r="M107" s="3">
        <v>5020</v>
      </c>
      <c r="N107" s="1" t="s">
        <v>443</v>
      </c>
    </row>
    <row r="108" spans="1:14" ht="13">
      <c r="A108" s="1">
        <v>10354</v>
      </c>
      <c r="B108" s="1" t="s">
        <v>586</v>
      </c>
      <c r="C108" s="1">
        <v>8</v>
      </c>
      <c r="D108" s="2">
        <v>34683</v>
      </c>
      <c r="E108" s="2">
        <v>34711</v>
      </c>
      <c r="F108" s="2">
        <v>34689</v>
      </c>
      <c r="G108" s="1">
        <v>3</v>
      </c>
      <c r="H108" s="1">
        <v>53.8</v>
      </c>
      <c r="I108" s="1" t="s">
        <v>587</v>
      </c>
      <c r="J108" s="1" t="s">
        <v>588</v>
      </c>
      <c r="K108" s="1" t="s">
        <v>447</v>
      </c>
      <c r="M108" s="3">
        <v>5033</v>
      </c>
      <c r="N108" s="1" t="s">
        <v>448</v>
      </c>
    </row>
    <row r="109" spans="1:14" ht="13">
      <c r="A109" s="1">
        <v>10355</v>
      </c>
      <c r="B109" s="1" t="s">
        <v>632</v>
      </c>
      <c r="C109" s="1">
        <v>6</v>
      </c>
      <c r="D109" s="2">
        <v>34684</v>
      </c>
      <c r="E109" s="2">
        <v>34712</v>
      </c>
      <c r="F109" s="2">
        <v>34689</v>
      </c>
      <c r="G109" s="1">
        <v>1</v>
      </c>
      <c r="H109" s="1">
        <v>41.95</v>
      </c>
      <c r="I109" s="1" t="s">
        <v>633</v>
      </c>
      <c r="J109" s="1" t="s">
        <v>634</v>
      </c>
      <c r="K109" s="1" t="s">
        <v>635</v>
      </c>
      <c r="L109" s="1" t="s">
        <v>636</v>
      </c>
      <c r="M109" s="3" t="s">
        <v>637</v>
      </c>
      <c r="N109" s="1" t="s">
        <v>18</v>
      </c>
    </row>
    <row r="110" spans="1:14" ht="13">
      <c r="A110" s="1">
        <v>10356</v>
      </c>
      <c r="B110" s="1" t="s">
        <v>553</v>
      </c>
      <c r="C110" s="1">
        <v>6</v>
      </c>
      <c r="D110" s="2">
        <v>34687</v>
      </c>
      <c r="E110" s="2">
        <v>34715</v>
      </c>
      <c r="F110" s="2">
        <v>34696</v>
      </c>
      <c r="G110" s="1">
        <v>2</v>
      </c>
      <c r="H110" s="1">
        <v>36.71</v>
      </c>
      <c r="I110" s="1" t="s">
        <v>554</v>
      </c>
      <c r="J110" s="1" t="s">
        <v>555</v>
      </c>
      <c r="K110" s="1" t="s">
        <v>556</v>
      </c>
      <c r="M110" s="3">
        <v>70563</v>
      </c>
      <c r="N110" s="1" t="s">
        <v>93</v>
      </c>
    </row>
    <row r="111" spans="1:14" ht="13">
      <c r="A111" s="1">
        <v>10357</v>
      </c>
      <c r="B111" s="1" t="s">
        <v>522</v>
      </c>
      <c r="C111" s="1">
        <v>1</v>
      </c>
      <c r="D111" s="2">
        <v>34688</v>
      </c>
      <c r="E111" s="2">
        <v>34716</v>
      </c>
      <c r="F111" s="2">
        <v>34701</v>
      </c>
      <c r="G111" s="1">
        <v>3</v>
      </c>
      <c r="H111" s="1">
        <v>34.880000000000003</v>
      </c>
      <c r="I111" s="1" t="s">
        <v>523</v>
      </c>
      <c r="J111" s="1" t="s">
        <v>524</v>
      </c>
      <c r="K111" s="1" t="s">
        <v>525</v>
      </c>
      <c r="L111" s="1" t="s">
        <v>526</v>
      </c>
      <c r="M111" s="3">
        <v>3508</v>
      </c>
      <c r="N111" s="1" t="s">
        <v>438</v>
      </c>
    </row>
    <row r="112" spans="1:14" ht="13">
      <c r="A112" s="1">
        <v>10358</v>
      </c>
      <c r="B112" s="1" t="s">
        <v>624</v>
      </c>
      <c r="C112" s="1">
        <v>5</v>
      </c>
      <c r="D112" s="2">
        <v>34689</v>
      </c>
      <c r="E112" s="2">
        <v>34717</v>
      </c>
      <c r="F112" s="2">
        <v>34696</v>
      </c>
      <c r="G112" s="1">
        <v>1</v>
      </c>
      <c r="H112" s="1">
        <v>19.64</v>
      </c>
      <c r="I112" s="1" t="s">
        <v>625</v>
      </c>
      <c r="J112" s="1" t="s">
        <v>626</v>
      </c>
      <c r="K112" s="1" t="s">
        <v>627</v>
      </c>
      <c r="M112" s="3">
        <v>31000</v>
      </c>
      <c r="N112" s="1" t="s">
        <v>140</v>
      </c>
    </row>
    <row r="113" spans="1:14" ht="13">
      <c r="A113" s="1">
        <v>10359</v>
      </c>
      <c r="B113" s="1" t="s">
        <v>638</v>
      </c>
      <c r="C113" s="1">
        <v>5</v>
      </c>
      <c r="D113" s="2">
        <v>34690</v>
      </c>
      <c r="E113" s="2">
        <v>34718</v>
      </c>
      <c r="F113" s="2">
        <v>34695</v>
      </c>
      <c r="G113" s="1">
        <v>3</v>
      </c>
      <c r="H113" s="1">
        <v>288.43</v>
      </c>
      <c r="I113" s="1" t="s">
        <v>639</v>
      </c>
      <c r="J113" s="1" t="s">
        <v>640</v>
      </c>
      <c r="K113" s="1" t="s">
        <v>16</v>
      </c>
      <c r="M113" s="3" t="s">
        <v>641</v>
      </c>
      <c r="N113" s="1" t="s">
        <v>18</v>
      </c>
    </row>
    <row r="114" spans="1:14" ht="13">
      <c r="A114" s="1">
        <v>10360</v>
      </c>
      <c r="B114" s="1" t="s">
        <v>467</v>
      </c>
      <c r="C114" s="1">
        <v>4</v>
      </c>
      <c r="D114" s="2">
        <v>34691</v>
      </c>
      <c r="E114" s="2">
        <v>34719</v>
      </c>
      <c r="F114" s="2">
        <v>34701</v>
      </c>
      <c r="G114" s="1">
        <v>3</v>
      </c>
      <c r="H114" s="1">
        <v>131.69999999999999</v>
      </c>
      <c r="I114" s="1" t="s">
        <v>468</v>
      </c>
      <c r="J114" s="1" t="s">
        <v>469</v>
      </c>
      <c r="K114" s="1" t="s">
        <v>470</v>
      </c>
      <c r="M114" s="3">
        <v>67000</v>
      </c>
      <c r="N114" s="1" t="s">
        <v>140</v>
      </c>
    </row>
    <row r="115" spans="1:14" ht="13">
      <c r="A115" s="1">
        <v>10361</v>
      </c>
      <c r="B115" s="1" t="s">
        <v>494</v>
      </c>
      <c r="C115" s="1">
        <v>1</v>
      </c>
      <c r="D115" s="2">
        <v>34691</v>
      </c>
      <c r="E115" s="2">
        <v>34719</v>
      </c>
      <c r="F115" s="2">
        <v>34702</v>
      </c>
      <c r="G115" s="1">
        <v>2</v>
      </c>
      <c r="H115" s="1">
        <v>183.17</v>
      </c>
      <c r="I115" s="1" t="s">
        <v>495</v>
      </c>
      <c r="J115" s="1" t="s">
        <v>496</v>
      </c>
      <c r="K115" s="1" t="s">
        <v>497</v>
      </c>
      <c r="M115" s="3">
        <v>1307</v>
      </c>
      <c r="N115" s="1" t="s">
        <v>93</v>
      </c>
    </row>
    <row r="116" spans="1:14" ht="13">
      <c r="A116" s="1">
        <v>10362</v>
      </c>
      <c r="B116" s="1" t="s">
        <v>606</v>
      </c>
      <c r="C116" s="1">
        <v>3</v>
      </c>
      <c r="D116" s="2">
        <v>34694</v>
      </c>
      <c r="E116" s="2">
        <v>34722</v>
      </c>
      <c r="F116" s="2">
        <v>34697</v>
      </c>
      <c r="G116" s="1">
        <v>1</v>
      </c>
      <c r="H116" s="1">
        <v>96.04</v>
      </c>
      <c r="I116" s="1" t="s">
        <v>607</v>
      </c>
      <c r="J116" s="1" t="s">
        <v>608</v>
      </c>
      <c r="K116" s="1" t="s">
        <v>609</v>
      </c>
      <c r="M116" s="3">
        <v>13008</v>
      </c>
      <c r="N116" s="1" t="s">
        <v>140</v>
      </c>
    </row>
    <row r="117" spans="1:14" ht="13">
      <c r="A117" s="1">
        <v>10363</v>
      </c>
      <c r="B117" s="1" t="s">
        <v>642</v>
      </c>
      <c r="C117" s="1">
        <v>4</v>
      </c>
      <c r="D117" s="2">
        <v>34695</v>
      </c>
      <c r="E117" s="2">
        <v>34723</v>
      </c>
      <c r="F117" s="2">
        <v>34703</v>
      </c>
      <c r="G117" s="1">
        <v>3</v>
      </c>
      <c r="H117" s="1">
        <v>30.54</v>
      </c>
      <c r="I117" s="1" t="s">
        <v>643</v>
      </c>
      <c r="J117" s="1" t="s">
        <v>644</v>
      </c>
      <c r="K117" s="1" t="s">
        <v>645</v>
      </c>
      <c r="M117" s="3">
        <v>52066</v>
      </c>
      <c r="N117" s="1" t="s">
        <v>93</v>
      </c>
    </row>
    <row r="118" spans="1:14" ht="13">
      <c r="A118" s="1">
        <v>10364</v>
      </c>
      <c r="B118" s="1" t="s">
        <v>646</v>
      </c>
      <c r="C118" s="1">
        <v>1</v>
      </c>
      <c r="D118" s="2">
        <v>34695</v>
      </c>
      <c r="E118" s="2">
        <v>34737</v>
      </c>
      <c r="F118" s="2">
        <v>34703</v>
      </c>
      <c r="G118" s="1">
        <v>1</v>
      </c>
      <c r="H118" s="1">
        <v>71.97</v>
      </c>
      <c r="I118" s="1" t="s">
        <v>647</v>
      </c>
      <c r="J118" s="1" t="s">
        <v>648</v>
      </c>
      <c r="K118" s="1" t="s">
        <v>16</v>
      </c>
      <c r="M118" s="3" t="s">
        <v>649</v>
      </c>
      <c r="N118" s="1" t="s">
        <v>18</v>
      </c>
    </row>
    <row r="119" spans="1:14" ht="13">
      <c r="A119" s="1">
        <v>10365</v>
      </c>
      <c r="B119" s="1" t="s">
        <v>650</v>
      </c>
      <c r="C119" s="1">
        <v>3</v>
      </c>
      <c r="D119" s="2">
        <v>34696</v>
      </c>
      <c r="E119" s="2">
        <v>34724</v>
      </c>
      <c r="F119" s="2">
        <v>34701</v>
      </c>
      <c r="G119" s="1">
        <v>2</v>
      </c>
      <c r="H119" s="1">
        <v>22</v>
      </c>
      <c r="I119" s="1" t="s">
        <v>651</v>
      </c>
      <c r="J119" s="1" t="s">
        <v>652</v>
      </c>
      <c r="K119" s="1" t="s">
        <v>447</v>
      </c>
      <c r="M119" s="3">
        <v>5023</v>
      </c>
      <c r="N119" s="1" t="s">
        <v>448</v>
      </c>
    </row>
    <row r="120" spans="1:14" ht="13">
      <c r="A120" s="1">
        <v>10366</v>
      </c>
      <c r="B120" s="1" t="s">
        <v>653</v>
      </c>
      <c r="C120" s="1">
        <v>8</v>
      </c>
      <c r="D120" s="2">
        <v>34697</v>
      </c>
      <c r="E120" s="2">
        <v>34739</v>
      </c>
      <c r="F120" s="2">
        <v>34729</v>
      </c>
      <c r="G120" s="1">
        <v>2</v>
      </c>
      <c r="H120" s="1">
        <v>10.14</v>
      </c>
      <c r="I120" s="1" t="s">
        <v>654</v>
      </c>
      <c r="J120" s="1" t="s">
        <v>655</v>
      </c>
      <c r="K120" s="1" t="s">
        <v>656</v>
      </c>
      <c r="M120" s="3">
        <v>8022</v>
      </c>
      <c r="N120" s="1" t="s">
        <v>50</v>
      </c>
    </row>
    <row r="121" spans="1:14" ht="13">
      <c r="A121" s="1">
        <v>10367</v>
      </c>
      <c r="B121" s="1" t="s">
        <v>657</v>
      </c>
      <c r="C121" s="1">
        <v>7</v>
      </c>
      <c r="D121" s="2">
        <v>34697</v>
      </c>
      <c r="E121" s="2">
        <v>34725</v>
      </c>
      <c r="F121" s="2">
        <v>34701</v>
      </c>
      <c r="G121" s="1">
        <v>3</v>
      </c>
      <c r="H121" s="1">
        <v>13.55</v>
      </c>
      <c r="I121" s="1" t="s">
        <v>658</v>
      </c>
      <c r="J121" s="1" t="s">
        <v>659</v>
      </c>
      <c r="K121" s="1" t="s">
        <v>660</v>
      </c>
      <c r="M121" s="3">
        <v>8200</v>
      </c>
      <c r="N121" s="1" t="s">
        <v>161</v>
      </c>
    </row>
    <row r="122" spans="1:14" ht="13">
      <c r="A122" s="1">
        <v>10368</v>
      </c>
      <c r="B122" s="1" t="s">
        <v>439</v>
      </c>
      <c r="C122" s="1">
        <v>2</v>
      </c>
      <c r="D122" s="2">
        <v>34698</v>
      </c>
      <c r="E122" s="2">
        <v>34726</v>
      </c>
      <c r="F122" s="2">
        <v>34701</v>
      </c>
      <c r="G122" s="1">
        <v>2</v>
      </c>
      <c r="H122" s="1">
        <v>101.95</v>
      </c>
      <c r="I122" s="1" t="s">
        <v>440</v>
      </c>
      <c r="J122" s="1" t="s">
        <v>441</v>
      </c>
      <c r="K122" s="1" t="s">
        <v>442</v>
      </c>
      <c r="M122" s="3">
        <v>8010</v>
      </c>
      <c r="N122" s="1" t="s">
        <v>443</v>
      </c>
    </row>
    <row r="123" spans="1:14" ht="13">
      <c r="A123" s="1">
        <v>10369</v>
      </c>
      <c r="B123" s="1" t="s">
        <v>489</v>
      </c>
      <c r="C123" s="1">
        <v>8</v>
      </c>
      <c r="D123" s="2">
        <v>34701</v>
      </c>
      <c r="E123" s="2">
        <v>34729</v>
      </c>
      <c r="F123" s="2">
        <v>34708</v>
      </c>
      <c r="G123" s="1">
        <v>2</v>
      </c>
      <c r="H123" s="1">
        <v>195.68</v>
      </c>
      <c r="I123" s="1" t="s">
        <v>490</v>
      </c>
      <c r="J123" s="1" t="s">
        <v>491</v>
      </c>
      <c r="K123" s="1" t="s">
        <v>492</v>
      </c>
      <c r="L123" s="1" t="s">
        <v>493</v>
      </c>
      <c r="M123" s="3">
        <v>82520</v>
      </c>
      <c r="N123" s="1" t="s">
        <v>26</v>
      </c>
    </row>
    <row r="124" spans="1:14" ht="13">
      <c r="A124" s="1">
        <v>10370</v>
      </c>
      <c r="B124" s="1" t="s">
        <v>418</v>
      </c>
      <c r="C124" s="1">
        <v>6</v>
      </c>
      <c r="D124" s="2">
        <v>34702</v>
      </c>
      <c r="E124" s="2">
        <v>34730</v>
      </c>
      <c r="F124" s="2">
        <v>34726</v>
      </c>
      <c r="G124" s="1">
        <v>2</v>
      </c>
      <c r="H124" s="1">
        <v>1.17</v>
      </c>
      <c r="I124" s="1" t="s">
        <v>419</v>
      </c>
      <c r="J124" s="1" t="s">
        <v>420</v>
      </c>
      <c r="K124" s="1" t="s">
        <v>421</v>
      </c>
      <c r="M124" s="3">
        <v>3012</v>
      </c>
      <c r="N124" s="1" t="s">
        <v>422</v>
      </c>
    </row>
    <row r="125" spans="1:14" ht="13">
      <c r="A125" s="1">
        <v>10371</v>
      </c>
      <c r="B125" s="1" t="s">
        <v>624</v>
      </c>
      <c r="C125" s="1">
        <v>1</v>
      </c>
      <c r="D125" s="2">
        <v>34702</v>
      </c>
      <c r="E125" s="2">
        <v>34730</v>
      </c>
      <c r="F125" s="2">
        <v>34723</v>
      </c>
      <c r="G125" s="1">
        <v>1</v>
      </c>
      <c r="H125" s="1">
        <v>0.45</v>
      </c>
      <c r="I125" s="1" t="s">
        <v>625</v>
      </c>
      <c r="J125" s="1" t="s">
        <v>626</v>
      </c>
      <c r="K125" s="1" t="s">
        <v>627</v>
      </c>
      <c r="M125" s="3">
        <v>31000</v>
      </c>
      <c r="N125" s="1" t="s">
        <v>140</v>
      </c>
    </row>
    <row r="126" spans="1:14" ht="13">
      <c r="A126" s="1">
        <v>10372</v>
      </c>
      <c r="B126" s="1" t="s">
        <v>661</v>
      </c>
      <c r="C126" s="1">
        <v>5</v>
      </c>
      <c r="D126" s="2">
        <v>34703</v>
      </c>
      <c r="E126" s="2">
        <v>34731</v>
      </c>
      <c r="F126" s="2">
        <v>34708</v>
      </c>
      <c r="G126" s="1">
        <v>2</v>
      </c>
      <c r="H126" s="1">
        <v>890.78</v>
      </c>
      <c r="I126" s="1" t="s">
        <v>662</v>
      </c>
      <c r="J126" s="1" t="s">
        <v>663</v>
      </c>
      <c r="K126" s="1" t="s">
        <v>85</v>
      </c>
      <c r="L126" s="1" t="s">
        <v>431</v>
      </c>
      <c r="M126" s="3" t="s">
        <v>664</v>
      </c>
      <c r="N126" s="1" t="s">
        <v>86</v>
      </c>
    </row>
    <row r="127" spans="1:14" ht="13">
      <c r="A127" s="1">
        <v>10373</v>
      </c>
      <c r="B127" s="1" t="s">
        <v>547</v>
      </c>
      <c r="C127" s="1">
        <v>4</v>
      </c>
      <c r="D127" s="2">
        <v>34704</v>
      </c>
      <c r="E127" s="2">
        <v>34732</v>
      </c>
      <c r="F127" s="2">
        <v>34710</v>
      </c>
      <c r="G127" s="1">
        <v>3</v>
      </c>
      <c r="H127" s="1">
        <v>124.12</v>
      </c>
      <c r="I127" s="1" t="s">
        <v>548</v>
      </c>
      <c r="J127" s="1" t="s">
        <v>549</v>
      </c>
      <c r="K127" s="1" t="s">
        <v>550</v>
      </c>
      <c r="L127" s="1" t="s">
        <v>551</v>
      </c>
      <c r="N127" s="1" t="s">
        <v>552</v>
      </c>
    </row>
    <row r="128" spans="1:14" ht="13">
      <c r="A128" s="1">
        <v>10374</v>
      </c>
      <c r="B128" s="1" t="s">
        <v>665</v>
      </c>
      <c r="C128" s="1">
        <v>1</v>
      </c>
      <c r="D128" s="2">
        <v>34704</v>
      </c>
      <c r="E128" s="2">
        <v>34732</v>
      </c>
      <c r="F128" s="2">
        <v>34708</v>
      </c>
      <c r="G128" s="1">
        <v>3</v>
      </c>
      <c r="H128" s="1">
        <v>3.94</v>
      </c>
      <c r="I128" s="1" t="s">
        <v>666</v>
      </c>
      <c r="J128" s="1" t="s">
        <v>667</v>
      </c>
      <c r="K128" s="1" t="s">
        <v>668</v>
      </c>
      <c r="M128" s="3" t="s">
        <v>669</v>
      </c>
      <c r="N128" s="1" t="s">
        <v>670</v>
      </c>
    </row>
    <row r="129" spans="1:14" ht="13">
      <c r="A129" s="1">
        <v>10375</v>
      </c>
      <c r="B129" s="1" t="s">
        <v>671</v>
      </c>
      <c r="C129" s="1">
        <v>3</v>
      </c>
      <c r="D129" s="2">
        <v>34705</v>
      </c>
      <c r="E129" s="2">
        <v>34733</v>
      </c>
      <c r="F129" s="2">
        <v>34708</v>
      </c>
      <c r="G129" s="1">
        <v>2</v>
      </c>
      <c r="H129" s="1">
        <v>20.12</v>
      </c>
      <c r="I129" s="1" t="s">
        <v>672</v>
      </c>
      <c r="J129" s="1" t="s">
        <v>673</v>
      </c>
      <c r="K129" s="1" t="s">
        <v>674</v>
      </c>
      <c r="L129" s="1" t="s">
        <v>128</v>
      </c>
      <c r="M129" s="3">
        <v>97827</v>
      </c>
      <c r="N129" s="1" t="s">
        <v>26</v>
      </c>
    </row>
    <row r="130" spans="1:14" ht="13">
      <c r="A130" s="1">
        <v>10376</v>
      </c>
      <c r="B130" s="1" t="s">
        <v>610</v>
      </c>
      <c r="C130" s="1">
        <v>1</v>
      </c>
      <c r="D130" s="2">
        <v>34708</v>
      </c>
      <c r="E130" s="2">
        <v>34736</v>
      </c>
      <c r="F130" s="2">
        <v>34712</v>
      </c>
      <c r="G130" s="1">
        <v>2</v>
      </c>
      <c r="H130" s="1">
        <v>20.39</v>
      </c>
      <c r="I130" s="1" t="s">
        <v>611</v>
      </c>
      <c r="J130" s="1" t="s">
        <v>612</v>
      </c>
      <c r="K130" s="1" t="s">
        <v>189</v>
      </c>
      <c r="L130" s="1" t="s">
        <v>190</v>
      </c>
      <c r="M130" s="3" t="s">
        <v>191</v>
      </c>
      <c r="N130" s="1" t="s">
        <v>192</v>
      </c>
    </row>
    <row r="131" spans="1:14" ht="13">
      <c r="A131" s="1">
        <v>10377</v>
      </c>
      <c r="B131" s="1" t="s">
        <v>638</v>
      </c>
      <c r="C131" s="1">
        <v>1</v>
      </c>
      <c r="D131" s="2">
        <v>34708</v>
      </c>
      <c r="E131" s="2">
        <v>34736</v>
      </c>
      <c r="F131" s="2">
        <v>34712</v>
      </c>
      <c r="G131" s="1">
        <v>3</v>
      </c>
      <c r="H131" s="1">
        <v>22.21</v>
      </c>
      <c r="I131" s="1" t="s">
        <v>639</v>
      </c>
      <c r="J131" s="1" t="s">
        <v>640</v>
      </c>
      <c r="K131" s="1" t="s">
        <v>16</v>
      </c>
      <c r="M131" s="3" t="s">
        <v>641</v>
      </c>
      <c r="N131" s="1" t="s">
        <v>18</v>
      </c>
    </row>
    <row r="132" spans="1:14" ht="13">
      <c r="A132" s="1">
        <v>10378</v>
      </c>
      <c r="B132" s="1" t="s">
        <v>462</v>
      </c>
      <c r="C132" s="1">
        <v>5</v>
      </c>
      <c r="D132" s="2">
        <v>34709</v>
      </c>
      <c r="E132" s="2">
        <v>34737</v>
      </c>
      <c r="F132" s="2">
        <v>34718</v>
      </c>
      <c r="G132" s="1">
        <v>3</v>
      </c>
      <c r="H132" s="1">
        <v>5.44</v>
      </c>
      <c r="I132" s="1" t="s">
        <v>463</v>
      </c>
      <c r="J132" s="1" t="s">
        <v>464</v>
      </c>
      <c r="K132" s="1" t="s">
        <v>465</v>
      </c>
      <c r="M132" s="3" t="s">
        <v>466</v>
      </c>
      <c r="N132" s="1" t="s">
        <v>79</v>
      </c>
    </row>
    <row r="133" spans="1:14" ht="13">
      <c r="A133" s="1">
        <v>10379</v>
      </c>
      <c r="B133" s="1" t="s">
        <v>453</v>
      </c>
      <c r="C133" s="1">
        <v>2</v>
      </c>
      <c r="D133" s="2">
        <v>34710</v>
      </c>
      <c r="E133" s="2">
        <v>34738</v>
      </c>
      <c r="F133" s="2">
        <v>34712</v>
      </c>
      <c r="G133" s="1">
        <v>1</v>
      </c>
      <c r="H133" s="1">
        <v>45.03</v>
      </c>
      <c r="I133" s="1" t="s">
        <v>454</v>
      </c>
      <c r="J133" s="1" t="s">
        <v>455</v>
      </c>
      <c r="K133" s="1" t="s">
        <v>405</v>
      </c>
      <c r="L133" s="1" t="s">
        <v>406</v>
      </c>
      <c r="M133" s="3" t="s">
        <v>456</v>
      </c>
      <c r="N133" s="1" t="s">
        <v>86</v>
      </c>
    </row>
    <row r="134" spans="1:14" ht="13">
      <c r="A134" s="1">
        <v>10380</v>
      </c>
      <c r="B134" s="1" t="s">
        <v>547</v>
      </c>
      <c r="C134" s="1">
        <v>8</v>
      </c>
      <c r="D134" s="2">
        <v>34711</v>
      </c>
      <c r="E134" s="2">
        <v>34739</v>
      </c>
      <c r="F134" s="2">
        <v>34746</v>
      </c>
      <c r="G134" s="1">
        <v>3</v>
      </c>
      <c r="H134" s="1">
        <v>35.03</v>
      </c>
      <c r="I134" s="1" t="s">
        <v>548</v>
      </c>
      <c r="J134" s="1" t="s">
        <v>549</v>
      </c>
      <c r="K134" s="1" t="s">
        <v>550</v>
      </c>
      <c r="L134" s="1" t="s">
        <v>551</v>
      </c>
      <c r="N134" s="1" t="s">
        <v>552</v>
      </c>
    </row>
    <row r="135" spans="1:14" ht="13">
      <c r="A135" s="1">
        <v>10381</v>
      </c>
      <c r="B135" s="1" t="s">
        <v>522</v>
      </c>
      <c r="C135" s="1">
        <v>3</v>
      </c>
      <c r="D135" s="2">
        <v>34711</v>
      </c>
      <c r="E135" s="2">
        <v>34739</v>
      </c>
      <c r="F135" s="2">
        <v>34712</v>
      </c>
      <c r="G135" s="1">
        <v>3</v>
      </c>
      <c r="H135" s="1">
        <v>7.99</v>
      </c>
      <c r="I135" s="1" t="s">
        <v>523</v>
      </c>
      <c r="J135" s="1" t="s">
        <v>524</v>
      </c>
      <c r="K135" s="1" t="s">
        <v>525</v>
      </c>
      <c r="L135" s="1" t="s">
        <v>526</v>
      </c>
      <c r="M135" s="3">
        <v>3508</v>
      </c>
      <c r="N135" s="1" t="s">
        <v>438</v>
      </c>
    </row>
    <row r="136" spans="1:14" ht="13">
      <c r="A136" s="1">
        <v>10382</v>
      </c>
      <c r="B136" s="1" t="s">
        <v>439</v>
      </c>
      <c r="C136" s="1">
        <v>4</v>
      </c>
      <c r="D136" s="2">
        <v>34712</v>
      </c>
      <c r="E136" s="2">
        <v>34740</v>
      </c>
      <c r="F136" s="2">
        <v>34715</v>
      </c>
      <c r="G136" s="1">
        <v>1</v>
      </c>
      <c r="H136" s="1">
        <v>94.77</v>
      </c>
      <c r="I136" s="1" t="s">
        <v>440</v>
      </c>
      <c r="J136" s="1" t="s">
        <v>441</v>
      </c>
      <c r="K136" s="1" t="s">
        <v>442</v>
      </c>
      <c r="M136" s="3">
        <v>8010</v>
      </c>
      <c r="N136" s="1" t="s">
        <v>443</v>
      </c>
    </row>
    <row r="137" spans="1:14" ht="13">
      <c r="A137" s="1">
        <v>10383</v>
      </c>
      <c r="B137" s="1" t="s">
        <v>632</v>
      </c>
      <c r="C137" s="1">
        <v>8</v>
      </c>
      <c r="D137" s="2">
        <v>34715</v>
      </c>
      <c r="E137" s="2">
        <v>34743</v>
      </c>
      <c r="F137" s="2">
        <v>34717</v>
      </c>
      <c r="G137" s="1">
        <v>3</v>
      </c>
      <c r="H137" s="1">
        <v>34.24</v>
      </c>
      <c r="I137" s="1" t="s">
        <v>633</v>
      </c>
      <c r="J137" s="1" t="s">
        <v>634</v>
      </c>
      <c r="K137" s="1" t="s">
        <v>635</v>
      </c>
      <c r="L137" s="1" t="s">
        <v>636</v>
      </c>
      <c r="M137" s="3" t="s">
        <v>637</v>
      </c>
      <c r="N137" s="1" t="s">
        <v>18</v>
      </c>
    </row>
    <row r="138" spans="1:14" ht="13">
      <c r="A138" s="1">
        <v>10384</v>
      </c>
      <c r="B138" s="1" t="s">
        <v>509</v>
      </c>
      <c r="C138" s="1">
        <v>3</v>
      </c>
      <c r="D138" s="2">
        <v>34715</v>
      </c>
      <c r="E138" s="2">
        <v>34743</v>
      </c>
      <c r="F138" s="2">
        <v>34719</v>
      </c>
      <c r="G138" s="1">
        <v>3</v>
      </c>
      <c r="H138" s="1">
        <v>168.64</v>
      </c>
      <c r="I138" s="1" t="s">
        <v>510</v>
      </c>
      <c r="J138" s="1" t="s">
        <v>511</v>
      </c>
      <c r="K138" s="1" t="s">
        <v>512</v>
      </c>
      <c r="M138" s="3" t="s">
        <v>513</v>
      </c>
      <c r="N138" s="1" t="s">
        <v>79</v>
      </c>
    </row>
    <row r="139" spans="1:14" ht="13">
      <c r="A139" s="1">
        <v>10385</v>
      </c>
      <c r="B139" s="1" t="s">
        <v>489</v>
      </c>
      <c r="C139" s="1">
        <v>1</v>
      </c>
      <c r="D139" s="2">
        <v>34716</v>
      </c>
      <c r="E139" s="2">
        <v>34744</v>
      </c>
      <c r="F139" s="2">
        <v>34722</v>
      </c>
      <c r="G139" s="1">
        <v>2</v>
      </c>
      <c r="H139" s="1">
        <v>30.96</v>
      </c>
      <c r="I139" s="1" t="s">
        <v>490</v>
      </c>
      <c r="J139" s="1" t="s">
        <v>491</v>
      </c>
      <c r="K139" s="1" t="s">
        <v>492</v>
      </c>
      <c r="L139" s="1" t="s">
        <v>493</v>
      </c>
      <c r="M139" s="3">
        <v>82520</v>
      </c>
      <c r="N139" s="1" t="s">
        <v>26</v>
      </c>
    </row>
    <row r="140" spans="1:14" ht="13">
      <c r="A140" s="1">
        <v>10386</v>
      </c>
      <c r="B140" s="1" t="s">
        <v>620</v>
      </c>
      <c r="C140" s="1">
        <v>9</v>
      </c>
      <c r="D140" s="2">
        <v>34717</v>
      </c>
      <c r="E140" s="2">
        <v>34731</v>
      </c>
      <c r="F140" s="2">
        <v>34724</v>
      </c>
      <c r="G140" s="1">
        <v>3</v>
      </c>
      <c r="H140" s="1">
        <v>13.99</v>
      </c>
      <c r="I140" s="1" t="s">
        <v>621</v>
      </c>
      <c r="J140" s="1" t="s">
        <v>622</v>
      </c>
      <c r="K140" s="1" t="s">
        <v>85</v>
      </c>
      <c r="L140" s="1" t="s">
        <v>431</v>
      </c>
      <c r="M140" s="3" t="s">
        <v>623</v>
      </c>
      <c r="N140" s="1" t="s">
        <v>86</v>
      </c>
    </row>
    <row r="141" spans="1:14" ht="13">
      <c r="A141" s="1">
        <v>10387</v>
      </c>
      <c r="B141" s="1" t="s">
        <v>675</v>
      </c>
      <c r="C141" s="1">
        <v>1</v>
      </c>
      <c r="D141" s="2">
        <v>34717</v>
      </c>
      <c r="E141" s="2">
        <v>34745</v>
      </c>
      <c r="F141" s="2">
        <v>34719</v>
      </c>
      <c r="G141" s="1">
        <v>2</v>
      </c>
      <c r="H141" s="1">
        <v>93.63</v>
      </c>
      <c r="I141" s="1" t="s">
        <v>676</v>
      </c>
      <c r="J141" s="1" t="s">
        <v>677</v>
      </c>
      <c r="K141" s="1" t="s">
        <v>678</v>
      </c>
      <c r="M141" s="3">
        <v>4110</v>
      </c>
      <c r="N141" s="1" t="s">
        <v>121</v>
      </c>
    </row>
    <row r="142" spans="1:14" ht="13">
      <c r="A142" s="1">
        <v>10388</v>
      </c>
      <c r="B142" s="1" t="s">
        <v>638</v>
      </c>
      <c r="C142" s="1">
        <v>2</v>
      </c>
      <c r="D142" s="2">
        <v>34718</v>
      </c>
      <c r="E142" s="2">
        <v>34746</v>
      </c>
      <c r="F142" s="2">
        <v>34719</v>
      </c>
      <c r="G142" s="1">
        <v>1</v>
      </c>
      <c r="H142" s="1">
        <v>34.86</v>
      </c>
      <c r="I142" s="1" t="s">
        <v>639</v>
      </c>
      <c r="J142" s="1" t="s">
        <v>640</v>
      </c>
      <c r="K142" s="1" t="s">
        <v>16</v>
      </c>
      <c r="M142" s="3" t="s">
        <v>641</v>
      </c>
      <c r="N142" s="1" t="s">
        <v>18</v>
      </c>
    </row>
    <row r="143" spans="1:14" ht="13">
      <c r="A143" s="1">
        <v>10389</v>
      </c>
      <c r="B143" s="1" t="s">
        <v>679</v>
      </c>
      <c r="C143" s="1">
        <v>4</v>
      </c>
      <c r="D143" s="2">
        <v>34719</v>
      </c>
      <c r="E143" s="2">
        <v>34747</v>
      </c>
      <c r="F143" s="2">
        <v>34723</v>
      </c>
      <c r="G143" s="1">
        <v>2</v>
      </c>
      <c r="H143" s="1">
        <v>47.42</v>
      </c>
      <c r="I143" s="1" t="s">
        <v>680</v>
      </c>
      <c r="J143" s="1" t="s">
        <v>681</v>
      </c>
      <c r="K143" s="1" t="s">
        <v>682</v>
      </c>
      <c r="L143" s="1" t="s">
        <v>683</v>
      </c>
      <c r="M143" s="3" t="s">
        <v>684</v>
      </c>
      <c r="N143" s="1" t="s">
        <v>192</v>
      </c>
    </row>
    <row r="144" spans="1:14" ht="13">
      <c r="A144" s="1">
        <v>10390</v>
      </c>
      <c r="B144" s="1" t="s">
        <v>439</v>
      </c>
      <c r="C144" s="1">
        <v>6</v>
      </c>
      <c r="D144" s="2">
        <v>34722</v>
      </c>
      <c r="E144" s="2">
        <v>34750</v>
      </c>
      <c r="F144" s="2">
        <v>34725</v>
      </c>
      <c r="G144" s="1">
        <v>1</v>
      </c>
      <c r="H144" s="1">
        <v>126.38</v>
      </c>
      <c r="I144" s="1" t="s">
        <v>440</v>
      </c>
      <c r="J144" s="1" t="s">
        <v>441</v>
      </c>
      <c r="K144" s="1" t="s">
        <v>442</v>
      </c>
      <c r="M144" s="3">
        <v>8010</v>
      </c>
      <c r="N144" s="1" t="s">
        <v>443</v>
      </c>
    </row>
    <row r="145" spans="1:14" ht="13">
      <c r="A145" s="1">
        <v>10391</v>
      </c>
      <c r="B145" s="1" t="s">
        <v>642</v>
      </c>
      <c r="C145" s="1">
        <v>3</v>
      </c>
      <c r="D145" s="2">
        <v>34722</v>
      </c>
      <c r="E145" s="2">
        <v>34750</v>
      </c>
      <c r="F145" s="2">
        <v>34730</v>
      </c>
      <c r="G145" s="1">
        <v>3</v>
      </c>
      <c r="H145" s="1">
        <v>5.45</v>
      </c>
      <c r="I145" s="1" t="s">
        <v>643</v>
      </c>
      <c r="J145" s="1" t="s">
        <v>644</v>
      </c>
      <c r="K145" s="1" t="s">
        <v>645</v>
      </c>
      <c r="M145" s="3">
        <v>52066</v>
      </c>
      <c r="N145" s="1" t="s">
        <v>93</v>
      </c>
    </row>
    <row r="146" spans="1:14" ht="13">
      <c r="A146" s="1">
        <v>10392</v>
      </c>
      <c r="B146" s="1" t="s">
        <v>628</v>
      </c>
      <c r="C146" s="1">
        <v>2</v>
      </c>
      <c r="D146" s="2">
        <v>34723</v>
      </c>
      <c r="E146" s="2">
        <v>34751</v>
      </c>
      <c r="F146" s="2">
        <v>34731</v>
      </c>
      <c r="G146" s="1">
        <v>3</v>
      </c>
      <c r="H146" s="1">
        <v>122.46</v>
      </c>
      <c r="I146" s="1" t="s">
        <v>629</v>
      </c>
      <c r="J146" s="1" t="s">
        <v>630</v>
      </c>
      <c r="K146" s="1" t="s">
        <v>631</v>
      </c>
      <c r="M146" s="3">
        <v>5020</v>
      </c>
      <c r="N146" s="1" t="s">
        <v>443</v>
      </c>
    </row>
    <row r="147" spans="1:14" ht="13">
      <c r="A147" s="1">
        <v>10393</v>
      </c>
      <c r="B147" s="1" t="s">
        <v>593</v>
      </c>
      <c r="C147" s="1">
        <v>1</v>
      </c>
      <c r="D147" s="2">
        <v>34724</v>
      </c>
      <c r="E147" s="2">
        <v>34752</v>
      </c>
      <c r="F147" s="2">
        <v>34733</v>
      </c>
      <c r="G147" s="1">
        <v>3</v>
      </c>
      <c r="H147" s="1">
        <v>126.56</v>
      </c>
      <c r="I147" s="1" t="s">
        <v>594</v>
      </c>
      <c r="J147" s="1" t="s">
        <v>595</v>
      </c>
      <c r="K147" s="1" t="s">
        <v>596</v>
      </c>
      <c r="L147" s="1" t="s">
        <v>597</v>
      </c>
      <c r="M147" s="3">
        <v>83720</v>
      </c>
      <c r="N147" s="1" t="s">
        <v>26</v>
      </c>
    </row>
    <row r="148" spans="1:14" ht="13">
      <c r="A148" s="1">
        <v>10394</v>
      </c>
      <c r="B148" s="1" t="s">
        <v>671</v>
      </c>
      <c r="C148" s="1">
        <v>1</v>
      </c>
      <c r="D148" s="2">
        <v>34724</v>
      </c>
      <c r="E148" s="2">
        <v>34752</v>
      </c>
      <c r="F148" s="2">
        <v>34733</v>
      </c>
      <c r="G148" s="1">
        <v>3</v>
      </c>
      <c r="H148" s="1">
        <v>30.34</v>
      </c>
      <c r="I148" s="1" t="s">
        <v>672</v>
      </c>
      <c r="J148" s="1" t="s">
        <v>673</v>
      </c>
      <c r="K148" s="1" t="s">
        <v>674</v>
      </c>
      <c r="L148" s="1" t="s">
        <v>128</v>
      </c>
      <c r="M148" s="3">
        <v>97827</v>
      </c>
      <c r="N148" s="1" t="s">
        <v>26</v>
      </c>
    </row>
    <row r="149" spans="1:14" ht="13">
      <c r="A149" s="1">
        <v>10395</v>
      </c>
      <c r="B149" s="1" t="s">
        <v>433</v>
      </c>
      <c r="C149" s="1">
        <v>6</v>
      </c>
      <c r="D149" s="2">
        <v>34725</v>
      </c>
      <c r="E149" s="2">
        <v>34753</v>
      </c>
      <c r="F149" s="2">
        <v>34733</v>
      </c>
      <c r="G149" s="1">
        <v>1</v>
      </c>
      <c r="H149" s="1">
        <v>184.41</v>
      </c>
      <c r="I149" s="1" t="s">
        <v>434</v>
      </c>
      <c r="J149" s="1" t="s">
        <v>435</v>
      </c>
      <c r="K149" s="1" t="s">
        <v>436</v>
      </c>
      <c r="L149" s="1" t="s">
        <v>437</v>
      </c>
      <c r="M149" s="3">
        <v>5022</v>
      </c>
      <c r="N149" s="1" t="s">
        <v>438</v>
      </c>
    </row>
    <row r="150" spans="1:14" ht="13">
      <c r="A150" s="1">
        <v>10396</v>
      </c>
      <c r="B150" s="1" t="s">
        <v>475</v>
      </c>
      <c r="C150" s="1">
        <v>1</v>
      </c>
      <c r="D150" s="2">
        <v>34726</v>
      </c>
      <c r="E150" s="2">
        <v>34740</v>
      </c>
      <c r="F150" s="2">
        <v>34736</v>
      </c>
      <c r="G150" s="1">
        <v>3</v>
      </c>
      <c r="H150" s="1">
        <v>135.35</v>
      </c>
      <c r="I150" s="1" t="s">
        <v>476</v>
      </c>
      <c r="J150" s="1" t="s">
        <v>477</v>
      </c>
      <c r="K150" s="1" t="s">
        <v>478</v>
      </c>
      <c r="M150" s="3">
        <v>80805</v>
      </c>
      <c r="N150" s="1" t="s">
        <v>93</v>
      </c>
    </row>
    <row r="151" spans="1:14" ht="13">
      <c r="A151" s="1">
        <v>10397</v>
      </c>
      <c r="B151" s="1" t="s">
        <v>613</v>
      </c>
      <c r="C151" s="1">
        <v>5</v>
      </c>
      <c r="D151" s="2">
        <v>34726</v>
      </c>
      <c r="E151" s="2">
        <v>34754</v>
      </c>
      <c r="F151" s="2">
        <v>34732</v>
      </c>
      <c r="G151" s="1">
        <v>1</v>
      </c>
      <c r="H151" s="1">
        <v>60.26</v>
      </c>
      <c r="I151" s="1" t="s">
        <v>614</v>
      </c>
      <c r="J151" s="1" t="s">
        <v>615</v>
      </c>
      <c r="K151" s="1" t="s">
        <v>604</v>
      </c>
      <c r="M151" s="3">
        <v>1756</v>
      </c>
      <c r="N151" s="1" t="s">
        <v>605</v>
      </c>
    </row>
    <row r="152" spans="1:14" ht="13">
      <c r="A152" s="1">
        <v>10398</v>
      </c>
      <c r="B152" s="1" t="s">
        <v>593</v>
      </c>
      <c r="C152" s="1">
        <v>2</v>
      </c>
      <c r="D152" s="2">
        <v>34729</v>
      </c>
      <c r="E152" s="2">
        <v>34757</v>
      </c>
      <c r="F152" s="2">
        <v>34739</v>
      </c>
      <c r="G152" s="1">
        <v>3</v>
      </c>
      <c r="H152" s="1">
        <v>89.16</v>
      </c>
      <c r="I152" s="1" t="s">
        <v>594</v>
      </c>
      <c r="J152" s="1" t="s">
        <v>595</v>
      </c>
      <c r="K152" s="1" t="s">
        <v>596</v>
      </c>
      <c r="L152" s="1" t="s">
        <v>597</v>
      </c>
      <c r="M152" s="3">
        <v>83720</v>
      </c>
      <c r="N152" s="1" t="s">
        <v>26</v>
      </c>
    </row>
    <row r="153" spans="1:14" ht="13">
      <c r="A153" s="1">
        <v>10399</v>
      </c>
      <c r="B153" s="1" t="s">
        <v>657</v>
      </c>
      <c r="C153" s="1">
        <v>8</v>
      </c>
      <c r="D153" s="2">
        <v>34730</v>
      </c>
      <c r="E153" s="2">
        <v>34744</v>
      </c>
      <c r="F153" s="2">
        <v>34738</v>
      </c>
      <c r="G153" s="1">
        <v>3</v>
      </c>
      <c r="H153" s="1">
        <v>27.36</v>
      </c>
      <c r="I153" s="1" t="s">
        <v>658</v>
      </c>
      <c r="J153" s="1" t="s">
        <v>659</v>
      </c>
      <c r="K153" s="1" t="s">
        <v>660</v>
      </c>
      <c r="M153" s="3">
        <v>8200</v>
      </c>
      <c r="N153" s="1" t="s">
        <v>161</v>
      </c>
    </row>
    <row r="154" spans="1:14" ht="13">
      <c r="A154" s="1">
        <v>10400</v>
      </c>
      <c r="B154" s="1" t="s">
        <v>646</v>
      </c>
      <c r="C154" s="1">
        <v>1</v>
      </c>
      <c r="D154" s="2">
        <v>34731</v>
      </c>
      <c r="E154" s="2">
        <v>34759</v>
      </c>
      <c r="F154" s="2">
        <v>34746</v>
      </c>
      <c r="G154" s="1">
        <v>3</v>
      </c>
      <c r="H154" s="1">
        <v>83.93</v>
      </c>
      <c r="I154" s="1" t="s">
        <v>647</v>
      </c>
      <c r="J154" s="1" t="s">
        <v>648</v>
      </c>
      <c r="K154" s="1" t="s">
        <v>16</v>
      </c>
      <c r="M154" s="3" t="s">
        <v>649</v>
      </c>
      <c r="N154" s="1" t="s">
        <v>18</v>
      </c>
    </row>
    <row r="155" spans="1:14" ht="13">
      <c r="A155" s="1">
        <v>10401</v>
      </c>
      <c r="B155" s="1" t="s">
        <v>457</v>
      </c>
      <c r="C155" s="1">
        <v>1</v>
      </c>
      <c r="D155" s="2">
        <v>34731</v>
      </c>
      <c r="E155" s="2">
        <v>34759</v>
      </c>
      <c r="F155" s="2">
        <v>34740</v>
      </c>
      <c r="G155" s="1">
        <v>1</v>
      </c>
      <c r="H155" s="1">
        <v>12.51</v>
      </c>
      <c r="I155" s="1" t="s">
        <v>458</v>
      </c>
      <c r="J155" s="1" t="s">
        <v>459</v>
      </c>
      <c r="K155" s="1" t="s">
        <v>460</v>
      </c>
      <c r="L155" s="1" t="s">
        <v>461</v>
      </c>
      <c r="M155" s="3">
        <v>87110</v>
      </c>
      <c r="N155" s="1" t="s">
        <v>26</v>
      </c>
    </row>
    <row r="156" spans="1:14" ht="13">
      <c r="A156" s="1">
        <v>10402</v>
      </c>
      <c r="B156" s="1" t="s">
        <v>439</v>
      </c>
      <c r="C156" s="1">
        <v>8</v>
      </c>
      <c r="D156" s="2">
        <v>34732</v>
      </c>
      <c r="E156" s="2">
        <v>34774</v>
      </c>
      <c r="F156" s="2">
        <v>34740</v>
      </c>
      <c r="G156" s="1">
        <v>2</v>
      </c>
      <c r="H156" s="1">
        <v>67.88</v>
      </c>
      <c r="I156" s="1" t="s">
        <v>440</v>
      </c>
      <c r="J156" s="1" t="s">
        <v>441</v>
      </c>
      <c r="K156" s="1" t="s">
        <v>442</v>
      </c>
      <c r="M156" s="3">
        <v>8010</v>
      </c>
      <c r="N156" s="1" t="s">
        <v>443</v>
      </c>
    </row>
    <row r="157" spans="1:14" ht="13">
      <c r="A157" s="1">
        <v>10403</v>
      </c>
      <c r="B157" s="1" t="s">
        <v>439</v>
      </c>
      <c r="C157" s="1">
        <v>4</v>
      </c>
      <c r="D157" s="2">
        <v>34733</v>
      </c>
      <c r="E157" s="2">
        <v>34761</v>
      </c>
      <c r="F157" s="2">
        <v>34739</v>
      </c>
      <c r="G157" s="1">
        <v>3</v>
      </c>
      <c r="H157" s="1">
        <v>73.790000000000006</v>
      </c>
      <c r="I157" s="1" t="s">
        <v>440</v>
      </c>
      <c r="J157" s="1" t="s">
        <v>441</v>
      </c>
      <c r="K157" s="1" t="s">
        <v>442</v>
      </c>
      <c r="M157" s="3">
        <v>8010</v>
      </c>
      <c r="N157" s="1" t="s">
        <v>443</v>
      </c>
    </row>
    <row r="158" spans="1:14" ht="13">
      <c r="A158" s="1">
        <v>10404</v>
      </c>
      <c r="B158" s="1" t="s">
        <v>498</v>
      </c>
      <c r="C158" s="1">
        <v>2</v>
      </c>
      <c r="D158" s="2">
        <v>34733</v>
      </c>
      <c r="E158" s="2">
        <v>34761</v>
      </c>
      <c r="F158" s="2">
        <v>34738</v>
      </c>
      <c r="G158" s="1">
        <v>1</v>
      </c>
      <c r="H158" s="1">
        <v>155.97</v>
      </c>
      <c r="I158" s="1" t="s">
        <v>499</v>
      </c>
      <c r="J158" s="1" t="s">
        <v>500</v>
      </c>
      <c r="K158" s="1" t="s">
        <v>501</v>
      </c>
      <c r="M158" s="3">
        <v>24100</v>
      </c>
      <c r="N158" s="1" t="s">
        <v>113</v>
      </c>
    </row>
    <row r="159" spans="1:14" ht="13">
      <c r="A159" s="1">
        <v>10405</v>
      </c>
      <c r="B159" s="1" t="s">
        <v>685</v>
      </c>
      <c r="C159" s="1">
        <v>1</v>
      </c>
      <c r="D159" s="2">
        <v>34736</v>
      </c>
      <c r="E159" s="2">
        <v>34764</v>
      </c>
      <c r="F159" s="2">
        <v>34752</v>
      </c>
      <c r="G159" s="1">
        <v>1</v>
      </c>
      <c r="H159" s="1">
        <v>34.82</v>
      </c>
      <c r="I159" s="1" t="s">
        <v>686</v>
      </c>
      <c r="J159" s="1" t="s">
        <v>687</v>
      </c>
      <c r="K159" s="1" t="s">
        <v>688</v>
      </c>
      <c r="L159" s="1" t="s">
        <v>689</v>
      </c>
      <c r="M159" s="3">
        <v>4980</v>
      </c>
      <c r="N159" s="1" t="s">
        <v>438</v>
      </c>
    </row>
    <row r="160" spans="1:14" ht="13">
      <c r="A160" s="1">
        <v>10406</v>
      </c>
      <c r="B160" s="1" t="s">
        <v>661</v>
      </c>
      <c r="C160" s="1">
        <v>7</v>
      </c>
      <c r="D160" s="2">
        <v>34737</v>
      </c>
      <c r="E160" s="2">
        <v>34779</v>
      </c>
      <c r="F160" s="2">
        <v>34743</v>
      </c>
      <c r="G160" s="1">
        <v>1</v>
      </c>
      <c r="H160" s="1">
        <v>108.04</v>
      </c>
      <c r="I160" s="1" t="s">
        <v>662</v>
      </c>
      <c r="J160" s="1" t="s">
        <v>663</v>
      </c>
      <c r="K160" s="1" t="s">
        <v>85</v>
      </c>
      <c r="L160" s="1" t="s">
        <v>431</v>
      </c>
      <c r="M160" s="3" t="s">
        <v>664</v>
      </c>
      <c r="N160" s="1" t="s">
        <v>86</v>
      </c>
    </row>
    <row r="161" spans="1:14" ht="13">
      <c r="A161" s="1">
        <v>10407</v>
      </c>
      <c r="B161" s="1" t="s">
        <v>449</v>
      </c>
      <c r="C161" s="1">
        <v>2</v>
      </c>
      <c r="D161" s="2">
        <v>34737</v>
      </c>
      <c r="E161" s="2">
        <v>34765</v>
      </c>
      <c r="F161" s="2">
        <v>34760</v>
      </c>
      <c r="G161" s="1">
        <v>2</v>
      </c>
      <c r="H161" s="1">
        <v>91.48</v>
      </c>
      <c r="I161" s="1" t="s">
        <v>450</v>
      </c>
      <c r="J161" s="1" t="s">
        <v>451</v>
      </c>
      <c r="K161" s="1" t="s">
        <v>452</v>
      </c>
      <c r="M161" s="3">
        <v>50739</v>
      </c>
      <c r="N161" s="1" t="s">
        <v>93</v>
      </c>
    </row>
    <row r="162" spans="1:14" ht="13">
      <c r="A162" s="1">
        <v>10408</v>
      </c>
      <c r="B162" s="1" t="s">
        <v>690</v>
      </c>
      <c r="C162" s="1">
        <v>8</v>
      </c>
      <c r="D162" s="2">
        <v>34738</v>
      </c>
      <c r="E162" s="2">
        <v>34766</v>
      </c>
      <c r="F162" s="2">
        <v>34744</v>
      </c>
      <c r="G162" s="1">
        <v>1</v>
      </c>
      <c r="H162" s="1">
        <v>11.26</v>
      </c>
      <c r="I162" s="1" t="s">
        <v>691</v>
      </c>
      <c r="J162" s="1" t="s">
        <v>692</v>
      </c>
      <c r="K162" s="1" t="s">
        <v>693</v>
      </c>
      <c r="M162" s="3">
        <v>59000</v>
      </c>
      <c r="N162" s="1" t="s">
        <v>140</v>
      </c>
    </row>
    <row r="163" spans="1:14" ht="13">
      <c r="A163" s="1">
        <v>10409</v>
      </c>
      <c r="B163" s="1" t="s">
        <v>694</v>
      </c>
      <c r="C163" s="1">
        <v>3</v>
      </c>
      <c r="D163" s="2">
        <v>34739</v>
      </c>
      <c r="E163" s="2">
        <v>34767</v>
      </c>
      <c r="F163" s="2">
        <v>34744</v>
      </c>
      <c r="G163" s="1">
        <v>1</v>
      </c>
      <c r="H163" s="1">
        <v>29.83</v>
      </c>
      <c r="I163" s="1" t="s">
        <v>695</v>
      </c>
      <c r="J163" s="1" t="s">
        <v>696</v>
      </c>
      <c r="K163" s="1" t="s">
        <v>697</v>
      </c>
      <c r="M163" s="3">
        <v>1010</v>
      </c>
      <c r="N163" s="1" t="s">
        <v>698</v>
      </c>
    </row>
    <row r="164" spans="1:14" ht="13">
      <c r="A164" s="1">
        <v>10410</v>
      </c>
      <c r="B164" s="1" t="s">
        <v>679</v>
      </c>
      <c r="C164" s="1">
        <v>3</v>
      </c>
      <c r="D164" s="2">
        <v>34740</v>
      </c>
      <c r="E164" s="2">
        <v>34768</v>
      </c>
      <c r="F164" s="2">
        <v>34745</v>
      </c>
      <c r="G164" s="1">
        <v>3</v>
      </c>
      <c r="H164" s="1">
        <v>2.4</v>
      </c>
      <c r="I164" s="1" t="s">
        <v>680</v>
      </c>
      <c r="J164" s="1" t="s">
        <v>681</v>
      </c>
      <c r="K164" s="1" t="s">
        <v>682</v>
      </c>
      <c r="L164" s="1" t="s">
        <v>683</v>
      </c>
      <c r="M164" s="3" t="s">
        <v>684</v>
      </c>
      <c r="N164" s="1" t="s">
        <v>192</v>
      </c>
    </row>
    <row r="165" spans="1:14" ht="13">
      <c r="A165" s="1">
        <v>10411</v>
      </c>
      <c r="B165" s="1" t="s">
        <v>679</v>
      </c>
      <c r="C165" s="1">
        <v>9</v>
      </c>
      <c r="D165" s="2">
        <v>34740</v>
      </c>
      <c r="E165" s="2">
        <v>34768</v>
      </c>
      <c r="F165" s="2">
        <v>34751</v>
      </c>
      <c r="G165" s="1">
        <v>3</v>
      </c>
      <c r="H165" s="1">
        <v>23.65</v>
      </c>
      <c r="I165" s="1" t="s">
        <v>680</v>
      </c>
      <c r="J165" s="1" t="s">
        <v>681</v>
      </c>
      <c r="K165" s="1" t="s">
        <v>682</v>
      </c>
      <c r="L165" s="1" t="s">
        <v>683</v>
      </c>
      <c r="M165" s="3" t="s">
        <v>684</v>
      </c>
      <c r="N165" s="1" t="s">
        <v>192</v>
      </c>
    </row>
    <row r="166" spans="1:14" ht="13">
      <c r="A166" s="1">
        <v>10412</v>
      </c>
      <c r="B166" s="1" t="s">
        <v>471</v>
      </c>
      <c r="C166" s="1">
        <v>8</v>
      </c>
      <c r="D166" s="2">
        <v>34743</v>
      </c>
      <c r="E166" s="2">
        <v>34771</v>
      </c>
      <c r="F166" s="2">
        <v>34745</v>
      </c>
      <c r="G166" s="1">
        <v>2</v>
      </c>
      <c r="H166" s="1">
        <v>3.77</v>
      </c>
      <c r="I166" s="1" t="s">
        <v>472</v>
      </c>
      <c r="J166" s="1" t="s">
        <v>473</v>
      </c>
      <c r="K166" s="1" t="s">
        <v>474</v>
      </c>
      <c r="M166" s="3">
        <v>90110</v>
      </c>
      <c r="N166" s="1" t="s">
        <v>176</v>
      </c>
    </row>
    <row r="167" spans="1:14" ht="13">
      <c r="A167" s="1">
        <v>10413</v>
      </c>
      <c r="B167" s="1" t="s">
        <v>624</v>
      </c>
      <c r="C167" s="1">
        <v>3</v>
      </c>
      <c r="D167" s="2">
        <v>34744</v>
      </c>
      <c r="E167" s="2">
        <v>34772</v>
      </c>
      <c r="F167" s="2">
        <v>34746</v>
      </c>
      <c r="G167" s="1">
        <v>2</v>
      </c>
      <c r="H167" s="1">
        <v>95.66</v>
      </c>
      <c r="I167" s="1" t="s">
        <v>625</v>
      </c>
      <c r="J167" s="1" t="s">
        <v>626</v>
      </c>
      <c r="K167" s="1" t="s">
        <v>627</v>
      </c>
      <c r="M167" s="3">
        <v>31000</v>
      </c>
      <c r="N167" s="1" t="s">
        <v>140</v>
      </c>
    </row>
    <row r="168" spans="1:14" ht="13">
      <c r="A168" s="1">
        <v>10414</v>
      </c>
      <c r="B168" s="1" t="s">
        <v>620</v>
      </c>
      <c r="C168" s="1">
        <v>2</v>
      </c>
      <c r="D168" s="2">
        <v>34744</v>
      </c>
      <c r="E168" s="2">
        <v>34772</v>
      </c>
      <c r="F168" s="2">
        <v>34747</v>
      </c>
      <c r="G168" s="1">
        <v>3</v>
      </c>
      <c r="H168" s="1">
        <v>21.48</v>
      </c>
      <c r="I168" s="1" t="s">
        <v>621</v>
      </c>
      <c r="J168" s="1" t="s">
        <v>622</v>
      </c>
      <c r="K168" s="1" t="s">
        <v>85</v>
      </c>
      <c r="L168" s="1" t="s">
        <v>431</v>
      </c>
      <c r="M168" s="3" t="s">
        <v>623</v>
      </c>
      <c r="N168" s="1" t="s">
        <v>86</v>
      </c>
    </row>
    <row r="169" spans="1:14" ht="13">
      <c r="A169" s="1">
        <v>10415</v>
      </c>
      <c r="B169" s="1" t="s">
        <v>671</v>
      </c>
      <c r="C169" s="1">
        <v>3</v>
      </c>
      <c r="D169" s="2">
        <v>34745</v>
      </c>
      <c r="E169" s="2">
        <v>34773</v>
      </c>
      <c r="F169" s="2">
        <v>34754</v>
      </c>
      <c r="G169" s="1">
        <v>1</v>
      </c>
      <c r="H169" s="1">
        <v>0.2</v>
      </c>
      <c r="I169" s="1" t="s">
        <v>672</v>
      </c>
      <c r="J169" s="1" t="s">
        <v>673</v>
      </c>
      <c r="K169" s="1" t="s">
        <v>674</v>
      </c>
      <c r="L169" s="1" t="s">
        <v>128</v>
      </c>
      <c r="M169" s="3">
        <v>97827</v>
      </c>
      <c r="N169" s="1" t="s">
        <v>26</v>
      </c>
    </row>
    <row r="170" spans="1:14" ht="13">
      <c r="A170" s="1">
        <v>10416</v>
      </c>
      <c r="B170" s="1" t="s">
        <v>471</v>
      </c>
      <c r="C170" s="1">
        <v>8</v>
      </c>
      <c r="D170" s="2">
        <v>34746</v>
      </c>
      <c r="E170" s="2">
        <v>34774</v>
      </c>
      <c r="F170" s="2">
        <v>34757</v>
      </c>
      <c r="G170" s="1">
        <v>3</v>
      </c>
      <c r="H170" s="1">
        <v>22.72</v>
      </c>
      <c r="I170" s="1" t="s">
        <v>472</v>
      </c>
      <c r="J170" s="1" t="s">
        <v>473</v>
      </c>
      <c r="K170" s="1" t="s">
        <v>474</v>
      </c>
      <c r="M170" s="3">
        <v>90110</v>
      </c>
      <c r="N170" s="1" t="s">
        <v>176</v>
      </c>
    </row>
    <row r="171" spans="1:14" ht="13">
      <c r="A171" s="1">
        <v>10417</v>
      </c>
      <c r="B171" s="1" t="s">
        <v>616</v>
      </c>
      <c r="C171" s="1">
        <v>4</v>
      </c>
      <c r="D171" s="2">
        <v>34746</v>
      </c>
      <c r="E171" s="2">
        <v>34774</v>
      </c>
      <c r="F171" s="2">
        <v>34758</v>
      </c>
      <c r="G171" s="1">
        <v>3</v>
      </c>
      <c r="H171" s="1">
        <v>70.290000000000006</v>
      </c>
      <c r="I171" s="1" t="s">
        <v>617</v>
      </c>
      <c r="J171" s="1" t="s">
        <v>618</v>
      </c>
      <c r="K171" s="1" t="s">
        <v>619</v>
      </c>
      <c r="M171" s="3">
        <v>1734</v>
      </c>
      <c r="N171" s="1" t="s">
        <v>161</v>
      </c>
    </row>
    <row r="172" spans="1:14" ht="13">
      <c r="A172" s="1">
        <v>10418</v>
      </c>
      <c r="B172" s="1" t="s">
        <v>494</v>
      </c>
      <c r="C172" s="1">
        <v>4</v>
      </c>
      <c r="D172" s="2">
        <v>34747</v>
      </c>
      <c r="E172" s="2">
        <v>34775</v>
      </c>
      <c r="F172" s="2">
        <v>34754</v>
      </c>
      <c r="G172" s="1">
        <v>1</v>
      </c>
      <c r="H172" s="1">
        <v>17.55</v>
      </c>
      <c r="I172" s="1" t="s">
        <v>495</v>
      </c>
      <c r="J172" s="1" t="s">
        <v>496</v>
      </c>
      <c r="K172" s="1" t="s">
        <v>497</v>
      </c>
      <c r="M172" s="3">
        <v>1307</v>
      </c>
      <c r="N172" s="1" t="s">
        <v>93</v>
      </c>
    </row>
    <row r="173" spans="1:14" ht="13">
      <c r="A173" s="1">
        <v>10419</v>
      </c>
      <c r="B173" s="1" t="s">
        <v>423</v>
      </c>
      <c r="C173" s="1">
        <v>4</v>
      </c>
      <c r="D173" s="2">
        <v>34750</v>
      </c>
      <c r="E173" s="2">
        <v>34778</v>
      </c>
      <c r="F173" s="2">
        <v>34760</v>
      </c>
      <c r="G173" s="1">
        <v>2</v>
      </c>
      <c r="H173" s="1">
        <v>137.35</v>
      </c>
      <c r="I173" s="1" t="s">
        <v>424</v>
      </c>
      <c r="J173" s="1" t="s">
        <v>425</v>
      </c>
      <c r="K173" s="1" t="s">
        <v>426</v>
      </c>
      <c r="M173" s="3">
        <v>1204</v>
      </c>
      <c r="N173" s="1" t="s">
        <v>422</v>
      </c>
    </row>
    <row r="174" spans="1:14" ht="13">
      <c r="A174" s="1">
        <v>10420</v>
      </c>
      <c r="B174" s="1" t="s">
        <v>427</v>
      </c>
      <c r="C174" s="1">
        <v>3</v>
      </c>
      <c r="D174" s="2">
        <v>34751</v>
      </c>
      <c r="E174" s="2">
        <v>34779</v>
      </c>
      <c r="F174" s="2">
        <v>34757</v>
      </c>
      <c r="G174" s="1">
        <v>1</v>
      </c>
      <c r="H174" s="1">
        <v>44.12</v>
      </c>
      <c r="I174" s="1" t="s">
        <v>428</v>
      </c>
      <c r="J174" s="1" t="s">
        <v>429</v>
      </c>
      <c r="K174" s="1" t="s">
        <v>430</v>
      </c>
      <c r="L174" s="1" t="s">
        <v>431</v>
      </c>
      <c r="M174" s="3" t="s">
        <v>432</v>
      </c>
      <c r="N174" s="1" t="s">
        <v>86</v>
      </c>
    </row>
    <row r="175" spans="1:14" ht="13">
      <c r="A175" s="1">
        <v>10421</v>
      </c>
      <c r="B175" s="1" t="s">
        <v>453</v>
      </c>
      <c r="C175" s="1">
        <v>8</v>
      </c>
      <c r="D175" s="2">
        <v>34751</v>
      </c>
      <c r="E175" s="2">
        <v>34793</v>
      </c>
      <c r="F175" s="2">
        <v>34757</v>
      </c>
      <c r="G175" s="1">
        <v>1</v>
      </c>
      <c r="H175" s="1">
        <v>99.23</v>
      </c>
      <c r="I175" s="1" t="s">
        <v>454</v>
      </c>
      <c r="J175" s="1" t="s">
        <v>455</v>
      </c>
      <c r="K175" s="1" t="s">
        <v>405</v>
      </c>
      <c r="L175" s="1" t="s">
        <v>406</v>
      </c>
      <c r="M175" s="3" t="s">
        <v>456</v>
      </c>
      <c r="N175" s="1" t="s">
        <v>86</v>
      </c>
    </row>
    <row r="176" spans="1:14" ht="13">
      <c r="A176" s="1">
        <v>10422</v>
      </c>
      <c r="B176" s="1" t="s">
        <v>699</v>
      </c>
      <c r="C176" s="1">
        <v>2</v>
      </c>
      <c r="D176" s="2">
        <v>34752</v>
      </c>
      <c r="E176" s="2">
        <v>34780</v>
      </c>
      <c r="F176" s="2">
        <v>34761</v>
      </c>
      <c r="G176" s="1">
        <v>1</v>
      </c>
      <c r="H176" s="1">
        <v>3.02</v>
      </c>
      <c r="I176" s="1" t="s">
        <v>700</v>
      </c>
      <c r="J176" s="1" t="s">
        <v>701</v>
      </c>
      <c r="K176" s="1" t="s">
        <v>702</v>
      </c>
      <c r="M176" s="3">
        <v>10100</v>
      </c>
      <c r="N176" s="1" t="s">
        <v>113</v>
      </c>
    </row>
    <row r="177" spans="1:14" ht="13">
      <c r="A177" s="1">
        <v>10423</v>
      </c>
      <c r="B177" s="1" t="s">
        <v>703</v>
      </c>
      <c r="C177" s="1">
        <v>6</v>
      </c>
      <c r="D177" s="2">
        <v>34753</v>
      </c>
      <c r="E177" s="2">
        <v>34767</v>
      </c>
      <c r="F177" s="2">
        <v>34785</v>
      </c>
      <c r="G177" s="1">
        <v>3</v>
      </c>
      <c r="H177" s="1">
        <v>24.5</v>
      </c>
      <c r="I177" s="1" t="s">
        <v>704</v>
      </c>
      <c r="J177" s="1" t="s">
        <v>705</v>
      </c>
      <c r="K177" s="1" t="s">
        <v>706</v>
      </c>
      <c r="L177" s="1" t="s">
        <v>431</v>
      </c>
      <c r="M177" s="3" t="s">
        <v>707</v>
      </c>
      <c r="N177" s="1" t="s">
        <v>86</v>
      </c>
    </row>
    <row r="178" spans="1:14" ht="13">
      <c r="A178" s="1">
        <v>10424</v>
      </c>
      <c r="B178" s="1" t="s">
        <v>610</v>
      </c>
      <c r="C178" s="1">
        <v>7</v>
      </c>
      <c r="D178" s="2">
        <v>34753</v>
      </c>
      <c r="E178" s="2">
        <v>34781</v>
      </c>
      <c r="F178" s="2">
        <v>34757</v>
      </c>
      <c r="G178" s="1">
        <v>2</v>
      </c>
      <c r="H178" s="1">
        <v>370.61</v>
      </c>
      <c r="I178" s="1" t="s">
        <v>611</v>
      </c>
      <c r="J178" s="1" t="s">
        <v>612</v>
      </c>
      <c r="K178" s="1" t="s">
        <v>189</v>
      </c>
      <c r="L178" s="1" t="s">
        <v>190</v>
      </c>
      <c r="M178" s="3" t="s">
        <v>191</v>
      </c>
      <c r="N178" s="1" t="s">
        <v>192</v>
      </c>
    </row>
    <row r="179" spans="1:14" ht="13">
      <c r="A179" s="1">
        <v>10425</v>
      </c>
      <c r="B179" s="1" t="s">
        <v>624</v>
      </c>
      <c r="C179" s="1">
        <v>6</v>
      </c>
      <c r="D179" s="2">
        <v>34754</v>
      </c>
      <c r="E179" s="2">
        <v>34782</v>
      </c>
      <c r="F179" s="2">
        <v>34775</v>
      </c>
      <c r="G179" s="1">
        <v>2</v>
      </c>
      <c r="H179" s="1">
        <v>7.93</v>
      </c>
      <c r="I179" s="1" t="s">
        <v>625</v>
      </c>
      <c r="J179" s="1" t="s">
        <v>626</v>
      </c>
      <c r="K179" s="1" t="s">
        <v>627</v>
      </c>
      <c r="M179" s="3">
        <v>31000</v>
      </c>
      <c r="N179" s="1" t="s">
        <v>140</v>
      </c>
    </row>
    <row r="180" spans="1:14" ht="13">
      <c r="A180" s="1">
        <v>10426</v>
      </c>
      <c r="B180" s="1" t="s">
        <v>653</v>
      </c>
      <c r="C180" s="1">
        <v>4</v>
      </c>
      <c r="D180" s="2">
        <v>34757</v>
      </c>
      <c r="E180" s="2">
        <v>34785</v>
      </c>
      <c r="F180" s="2">
        <v>34767</v>
      </c>
      <c r="G180" s="1">
        <v>1</v>
      </c>
      <c r="H180" s="1">
        <v>18.690000000000001</v>
      </c>
      <c r="I180" s="1" t="s">
        <v>654</v>
      </c>
      <c r="J180" s="1" t="s">
        <v>655</v>
      </c>
      <c r="K180" s="1" t="s">
        <v>656</v>
      </c>
      <c r="M180" s="3">
        <v>8022</v>
      </c>
      <c r="N180" s="1" t="s">
        <v>50</v>
      </c>
    </row>
    <row r="181" spans="1:14" ht="13">
      <c r="A181" s="1">
        <v>10427</v>
      </c>
      <c r="B181" s="1" t="s">
        <v>628</v>
      </c>
      <c r="C181" s="1">
        <v>4</v>
      </c>
      <c r="D181" s="2">
        <v>34757</v>
      </c>
      <c r="E181" s="2">
        <v>34785</v>
      </c>
      <c r="F181" s="2">
        <v>34792</v>
      </c>
      <c r="G181" s="1">
        <v>2</v>
      </c>
      <c r="H181" s="1">
        <v>31.29</v>
      </c>
      <c r="I181" s="1" t="s">
        <v>629</v>
      </c>
      <c r="J181" s="1" t="s">
        <v>630</v>
      </c>
      <c r="K181" s="1" t="s">
        <v>631</v>
      </c>
      <c r="M181" s="3">
        <v>5020</v>
      </c>
      <c r="N181" s="1" t="s">
        <v>443</v>
      </c>
    </row>
    <row r="182" spans="1:14" ht="13">
      <c r="A182" s="1">
        <v>10428</v>
      </c>
      <c r="B182" s="1" t="s">
        <v>531</v>
      </c>
      <c r="C182" s="1">
        <v>7</v>
      </c>
      <c r="D182" s="2">
        <v>34758</v>
      </c>
      <c r="E182" s="2">
        <v>34786</v>
      </c>
      <c r="F182" s="2">
        <v>34765</v>
      </c>
      <c r="G182" s="1">
        <v>1</v>
      </c>
      <c r="H182" s="1">
        <v>11.09</v>
      </c>
      <c r="I182" s="1" t="s">
        <v>532</v>
      </c>
      <c r="J182" s="1" t="s">
        <v>533</v>
      </c>
      <c r="K182" s="1" t="s">
        <v>534</v>
      </c>
      <c r="M182" s="3">
        <v>42100</v>
      </c>
      <c r="N182" s="1" t="s">
        <v>113</v>
      </c>
    </row>
    <row r="183" spans="1:14" ht="13">
      <c r="A183" s="1">
        <v>10429</v>
      </c>
      <c r="B183" s="1" t="s">
        <v>547</v>
      </c>
      <c r="C183" s="1">
        <v>3</v>
      </c>
      <c r="D183" s="2">
        <v>34759</v>
      </c>
      <c r="E183" s="2">
        <v>34801</v>
      </c>
      <c r="F183" s="2">
        <v>34768</v>
      </c>
      <c r="G183" s="1">
        <v>2</v>
      </c>
      <c r="H183" s="1">
        <v>56.63</v>
      </c>
      <c r="I183" s="1" t="s">
        <v>548</v>
      </c>
      <c r="J183" s="1" t="s">
        <v>549</v>
      </c>
      <c r="K183" s="1" t="s">
        <v>550</v>
      </c>
      <c r="L183" s="1" t="s">
        <v>551</v>
      </c>
      <c r="N183" s="1" t="s">
        <v>552</v>
      </c>
    </row>
    <row r="184" spans="1:14" ht="13">
      <c r="A184" s="1">
        <v>10430</v>
      </c>
      <c r="B184" s="1" t="s">
        <v>439</v>
      </c>
      <c r="C184" s="1">
        <v>4</v>
      </c>
      <c r="D184" s="2">
        <v>34760</v>
      </c>
      <c r="E184" s="2">
        <v>34774</v>
      </c>
      <c r="F184" s="2">
        <v>34764</v>
      </c>
      <c r="G184" s="1">
        <v>1</v>
      </c>
      <c r="H184" s="1">
        <v>458.78</v>
      </c>
      <c r="I184" s="1" t="s">
        <v>440</v>
      </c>
      <c r="J184" s="1" t="s">
        <v>441</v>
      </c>
      <c r="K184" s="1" t="s">
        <v>442</v>
      </c>
      <c r="M184" s="3">
        <v>8010</v>
      </c>
      <c r="N184" s="1" t="s">
        <v>443</v>
      </c>
    </row>
    <row r="185" spans="1:14" ht="13">
      <c r="A185" s="1">
        <v>10431</v>
      </c>
      <c r="B185" s="1" t="s">
        <v>679</v>
      </c>
      <c r="C185" s="1">
        <v>4</v>
      </c>
      <c r="D185" s="2">
        <v>34760</v>
      </c>
      <c r="E185" s="2">
        <v>34774</v>
      </c>
      <c r="F185" s="2">
        <v>34768</v>
      </c>
      <c r="G185" s="1">
        <v>2</v>
      </c>
      <c r="H185" s="1">
        <v>44.17</v>
      </c>
      <c r="I185" s="1" t="s">
        <v>680</v>
      </c>
      <c r="J185" s="1" t="s">
        <v>681</v>
      </c>
      <c r="K185" s="1" t="s">
        <v>682</v>
      </c>
      <c r="L185" s="1" t="s">
        <v>683</v>
      </c>
      <c r="M185" s="3" t="s">
        <v>684</v>
      </c>
      <c r="N185" s="1" t="s">
        <v>192</v>
      </c>
    </row>
    <row r="186" spans="1:14" ht="13">
      <c r="A186" s="1">
        <v>10432</v>
      </c>
      <c r="B186" s="1" t="s">
        <v>489</v>
      </c>
      <c r="C186" s="1">
        <v>3</v>
      </c>
      <c r="D186" s="2">
        <v>34761</v>
      </c>
      <c r="E186" s="2">
        <v>34775</v>
      </c>
      <c r="F186" s="2">
        <v>34768</v>
      </c>
      <c r="G186" s="1">
        <v>2</v>
      </c>
      <c r="H186" s="1">
        <v>4.34</v>
      </c>
      <c r="I186" s="1" t="s">
        <v>490</v>
      </c>
      <c r="J186" s="1" t="s">
        <v>491</v>
      </c>
      <c r="K186" s="1" t="s">
        <v>492</v>
      </c>
      <c r="L186" s="1" t="s">
        <v>493</v>
      </c>
      <c r="M186" s="3">
        <v>82520</v>
      </c>
      <c r="N186" s="1" t="s">
        <v>26</v>
      </c>
    </row>
    <row r="187" spans="1:14" ht="13">
      <c r="A187" s="1">
        <v>10433</v>
      </c>
      <c r="B187" s="1" t="s">
        <v>613</v>
      </c>
      <c r="C187" s="1">
        <v>3</v>
      </c>
      <c r="D187" s="2">
        <v>34764</v>
      </c>
      <c r="E187" s="2">
        <v>34792</v>
      </c>
      <c r="F187" s="2">
        <v>34793</v>
      </c>
      <c r="G187" s="1">
        <v>3</v>
      </c>
      <c r="H187" s="1">
        <v>73.83</v>
      </c>
      <c r="I187" s="1" t="s">
        <v>614</v>
      </c>
      <c r="J187" s="1" t="s">
        <v>615</v>
      </c>
      <c r="K187" s="1" t="s">
        <v>604</v>
      </c>
      <c r="M187" s="3">
        <v>1756</v>
      </c>
      <c r="N187" s="1" t="s">
        <v>605</v>
      </c>
    </row>
    <row r="188" spans="1:14" ht="13">
      <c r="A188" s="1">
        <v>10434</v>
      </c>
      <c r="B188" s="1" t="s">
        <v>462</v>
      </c>
      <c r="C188" s="1">
        <v>3</v>
      </c>
      <c r="D188" s="2">
        <v>34764</v>
      </c>
      <c r="E188" s="2">
        <v>34792</v>
      </c>
      <c r="F188" s="2">
        <v>34774</v>
      </c>
      <c r="G188" s="1">
        <v>2</v>
      </c>
      <c r="H188" s="1">
        <v>17.920000000000002</v>
      </c>
      <c r="I188" s="1" t="s">
        <v>463</v>
      </c>
      <c r="J188" s="1" t="s">
        <v>464</v>
      </c>
      <c r="K188" s="1" t="s">
        <v>465</v>
      </c>
      <c r="M188" s="3" t="s">
        <v>466</v>
      </c>
      <c r="N188" s="1" t="s">
        <v>79</v>
      </c>
    </row>
    <row r="189" spans="1:14" ht="13">
      <c r="A189" s="1">
        <v>10435</v>
      </c>
      <c r="B189" s="1" t="s">
        <v>708</v>
      </c>
      <c r="C189" s="1">
        <v>8</v>
      </c>
      <c r="D189" s="2">
        <v>34765</v>
      </c>
      <c r="E189" s="2">
        <v>34807</v>
      </c>
      <c r="F189" s="2">
        <v>34768</v>
      </c>
      <c r="G189" s="1">
        <v>2</v>
      </c>
      <c r="H189" s="1">
        <v>9.2100000000000009</v>
      </c>
      <c r="I189" s="1" t="s">
        <v>709</v>
      </c>
      <c r="J189" s="1" t="s">
        <v>710</v>
      </c>
      <c r="K189" s="1" t="s">
        <v>16</v>
      </c>
      <c r="M189" s="3" t="s">
        <v>711</v>
      </c>
      <c r="N189" s="1" t="s">
        <v>18</v>
      </c>
    </row>
    <row r="190" spans="1:14" ht="13">
      <c r="A190" s="1">
        <v>10436</v>
      </c>
      <c r="B190" s="1" t="s">
        <v>467</v>
      </c>
      <c r="C190" s="1">
        <v>3</v>
      </c>
      <c r="D190" s="2">
        <v>34766</v>
      </c>
      <c r="E190" s="2">
        <v>34794</v>
      </c>
      <c r="F190" s="2">
        <v>34772</v>
      </c>
      <c r="G190" s="1">
        <v>2</v>
      </c>
      <c r="H190" s="1">
        <v>156.66</v>
      </c>
      <c r="I190" s="1" t="s">
        <v>468</v>
      </c>
      <c r="J190" s="1" t="s">
        <v>469</v>
      </c>
      <c r="K190" s="1" t="s">
        <v>470</v>
      </c>
      <c r="M190" s="3">
        <v>67000</v>
      </c>
      <c r="N190" s="1" t="s">
        <v>140</v>
      </c>
    </row>
    <row r="191" spans="1:14" ht="13">
      <c r="A191" s="1">
        <v>10437</v>
      </c>
      <c r="B191" s="1" t="s">
        <v>471</v>
      </c>
      <c r="C191" s="1">
        <v>8</v>
      </c>
      <c r="D191" s="2">
        <v>34766</v>
      </c>
      <c r="E191" s="2">
        <v>34794</v>
      </c>
      <c r="F191" s="2">
        <v>34773</v>
      </c>
      <c r="G191" s="1">
        <v>1</v>
      </c>
      <c r="H191" s="1">
        <v>19.97</v>
      </c>
      <c r="I191" s="1" t="s">
        <v>472</v>
      </c>
      <c r="J191" s="1" t="s">
        <v>473</v>
      </c>
      <c r="K191" s="1" t="s">
        <v>474</v>
      </c>
      <c r="M191" s="3">
        <v>90110</v>
      </c>
      <c r="N191" s="1" t="s">
        <v>176</v>
      </c>
    </row>
    <row r="192" spans="1:14" ht="13">
      <c r="A192" s="1">
        <v>10438</v>
      </c>
      <c r="B192" s="1" t="s">
        <v>398</v>
      </c>
      <c r="C192" s="1">
        <v>3</v>
      </c>
      <c r="D192" s="2">
        <v>34767</v>
      </c>
      <c r="E192" s="2">
        <v>34795</v>
      </c>
      <c r="F192" s="2">
        <v>34775</v>
      </c>
      <c r="G192" s="1">
        <v>2</v>
      </c>
      <c r="H192" s="1">
        <v>8.24</v>
      </c>
      <c r="I192" s="1" t="s">
        <v>399</v>
      </c>
      <c r="J192" s="1" t="s">
        <v>400</v>
      </c>
      <c r="K192" s="1" t="s">
        <v>401</v>
      </c>
      <c r="M192" s="3">
        <v>44087</v>
      </c>
      <c r="N192" s="1" t="s">
        <v>93</v>
      </c>
    </row>
    <row r="193" spans="1:14" ht="13">
      <c r="A193" s="1">
        <v>10439</v>
      </c>
      <c r="B193" s="1" t="s">
        <v>610</v>
      </c>
      <c r="C193" s="1">
        <v>6</v>
      </c>
      <c r="D193" s="2">
        <v>34768</v>
      </c>
      <c r="E193" s="2">
        <v>34796</v>
      </c>
      <c r="F193" s="2">
        <v>34771</v>
      </c>
      <c r="G193" s="1">
        <v>3</v>
      </c>
      <c r="H193" s="1">
        <v>4.07</v>
      </c>
      <c r="I193" s="1" t="s">
        <v>611</v>
      </c>
      <c r="J193" s="1" t="s">
        <v>612</v>
      </c>
      <c r="K193" s="1" t="s">
        <v>189</v>
      </c>
      <c r="L193" s="1" t="s">
        <v>190</v>
      </c>
      <c r="M193" s="3" t="s">
        <v>191</v>
      </c>
      <c r="N193" s="1" t="s">
        <v>192</v>
      </c>
    </row>
    <row r="194" spans="1:14" ht="13">
      <c r="A194" s="1">
        <v>10440</v>
      </c>
      <c r="B194" s="1" t="s">
        <v>593</v>
      </c>
      <c r="C194" s="1">
        <v>4</v>
      </c>
      <c r="D194" s="2">
        <v>34771</v>
      </c>
      <c r="E194" s="2">
        <v>34799</v>
      </c>
      <c r="F194" s="2">
        <v>34789</v>
      </c>
      <c r="G194" s="1">
        <v>2</v>
      </c>
      <c r="H194" s="1">
        <v>86.53</v>
      </c>
      <c r="I194" s="1" t="s">
        <v>594</v>
      </c>
      <c r="J194" s="1" t="s">
        <v>595</v>
      </c>
      <c r="K194" s="1" t="s">
        <v>596</v>
      </c>
      <c r="L194" s="1" t="s">
        <v>597</v>
      </c>
      <c r="M194" s="3">
        <v>83720</v>
      </c>
      <c r="N194" s="1" t="s">
        <v>26</v>
      </c>
    </row>
    <row r="195" spans="1:14" ht="13">
      <c r="A195" s="1">
        <v>10441</v>
      </c>
      <c r="B195" s="1" t="s">
        <v>561</v>
      </c>
      <c r="C195" s="1">
        <v>3</v>
      </c>
      <c r="D195" s="2">
        <v>34771</v>
      </c>
      <c r="E195" s="2">
        <v>34813</v>
      </c>
      <c r="F195" s="2">
        <v>34803</v>
      </c>
      <c r="G195" s="1">
        <v>2</v>
      </c>
      <c r="H195" s="1">
        <v>73.02</v>
      </c>
      <c r="I195" s="1" t="s">
        <v>562</v>
      </c>
      <c r="J195" s="1" t="s">
        <v>563</v>
      </c>
      <c r="K195" s="1" t="s">
        <v>564</v>
      </c>
      <c r="L195" s="1" t="s">
        <v>565</v>
      </c>
      <c r="M195" s="3">
        <v>99508</v>
      </c>
      <c r="N195" s="1" t="s">
        <v>26</v>
      </c>
    </row>
    <row r="196" spans="1:14" ht="13">
      <c r="A196" s="1">
        <v>10442</v>
      </c>
      <c r="B196" s="1" t="s">
        <v>439</v>
      </c>
      <c r="C196" s="1">
        <v>3</v>
      </c>
      <c r="D196" s="2">
        <v>34772</v>
      </c>
      <c r="E196" s="2">
        <v>34800</v>
      </c>
      <c r="F196" s="2">
        <v>34779</v>
      </c>
      <c r="G196" s="1">
        <v>2</v>
      </c>
      <c r="H196" s="1">
        <v>47.94</v>
      </c>
      <c r="I196" s="1" t="s">
        <v>440</v>
      </c>
      <c r="J196" s="1" t="s">
        <v>441</v>
      </c>
      <c r="K196" s="1" t="s">
        <v>442</v>
      </c>
      <c r="M196" s="3">
        <v>8010</v>
      </c>
      <c r="N196" s="1" t="s">
        <v>443</v>
      </c>
    </row>
    <row r="197" spans="1:14" ht="13">
      <c r="A197" s="1">
        <v>10443</v>
      </c>
      <c r="B197" s="1" t="s">
        <v>531</v>
      </c>
      <c r="C197" s="1">
        <v>8</v>
      </c>
      <c r="D197" s="2">
        <v>34773</v>
      </c>
      <c r="E197" s="2">
        <v>34801</v>
      </c>
      <c r="F197" s="2">
        <v>34775</v>
      </c>
      <c r="G197" s="1">
        <v>1</v>
      </c>
      <c r="H197" s="1">
        <v>13.95</v>
      </c>
      <c r="I197" s="1" t="s">
        <v>532</v>
      </c>
      <c r="J197" s="1" t="s">
        <v>533</v>
      </c>
      <c r="K197" s="1" t="s">
        <v>534</v>
      </c>
      <c r="M197" s="3">
        <v>42100</v>
      </c>
      <c r="N197" s="1" t="s">
        <v>113</v>
      </c>
    </row>
    <row r="198" spans="1:14" ht="13">
      <c r="A198" s="1">
        <v>10444</v>
      </c>
      <c r="B198" s="1" t="s">
        <v>509</v>
      </c>
      <c r="C198" s="1">
        <v>3</v>
      </c>
      <c r="D198" s="2">
        <v>34773</v>
      </c>
      <c r="E198" s="2">
        <v>34801</v>
      </c>
      <c r="F198" s="2">
        <v>34782</v>
      </c>
      <c r="G198" s="1">
        <v>3</v>
      </c>
      <c r="H198" s="1">
        <v>3.5</v>
      </c>
      <c r="I198" s="1" t="s">
        <v>510</v>
      </c>
      <c r="J198" s="1" t="s">
        <v>511</v>
      </c>
      <c r="K198" s="1" t="s">
        <v>512</v>
      </c>
      <c r="M198" s="3" t="s">
        <v>513</v>
      </c>
      <c r="N198" s="1" t="s">
        <v>79</v>
      </c>
    </row>
    <row r="199" spans="1:14" ht="13">
      <c r="A199" s="1">
        <v>10445</v>
      </c>
      <c r="B199" s="1" t="s">
        <v>509</v>
      </c>
      <c r="C199" s="1">
        <v>3</v>
      </c>
      <c r="D199" s="2">
        <v>34774</v>
      </c>
      <c r="E199" s="2">
        <v>34802</v>
      </c>
      <c r="F199" s="2">
        <v>34781</v>
      </c>
      <c r="G199" s="1">
        <v>1</v>
      </c>
      <c r="H199" s="1">
        <v>9.3000000000000007</v>
      </c>
      <c r="I199" s="1" t="s">
        <v>510</v>
      </c>
      <c r="J199" s="1" t="s">
        <v>511</v>
      </c>
      <c r="K199" s="1" t="s">
        <v>512</v>
      </c>
      <c r="M199" s="3" t="s">
        <v>513</v>
      </c>
      <c r="N199" s="1" t="s">
        <v>79</v>
      </c>
    </row>
    <row r="200" spans="1:14" ht="13">
      <c r="A200" s="1">
        <v>10446</v>
      </c>
      <c r="B200" s="1" t="s">
        <v>398</v>
      </c>
      <c r="C200" s="1">
        <v>6</v>
      </c>
      <c r="D200" s="2">
        <v>34775</v>
      </c>
      <c r="E200" s="2">
        <v>34803</v>
      </c>
      <c r="F200" s="2">
        <v>34780</v>
      </c>
      <c r="G200" s="1">
        <v>1</v>
      </c>
      <c r="H200" s="1">
        <v>14.68</v>
      </c>
      <c r="I200" s="1" t="s">
        <v>399</v>
      </c>
      <c r="J200" s="1" t="s">
        <v>400</v>
      </c>
      <c r="K200" s="1" t="s">
        <v>401</v>
      </c>
      <c r="M200" s="3">
        <v>44087</v>
      </c>
      <c r="N200" s="1" t="s">
        <v>93</v>
      </c>
    </row>
    <row r="201" spans="1:14" ht="13">
      <c r="A201" s="1">
        <v>10447</v>
      </c>
      <c r="B201" s="1" t="s">
        <v>527</v>
      </c>
      <c r="C201" s="1">
        <v>4</v>
      </c>
      <c r="D201" s="2">
        <v>34775</v>
      </c>
      <c r="E201" s="2">
        <v>34803</v>
      </c>
      <c r="F201" s="2">
        <v>34796</v>
      </c>
      <c r="G201" s="1">
        <v>2</v>
      </c>
      <c r="H201" s="1">
        <v>68.66</v>
      </c>
      <c r="I201" s="1" t="s">
        <v>528</v>
      </c>
      <c r="J201" s="1" t="s">
        <v>529</v>
      </c>
      <c r="K201" s="1" t="s">
        <v>405</v>
      </c>
      <c r="L201" s="1" t="s">
        <v>406</v>
      </c>
      <c r="M201" s="3" t="s">
        <v>530</v>
      </c>
      <c r="N201" s="1" t="s">
        <v>86</v>
      </c>
    </row>
    <row r="202" spans="1:14" ht="13">
      <c r="A202" s="1">
        <v>10448</v>
      </c>
      <c r="B202" s="1" t="s">
        <v>712</v>
      </c>
      <c r="C202" s="1">
        <v>4</v>
      </c>
      <c r="D202" s="2">
        <v>34778</v>
      </c>
      <c r="E202" s="2">
        <v>34806</v>
      </c>
      <c r="F202" s="2">
        <v>34785</v>
      </c>
      <c r="G202" s="1">
        <v>2</v>
      </c>
      <c r="H202" s="1">
        <v>38.82</v>
      </c>
      <c r="I202" s="1" t="s">
        <v>713</v>
      </c>
      <c r="J202" s="1" t="s">
        <v>714</v>
      </c>
      <c r="K202" s="1" t="s">
        <v>697</v>
      </c>
      <c r="M202" s="3">
        <v>1010</v>
      </c>
      <c r="N202" s="1" t="s">
        <v>698</v>
      </c>
    </row>
    <row r="203" spans="1:14" ht="13">
      <c r="A203" s="1">
        <v>10449</v>
      </c>
      <c r="B203" s="1" t="s">
        <v>467</v>
      </c>
      <c r="C203" s="1">
        <v>3</v>
      </c>
      <c r="D203" s="2">
        <v>34779</v>
      </c>
      <c r="E203" s="2">
        <v>34807</v>
      </c>
      <c r="F203" s="2">
        <v>34788</v>
      </c>
      <c r="G203" s="1">
        <v>2</v>
      </c>
      <c r="H203" s="1">
        <v>53.3</v>
      </c>
      <c r="I203" s="1" t="s">
        <v>468</v>
      </c>
      <c r="J203" s="1" t="s">
        <v>469</v>
      </c>
      <c r="K203" s="1" t="s">
        <v>470</v>
      </c>
      <c r="M203" s="3">
        <v>67000</v>
      </c>
      <c r="N203" s="1" t="s">
        <v>140</v>
      </c>
    </row>
    <row r="204" spans="1:14" ht="13">
      <c r="A204" s="1">
        <v>10450</v>
      </c>
      <c r="B204" s="1" t="s">
        <v>408</v>
      </c>
      <c r="C204" s="1">
        <v>8</v>
      </c>
      <c r="D204" s="2">
        <v>34780</v>
      </c>
      <c r="E204" s="2">
        <v>34808</v>
      </c>
      <c r="F204" s="2">
        <v>34800</v>
      </c>
      <c r="G204" s="1">
        <v>2</v>
      </c>
      <c r="H204" s="1">
        <v>7.23</v>
      </c>
      <c r="I204" s="1" t="s">
        <v>409</v>
      </c>
      <c r="J204" s="1" t="s">
        <v>410</v>
      </c>
      <c r="K204" s="1" t="s">
        <v>411</v>
      </c>
      <c r="M204" s="3">
        <v>69004</v>
      </c>
      <c r="N204" s="1" t="s">
        <v>140</v>
      </c>
    </row>
    <row r="205" spans="1:14" ht="13">
      <c r="A205" s="1">
        <v>10451</v>
      </c>
      <c r="B205" s="1" t="s">
        <v>494</v>
      </c>
      <c r="C205" s="1">
        <v>4</v>
      </c>
      <c r="D205" s="2">
        <v>34780</v>
      </c>
      <c r="E205" s="2">
        <v>34794</v>
      </c>
      <c r="F205" s="2">
        <v>34801</v>
      </c>
      <c r="G205" s="1">
        <v>3</v>
      </c>
      <c r="H205" s="1">
        <v>189.09</v>
      </c>
      <c r="I205" s="1" t="s">
        <v>495</v>
      </c>
      <c r="J205" s="1" t="s">
        <v>496</v>
      </c>
      <c r="K205" s="1" t="s">
        <v>497</v>
      </c>
      <c r="M205" s="3">
        <v>1307</v>
      </c>
      <c r="N205" s="1" t="s">
        <v>93</v>
      </c>
    </row>
    <row r="206" spans="1:14" ht="13">
      <c r="A206" s="1">
        <v>10452</v>
      </c>
      <c r="B206" s="1" t="s">
        <v>593</v>
      </c>
      <c r="C206" s="1">
        <v>8</v>
      </c>
      <c r="D206" s="2">
        <v>34781</v>
      </c>
      <c r="E206" s="2">
        <v>34809</v>
      </c>
      <c r="F206" s="2">
        <v>34787</v>
      </c>
      <c r="G206" s="1">
        <v>1</v>
      </c>
      <c r="H206" s="1">
        <v>140.26</v>
      </c>
      <c r="I206" s="1" t="s">
        <v>594</v>
      </c>
      <c r="J206" s="1" t="s">
        <v>595</v>
      </c>
      <c r="K206" s="1" t="s">
        <v>596</v>
      </c>
      <c r="L206" s="1" t="s">
        <v>597</v>
      </c>
      <c r="M206" s="3">
        <v>83720</v>
      </c>
      <c r="N206" s="1" t="s">
        <v>26</v>
      </c>
    </row>
    <row r="207" spans="1:14" ht="13">
      <c r="A207" s="1">
        <v>10453</v>
      </c>
      <c r="B207" s="1" t="s">
        <v>632</v>
      </c>
      <c r="C207" s="1">
        <v>1</v>
      </c>
      <c r="D207" s="2">
        <v>34782</v>
      </c>
      <c r="E207" s="2">
        <v>34810</v>
      </c>
      <c r="F207" s="2">
        <v>34787</v>
      </c>
      <c r="G207" s="1">
        <v>2</v>
      </c>
      <c r="H207" s="1">
        <v>25.36</v>
      </c>
      <c r="I207" s="1" t="s">
        <v>633</v>
      </c>
      <c r="J207" s="1" t="s">
        <v>634</v>
      </c>
      <c r="K207" s="1" t="s">
        <v>635</v>
      </c>
      <c r="L207" s="1" t="s">
        <v>636</v>
      </c>
      <c r="M207" s="3" t="s">
        <v>637</v>
      </c>
      <c r="N207" s="1" t="s">
        <v>18</v>
      </c>
    </row>
    <row r="208" spans="1:14" ht="13">
      <c r="A208" s="1">
        <v>10454</v>
      </c>
      <c r="B208" s="1" t="s">
        <v>624</v>
      </c>
      <c r="C208" s="1">
        <v>4</v>
      </c>
      <c r="D208" s="2">
        <v>34782</v>
      </c>
      <c r="E208" s="2">
        <v>34810</v>
      </c>
      <c r="F208" s="2">
        <v>34786</v>
      </c>
      <c r="G208" s="1">
        <v>3</v>
      </c>
      <c r="H208" s="1">
        <v>2.74</v>
      </c>
      <c r="I208" s="1" t="s">
        <v>625</v>
      </c>
      <c r="J208" s="1" t="s">
        <v>626</v>
      </c>
      <c r="K208" s="1" t="s">
        <v>627</v>
      </c>
      <c r="M208" s="3">
        <v>31000</v>
      </c>
      <c r="N208" s="1" t="s">
        <v>140</v>
      </c>
    </row>
    <row r="209" spans="1:14" ht="13">
      <c r="A209" s="1">
        <v>10455</v>
      </c>
      <c r="B209" s="1" t="s">
        <v>471</v>
      </c>
      <c r="C209" s="1">
        <v>8</v>
      </c>
      <c r="D209" s="2">
        <v>34785</v>
      </c>
      <c r="E209" s="2">
        <v>34827</v>
      </c>
      <c r="F209" s="2">
        <v>34792</v>
      </c>
      <c r="G209" s="1">
        <v>2</v>
      </c>
      <c r="H209" s="1">
        <v>180.45</v>
      </c>
      <c r="I209" s="1" t="s">
        <v>472</v>
      </c>
      <c r="J209" s="1" t="s">
        <v>473</v>
      </c>
      <c r="K209" s="1" t="s">
        <v>474</v>
      </c>
      <c r="M209" s="3">
        <v>90110</v>
      </c>
      <c r="N209" s="1" t="s">
        <v>176</v>
      </c>
    </row>
    <row r="210" spans="1:14" ht="13">
      <c r="A210" s="1">
        <v>10456</v>
      </c>
      <c r="B210" s="1" t="s">
        <v>589</v>
      </c>
      <c r="C210" s="1">
        <v>8</v>
      </c>
      <c r="D210" s="2">
        <v>34786</v>
      </c>
      <c r="E210" s="2">
        <v>34828</v>
      </c>
      <c r="F210" s="2">
        <v>34789</v>
      </c>
      <c r="G210" s="1">
        <v>2</v>
      </c>
      <c r="H210" s="1">
        <v>8.1199999999999992</v>
      </c>
      <c r="I210" s="1" t="s">
        <v>590</v>
      </c>
      <c r="J210" s="1" t="s">
        <v>591</v>
      </c>
      <c r="K210" s="1" t="s">
        <v>592</v>
      </c>
      <c r="M210" s="3">
        <v>14776</v>
      </c>
      <c r="N210" s="1" t="s">
        <v>93</v>
      </c>
    </row>
    <row r="211" spans="1:14" ht="13">
      <c r="A211" s="1">
        <v>10457</v>
      </c>
      <c r="B211" s="1" t="s">
        <v>589</v>
      </c>
      <c r="C211" s="1">
        <v>2</v>
      </c>
      <c r="D211" s="2">
        <v>34786</v>
      </c>
      <c r="E211" s="2">
        <v>34814</v>
      </c>
      <c r="F211" s="2">
        <v>34792</v>
      </c>
      <c r="G211" s="1">
        <v>1</v>
      </c>
      <c r="H211" s="1">
        <v>11.57</v>
      </c>
      <c r="I211" s="1" t="s">
        <v>590</v>
      </c>
      <c r="J211" s="1" t="s">
        <v>591</v>
      </c>
      <c r="K211" s="1" t="s">
        <v>592</v>
      </c>
      <c r="M211" s="3">
        <v>14776</v>
      </c>
      <c r="N211" s="1" t="s">
        <v>93</v>
      </c>
    </row>
    <row r="212" spans="1:14" ht="13">
      <c r="A212" s="1">
        <v>10458</v>
      </c>
      <c r="B212" s="1" t="s">
        <v>412</v>
      </c>
      <c r="C212" s="1">
        <v>7</v>
      </c>
      <c r="D212" s="2">
        <v>34787</v>
      </c>
      <c r="E212" s="2">
        <v>34815</v>
      </c>
      <c r="F212" s="2">
        <v>34793</v>
      </c>
      <c r="G212" s="1">
        <v>3</v>
      </c>
      <c r="H212" s="1">
        <v>147.06</v>
      </c>
      <c r="I212" s="1" t="s">
        <v>413</v>
      </c>
      <c r="J212" s="1" t="s">
        <v>414</v>
      </c>
      <c r="K212" s="1" t="s">
        <v>415</v>
      </c>
      <c r="M212" s="3" t="s">
        <v>416</v>
      </c>
      <c r="N212" s="1" t="s">
        <v>417</v>
      </c>
    </row>
    <row r="213" spans="1:14" ht="13">
      <c r="A213" s="1">
        <v>10459</v>
      </c>
      <c r="B213" s="1" t="s">
        <v>408</v>
      </c>
      <c r="C213" s="1">
        <v>4</v>
      </c>
      <c r="D213" s="2">
        <v>34788</v>
      </c>
      <c r="E213" s="2">
        <v>34816</v>
      </c>
      <c r="F213" s="2">
        <v>34789</v>
      </c>
      <c r="G213" s="1">
        <v>2</v>
      </c>
      <c r="H213" s="1">
        <v>25.09</v>
      </c>
      <c r="I213" s="1" t="s">
        <v>409</v>
      </c>
      <c r="J213" s="1" t="s">
        <v>410</v>
      </c>
      <c r="K213" s="1" t="s">
        <v>411</v>
      </c>
      <c r="M213" s="3">
        <v>69004</v>
      </c>
      <c r="N213" s="1" t="s">
        <v>140</v>
      </c>
    </row>
    <row r="214" spans="1:14" ht="13">
      <c r="A214" s="1">
        <v>10460</v>
      </c>
      <c r="B214" s="1" t="s">
        <v>462</v>
      </c>
      <c r="C214" s="1">
        <v>8</v>
      </c>
      <c r="D214" s="2">
        <v>34789</v>
      </c>
      <c r="E214" s="2">
        <v>34817</v>
      </c>
      <c r="F214" s="2">
        <v>34792</v>
      </c>
      <c r="G214" s="1">
        <v>1</v>
      </c>
      <c r="H214" s="1">
        <v>16.27</v>
      </c>
      <c r="I214" s="1" t="s">
        <v>463</v>
      </c>
      <c r="J214" s="1" t="s">
        <v>464</v>
      </c>
      <c r="K214" s="1" t="s">
        <v>465</v>
      </c>
      <c r="M214" s="3" t="s">
        <v>466</v>
      </c>
      <c r="N214" s="1" t="s">
        <v>79</v>
      </c>
    </row>
    <row r="215" spans="1:14" ht="13">
      <c r="A215" s="1">
        <v>10461</v>
      </c>
      <c r="B215" s="1" t="s">
        <v>522</v>
      </c>
      <c r="C215" s="1">
        <v>1</v>
      </c>
      <c r="D215" s="2">
        <v>34789</v>
      </c>
      <c r="E215" s="2">
        <v>34817</v>
      </c>
      <c r="F215" s="2">
        <v>34794</v>
      </c>
      <c r="G215" s="1">
        <v>3</v>
      </c>
      <c r="H215" s="1">
        <v>148.61000000000001</v>
      </c>
      <c r="I215" s="1" t="s">
        <v>523</v>
      </c>
      <c r="J215" s="1" t="s">
        <v>524</v>
      </c>
      <c r="K215" s="1" t="s">
        <v>525</v>
      </c>
      <c r="L215" s="1" t="s">
        <v>526</v>
      </c>
      <c r="M215" s="3">
        <v>3508</v>
      </c>
      <c r="N215" s="1" t="s">
        <v>438</v>
      </c>
    </row>
    <row r="216" spans="1:14" ht="13">
      <c r="A216" s="1">
        <v>10462</v>
      </c>
      <c r="B216" s="1" t="s">
        <v>708</v>
      </c>
      <c r="C216" s="1">
        <v>2</v>
      </c>
      <c r="D216" s="2">
        <v>34792</v>
      </c>
      <c r="E216" s="2">
        <v>34820</v>
      </c>
      <c r="F216" s="2">
        <v>34807</v>
      </c>
      <c r="G216" s="1">
        <v>1</v>
      </c>
      <c r="H216" s="1">
        <v>6.17</v>
      </c>
      <c r="I216" s="1" t="s">
        <v>709</v>
      </c>
      <c r="J216" s="1" t="s">
        <v>710</v>
      </c>
      <c r="K216" s="1" t="s">
        <v>16</v>
      </c>
      <c r="M216" s="3" t="s">
        <v>711</v>
      </c>
      <c r="N216" s="1" t="s">
        <v>18</v>
      </c>
    </row>
    <row r="217" spans="1:14" ht="13">
      <c r="A217" s="1">
        <v>10463</v>
      </c>
      <c r="B217" s="1" t="s">
        <v>412</v>
      </c>
      <c r="C217" s="1">
        <v>5</v>
      </c>
      <c r="D217" s="2">
        <v>34793</v>
      </c>
      <c r="E217" s="2">
        <v>34821</v>
      </c>
      <c r="F217" s="2">
        <v>34795</v>
      </c>
      <c r="G217" s="1">
        <v>3</v>
      </c>
      <c r="H217" s="1">
        <v>14.78</v>
      </c>
      <c r="I217" s="1" t="s">
        <v>413</v>
      </c>
      <c r="J217" s="1" t="s">
        <v>414</v>
      </c>
      <c r="K217" s="1" t="s">
        <v>415</v>
      </c>
      <c r="M217" s="3" t="s">
        <v>416</v>
      </c>
      <c r="N217" s="1" t="s">
        <v>417</v>
      </c>
    </row>
    <row r="218" spans="1:14" ht="13">
      <c r="A218" s="1">
        <v>10464</v>
      </c>
      <c r="B218" s="1" t="s">
        <v>601</v>
      </c>
      <c r="C218" s="1">
        <v>4</v>
      </c>
      <c r="D218" s="2">
        <v>34793</v>
      </c>
      <c r="E218" s="2">
        <v>34821</v>
      </c>
      <c r="F218" s="2">
        <v>34803</v>
      </c>
      <c r="G218" s="1">
        <v>2</v>
      </c>
      <c r="H218" s="1">
        <v>89</v>
      </c>
      <c r="I218" s="1" t="s">
        <v>602</v>
      </c>
      <c r="J218" s="1" t="s">
        <v>603</v>
      </c>
      <c r="K218" s="1" t="s">
        <v>604</v>
      </c>
      <c r="M218" s="3">
        <v>1675</v>
      </c>
      <c r="N218" s="1" t="s">
        <v>605</v>
      </c>
    </row>
    <row r="219" spans="1:14" ht="13">
      <c r="A219" s="1">
        <v>10465</v>
      </c>
      <c r="B219" s="1" t="s">
        <v>657</v>
      </c>
      <c r="C219" s="1">
        <v>1</v>
      </c>
      <c r="D219" s="2">
        <v>34794</v>
      </c>
      <c r="E219" s="2">
        <v>34822</v>
      </c>
      <c r="F219" s="2">
        <v>34803</v>
      </c>
      <c r="G219" s="1">
        <v>3</v>
      </c>
      <c r="H219" s="1">
        <v>145.04</v>
      </c>
      <c r="I219" s="1" t="s">
        <v>658</v>
      </c>
      <c r="J219" s="1" t="s">
        <v>659</v>
      </c>
      <c r="K219" s="1" t="s">
        <v>660</v>
      </c>
      <c r="M219" s="3">
        <v>8200</v>
      </c>
      <c r="N219" s="1" t="s">
        <v>161</v>
      </c>
    </row>
    <row r="220" spans="1:14" ht="13">
      <c r="A220" s="1">
        <v>10466</v>
      </c>
      <c r="B220" s="1" t="s">
        <v>539</v>
      </c>
      <c r="C220" s="1">
        <v>4</v>
      </c>
      <c r="D220" s="2">
        <v>34795</v>
      </c>
      <c r="E220" s="2">
        <v>34823</v>
      </c>
      <c r="F220" s="2">
        <v>34802</v>
      </c>
      <c r="G220" s="1">
        <v>1</v>
      </c>
      <c r="H220" s="1">
        <v>11.93</v>
      </c>
      <c r="I220" s="1" t="s">
        <v>540</v>
      </c>
      <c r="J220" s="1" t="s">
        <v>541</v>
      </c>
      <c r="K220" s="1" t="s">
        <v>85</v>
      </c>
      <c r="L220" s="1" t="s">
        <v>431</v>
      </c>
      <c r="M220" s="3" t="s">
        <v>542</v>
      </c>
      <c r="N220" s="1" t="s">
        <v>86</v>
      </c>
    </row>
    <row r="221" spans="1:14" ht="13">
      <c r="A221" s="1">
        <v>10467</v>
      </c>
      <c r="B221" s="1" t="s">
        <v>498</v>
      </c>
      <c r="C221" s="1">
        <v>8</v>
      </c>
      <c r="D221" s="2">
        <v>34795</v>
      </c>
      <c r="E221" s="2">
        <v>34823</v>
      </c>
      <c r="F221" s="2">
        <v>34800</v>
      </c>
      <c r="G221" s="1">
        <v>2</v>
      </c>
      <c r="H221" s="1">
        <v>4.93</v>
      </c>
      <c r="I221" s="1" t="s">
        <v>499</v>
      </c>
      <c r="J221" s="1" t="s">
        <v>500</v>
      </c>
      <c r="K221" s="1" t="s">
        <v>501</v>
      </c>
      <c r="M221" s="3">
        <v>24100</v>
      </c>
      <c r="N221" s="1" t="s">
        <v>113</v>
      </c>
    </row>
    <row r="222" spans="1:14" ht="13">
      <c r="A222" s="1">
        <v>10468</v>
      </c>
      <c r="B222" s="1" t="s">
        <v>589</v>
      </c>
      <c r="C222" s="1">
        <v>3</v>
      </c>
      <c r="D222" s="2">
        <v>34796</v>
      </c>
      <c r="E222" s="2">
        <v>34824</v>
      </c>
      <c r="F222" s="2">
        <v>34801</v>
      </c>
      <c r="G222" s="1">
        <v>3</v>
      </c>
      <c r="H222" s="1">
        <v>44.12</v>
      </c>
      <c r="I222" s="1" t="s">
        <v>590</v>
      </c>
      <c r="J222" s="1" t="s">
        <v>591</v>
      </c>
      <c r="K222" s="1" t="s">
        <v>592</v>
      </c>
      <c r="M222" s="3">
        <v>14776</v>
      </c>
      <c r="N222" s="1" t="s">
        <v>93</v>
      </c>
    </row>
    <row r="223" spans="1:14" ht="13">
      <c r="A223" s="1">
        <v>10469</v>
      </c>
      <c r="B223" s="1" t="s">
        <v>484</v>
      </c>
      <c r="C223" s="1">
        <v>1</v>
      </c>
      <c r="D223" s="2">
        <v>34799</v>
      </c>
      <c r="E223" s="2">
        <v>34827</v>
      </c>
      <c r="F223" s="2">
        <v>34803</v>
      </c>
      <c r="G223" s="1">
        <v>1</v>
      </c>
      <c r="H223" s="1">
        <v>60.18</v>
      </c>
      <c r="I223" s="1" t="s">
        <v>485</v>
      </c>
      <c r="J223" s="1" t="s">
        <v>486</v>
      </c>
      <c r="K223" s="1" t="s">
        <v>487</v>
      </c>
      <c r="L223" s="1" t="s">
        <v>488</v>
      </c>
      <c r="M223" s="3">
        <v>98124</v>
      </c>
      <c r="N223" s="1" t="s">
        <v>26</v>
      </c>
    </row>
    <row r="224" spans="1:14" ht="13">
      <c r="A224" s="1">
        <v>10470</v>
      </c>
      <c r="B224" s="1" t="s">
        <v>606</v>
      </c>
      <c r="C224" s="1">
        <v>4</v>
      </c>
      <c r="D224" s="2">
        <v>34800</v>
      </c>
      <c r="E224" s="2">
        <v>34828</v>
      </c>
      <c r="F224" s="2">
        <v>34803</v>
      </c>
      <c r="G224" s="1">
        <v>2</v>
      </c>
      <c r="H224" s="1">
        <v>64.56</v>
      </c>
      <c r="I224" s="1" t="s">
        <v>607</v>
      </c>
      <c r="J224" s="1" t="s">
        <v>608</v>
      </c>
      <c r="K224" s="1" t="s">
        <v>609</v>
      </c>
      <c r="M224" s="3">
        <v>13008</v>
      </c>
      <c r="N224" s="1" t="s">
        <v>140</v>
      </c>
    </row>
    <row r="225" spans="1:14" ht="13">
      <c r="A225" s="1">
        <v>10471</v>
      </c>
      <c r="B225" s="1" t="s">
        <v>535</v>
      </c>
      <c r="C225" s="1">
        <v>2</v>
      </c>
      <c r="D225" s="2">
        <v>34800</v>
      </c>
      <c r="E225" s="2">
        <v>34828</v>
      </c>
      <c r="F225" s="2">
        <v>34807</v>
      </c>
      <c r="G225" s="1">
        <v>3</v>
      </c>
      <c r="H225" s="1">
        <v>45.59</v>
      </c>
      <c r="I225" s="1" t="s">
        <v>536</v>
      </c>
      <c r="J225" s="1" t="s">
        <v>537</v>
      </c>
      <c r="K225" s="1" t="s">
        <v>16</v>
      </c>
      <c r="M225" s="3" t="s">
        <v>538</v>
      </c>
      <c r="N225" s="1" t="s">
        <v>18</v>
      </c>
    </row>
    <row r="226" spans="1:14" ht="13">
      <c r="A226" s="1">
        <v>10472</v>
      </c>
      <c r="B226" s="1" t="s">
        <v>638</v>
      </c>
      <c r="C226" s="1">
        <v>8</v>
      </c>
      <c r="D226" s="2">
        <v>34801</v>
      </c>
      <c r="E226" s="2">
        <v>34829</v>
      </c>
      <c r="F226" s="2">
        <v>34808</v>
      </c>
      <c r="G226" s="1">
        <v>1</v>
      </c>
      <c r="H226" s="1">
        <v>4.2</v>
      </c>
      <c r="I226" s="1" t="s">
        <v>639</v>
      </c>
      <c r="J226" s="1" t="s">
        <v>640</v>
      </c>
      <c r="K226" s="1" t="s">
        <v>16</v>
      </c>
      <c r="M226" s="3" t="s">
        <v>641</v>
      </c>
      <c r="N226" s="1" t="s">
        <v>18</v>
      </c>
    </row>
    <row r="227" spans="1:14" ht="13">
      <c r="A227" s="1">
        <v>10473</v>
      </c>
      <c r="B227" s="1" t="s">
        <v>580</v>
      </c>
      <c r="C227" s="1">
        <v>1</v>
      </c>
      <c r="D227" s="2">
        <v>34802</v>
      </c>
      <c r="E227" s="2">
        <v>34816</v>
      </c>
      <c r="F227" s="2">
        <v>34810</v>
      </c>
      <c r="G227" s="1">
        <v>3</v>
      </c>
      <c r="H227" s="1">
        <v>16.37</v>
      </c>
      <c r="I227" s="1" t="s">
        <v>581</v>
      </c>
      <c r="J227" s="1" t="s">
        <v>582</v>
      </c>
      <c r="K227" s="1" t="s">
        <v>583</v>
      </c>
      <c r="L227" s="1" t="s">
        <v>584</v>
      </c>
      <c r="M227" s="3" t="s">
        <v>585</v>
      </c>
      <c r="N227" s="1" t="s">
        <v>18</v>
      </c>
    </row>
    <row r="228" spans="1:14" ht="13">
      <c r="A228" s="1">
        <v>10474</v>
      </c>
      <c r="B228" s="1" t="s">
        <v>586</v>
      </c>
      <c r="C228" s="1">
        <v>5</v>
      </c>
      <c r="D228" s="2">
        <v>34802</v>
      </c>
      <c r="E228" s="2">
        <v>34830</v>
      </c>
      <c r="F228" s="2">
        <v>34810</v>
      </c>
      <c r="G228" s="1">
        <v>2</v>
      </c>
      <c r="H228" s="1">
        <v>83.49</v>
      </c>
      <c r="I228" s="1" t="s">
        <v>587</v>
      </c>
      <c r="J228" s="1" t="s">
        <v>588</v>
      </c>
      <c r="K228" s="1" t="s">
        <v>447</v>
      </c>
      <c r="M228" s="3">
        <v>5033</v>
      </c>
      <c r="N228" s="1" t="s">
        <v>448</v>
      </c>
    </row>
    <row r="229" spans="1:14" ht="13">
      <c r="A229" s="1">
        <v>10475</v>
      </c>
      <c r="B229" s="1" t="s">
        <v>412</v>
      </c>
      <c r="C229" s="1">
        <v>9</v>
      </c>
      <c r="D229" s="2">
        <v>34803</v>
      </c>
      <c r="E229" s="2">
        <v>34831</v>
      </c>
      <c r="F229" s="2">
        <v>34824</v>
      </c>
      <c r="G229" s="1">
        <v>1</v>
      </c>
      <c r="H229" s="1">
        <v>68.52</v>
      </c>
      <c r="I229" s="1" t="s">
        <v>413</v>
      </c>
      <c r="J229" s="1" t="s">
        <v>414</v>
      </c>
      <c r="K229" s="1" t="s">
        <v>415</v>
      </c>
      <c r="M229" s="3" t="s">
        <v>416</v>
      </c>
      <c r="N229" s="1" t="s">
        <v>417</v>
      </c>
    </row>
    <row r="230" spans="1:14" ht="13">
      <c r="A230" s="1">
        <v>10476</v>
      </c>
      <c r="B230" s="1" t="s">
        <v>433</v>
      </c>
      <c r="C230" s="1">
        <v>8</v>
      </c>
      <c r="D230" s="2">
        <v>34806</v>
      </c>
      <c r="E230" s="2">
        <v>34834</v>
      </c>
      <c r="F230" s="2">
        <v>34813</v>
      </c>
      <c r="G230" s="1">
        <v>3</v>
      </c>
      <c r="H230" s="1">
        <v>4.41</v>
      </c>
      <c r="I230" s="1" t="s">
        <v>434</v>
      </c>
      <c r="J230" s="1" t="s">
        <v>435</v>
      </c>
      <c r="K230" s="1" t="s">
        <v>436</v>
      </c>
      <c r="L230" s="1" t="s">
        <v>437</v>
      </c>
      <c r="M230" s="3">
        <v>5022</v>
      </c>
      <c r="N230" s="1" t="s">
        <v>438</v>
      </c>
    </row>
    <row r="231" spans="1:14" ht="13">
      <c r="A231" s="1">
        <v>10477</v>
      </c>
      <c r="B231" s="1" t="s">
        <v>613</v>
      </c>
      <c r="C231" s="1">
        <v>5</v>
      </c>
      <c r="D231" s="2">
        <v>34806</v>
      </c>
      <c r="E231" s="2">
        <v>34834</v>
      </c>
      <c r="F231" s="2">
        <v>34814</v>
      </c>
      <c r="G231" s="1">
        <v>2</v>
      </c>
      <c r="H231" s="1">
        <v>13.02</v>
      </c>
      <c r="I231" s="1" t="s">
        <v>614</v>
      </c>
      <c r="J231" s="1" t="s">
        <v>615</v>
      </c>
      <c r="K231" s="1" t="s">
        <v>604</v>
      </c>
      <c r="M231" s="3">
        <v>1756</v>
      </c>
      <c r="N231" s="1" t="s">
        <v>605</v>
      </c>
    </row>
    <row r="232" spans="1:14" ht="13">
      <c r="A232" s="1">
        <v>10478</v>
      </c>
      <c r="B232" s="1" t="s">
        <v>408</v>
      </c>
      <c r="C232" s="1">
        <v>2</v>
      </c>
      <c r="D232" s="2">
        <v>34807</v>
      </c>
      <c r="E232" s="2">
        <v>34821</v>
      </c>
      <c r="F232" s="2">
        <v>34815</v>
      </c>
      <c r="G232" s="1">
        <v>3</v>
      </c>
      <c r="H232" s="1">
        <v>4.8099999999999996</v>
      </c>
      <c r="I232" s="1" t="s">
        <v>409</v>
      </c>
      <c r="J232" s="1" t="s">
        <v>410</v>
      </c>
      <c r="K232" s="1" t="s">
        <v>411</v>
      </c>
      <c r="M232" s="3">
        <v>69004</v>
      </c>
      <c r="N232" s="1" t="s">
        <v>140</v>
      </c>
    </row>
    <row r="233" spans="1:14" ht="13">
      <c r="A233" s="1">
        <v>10479</v>
      </c>
      <c r="B233" s="1" t="s">
        <v>457</v>
      </c>
      <c r="C233" s="1">
        <v>3</v>
      </c>
      <c r="D233" s="2">
        <v>34808</v>
      </c>
      <c r="E233" s="2">
        <v>34836</v>
      </c>
      <c r="F233" s="2">
        <v>34810</v>
      </c>
      <c r="G233" s="1">
        <v>3</v>
      </c>
      <c r="H233" s="1">
        <v>708.95</v>
      </c>
      <c r="I233" s="1" t="s">
        <v>458</v>
      </c>
      <c r="J233" s="1" t="s">
        <v>459</v>
      </c>
      <c r="K233" s="1" t="s">
        <v>460</v>
      </c>
      <c r="L233" s="1" t="s">
        <v>461</v>
      </c>
      <c r="M233" s="3">
        <v>87110</v>
      </c>
      <c r="N233" s="1" t="s">
        <v>26</v>
      </c>
    </row>
    <row r="234" spans="1:14" ht="13">
      <c r="A234" s="1">
        <v>10480</v>
      </c>
      <c r="B234" s="1" t="s">
        <v>690</v>
      </c>
      <c r="C234" s="1">
        <v>6</v>
      </c>
      <c r="D234" s="2">
        <v>34809</v>
      </c>
      <c r="E234" s="2">
        <v>34837</v>
      </c>
      <c r="F234" s="2">
        <v>34813</v>
      </c>
      <c r="G234" s="1">
        <v>2</v>
      </c>
      <c r="H234" s="1">
        <v>1.35</v>
      </c>
      <c r="I234" s="1" t="s">
        <v>691</v>
      </c>
      <c r="J234" s="1" t="s">
        <v>692</v>
      </c>
      <c r="K234" s="1" t="s">
        <v>693</v>
      </c>
      <c r="M234" s="3">
        <v>59000</v>
      </c>
      <c r="N234" s="1" t="s">
        <v>140</v>
      </c>
    </row>
    <row r="235" spans="1:14" ht="13">
      <c r="A235" s="1">
        <v>10481</v>
      </c>
      <c r="B235" s="1" t="s">
        <v>527</v>
      </c>
      <c r="C235" s="1">
        <v>8</v>
      </c>
      <c r="D235" s="2">
        <v>34809</v>
      </c>
      <c r="E235" s="2">
        <v>34837</v>
      </c>
      <c r="F235" s="2">
        <v>34814</v>
      </c>
      <c r="G235" s="1">
        <v>2</v>
      </c>
      <c r="H235" s="1">
        <v>64.33</v>
      </c>
      <c r="I235" s="1" t="s">
        <v>528</v>
      </c>
      <c r="J235" s="1" t="s">
        <v>529</v>
      </c>
      <c r="K235" s="1" t="s">
        <v>405</v>
      </c>
      <c r="L235" s="1" t="s">
        <v>406</v>
      </c>
      <c r="M235" s="3" t="s">
        <v>530</v>
      </c>
      <c r="N235" s="1" t="s">
        <v>86</v>
      </c>
    </row>
    <row r="236" spans="1:14" ht="13">
      <c r="A236" s="1">
        <v>10482</v>
      </c>
      <c r="B236" s="1" t="s">
        <v>715</v>
      </c>
      <c r="C236" s="1">
        <v>1</v>
      </c>
      <c r="D236" s="2">
        <v>34810</v>
      </c>
      <c r="E236" s="2">
        <v>34838</v>
      </c>
      <c r="F236" s="2">
        <v>34830</v>
      </c>
      <c r="G236" s="1">
        <v>3</v>
      </c>
      <c r="H236" s="1">
        <v>7.48</v>
      </c>
      <c r="I236" s="1" t="s">
        <v>716</v>
      </c>
      <c r="J236" s="1" t="s">
        <v>717</v>
      </c>
      <c r="K236" s="1" t="s">
        <v>718</v>
      </c>
      <c r="L236" s="1" t="s">
        <v>488</v>
      </c>
      <c r="M236" s="3">
        <v>99362</v>
      </c>
      <c r="N236" s="1" t="s">
        <v>26</v>
      </c>
    </row>
    <row r="237" spans="1:14" ht="13">
      <c r="A237" s="1">
        <v>10483</v>
      </c>
      <c r="B237" s="1" t="s">
        <v>484</v>
      </c>
      <c r="C237" s="1">
        <v>7</v>
      </c>
      <c r="D237" s="2">
        <v>34813</v>
      </c>
      <c r="E237" s="2">
        <v>34841</v>
      </c>
      <c r="F237" s="2">
        <v>34845</v>
      </c>
      <c r="G237" s="1">
        <v>2</v>
      </c>
      <c r="H237" s="1">
        <v>15.28</v>
      </c>
      <c r="I237" s="1" t="s">
        <v>485</v>
      </c>
      <c r="J237" s="1" t="s">
        <v>486</v>
      </c>
      <c r="K237" s="1" t="s">
        <v>487</v>
      </c>
      <c r="L237" s="1" t="s">
        <v>488</v>
      </c>
      <c r="M237" s="3">
        <v>98124</v>
      </c>
      <c r="N237" s="1" t="s">
        <v>26</v>
      </c>
    </row>
    <row r="238" spans="1:14" ht="13">
      <c r="A238" s="1">
        <v>10484</v>
      </c>
      <c r="B238" s="1" t="s">
        <v>535</v>
      </c>
      <c r="C238" s="1">
        <v>3</v>
      </c>
      <c r="D238" s="2">
        <v>34813</v>
      </c>
      <c r="E238" s="2">
        <v>34841</v>
      </c>
      <c r="F238" s="2">
        <v>34821</v>
      </c>
      <c r="G238" s="1">
        <v>3</v>
      </c>
      <c r="H238" s="1">
        <v>6.88</v>
      </c>
      <c r="I238" s="1" t="s">
        <v>536</v>
      </c>
      <c r="J238" s="1" t="s">
        <v>537</v>
      </c>
      <c r="K238" s="1" t="s">
        <v>16</v>
      </c>
      <c r="M238" s="3" t="s">
        <v>538</v>
      </c>
      <c r="N238" s="1" t="s">
        <v>18</v>
      </c>
    </row>
    <row r="239" spans="1:14" ht="13">
      <c r="A239" s="1">
        <v>10485</v>
      </c>
      <c r="B239" s="1" t="s">
        <v>685</v>
      </c>
      <c r="C239" s="1">
        <v>4</v>
      </c>
      <c r="D239" s="2">
        <v>34814</v>
      </c>
      <c r="E239" s="2">
        <v>34828</v>
      </c>
      <c r="F239" s="2">
        <v>34820</v>
      </c>
      <c r="G239" s="1">
        <v>2</v>
      </c>
      <c r="H239" s="1">
        <v>64.45</v>
      </c>
      <c r="I239" s="1" t="s">
        <v>686</v>
      </c>
      <c r="J239" s="1" t="s">
        <v>687</v>
      </c>
      <c r="K239" s="1" t="s">
        <v>688</v>
      </c>
      <c r="L239" s="1" t="s">
        <v>689</v>
      </c>
      <c r="M239" s="3">
        <v>4980</v>
      </c>
      <c r="N239" s="1" t="s">
        <v>438</v>
      </c>
    </row>
    <row r="240" spans="1:14" ht="13">
      <c r="A240" s="1">
        <v>10486</v>
      </c>
      <c r="B240" s="1" t="s">
        <v>433</v>
      </c>
      <c r="C240" s="1">
        <v>1</v>
      </c>
      <c r="D240" s="2">
        <v>34815</v>
      </c>
      <c r="E240" s="2">
        <v>34843</v>
      </c>
      <c r="F240" s="2">
        <v>34822</v>
      </c>
      <c r="G240" s="1">
        <v>2</v>
      </c>
      <c r="H240" s="1">
        <v>30.53</v>
      </c>
      <c r="I240" s="1" t="s">
        <v>434</v>
      </c>
      <c r="J240" s="1" t="s">
        <v>435</v>
      </c>
      <c r="K240" s="1" t="s">
        <v>436</v>
      </c>
      <c r="L240" s="1" t="s">
        <v>437</v>
      </c>
      <c r="M240" s="3">
        <v>5022</v>
      </c>
      <c r="N240" s="1" t="s">
        <v>438</v>
      </c>
    </row>
    <row r="241" spans="1:14" ht="13">
      <c r="A241" s="1">
        <v>10487</v>
      </c>
      <c r="B241" s="1" t="s">
        <v>661</v>
      </c>
      <c r="C241" s="1">
        <v>2</v>
      </c>
      <c r="D241" s="2">
        <v>34815</v>
      </c>
      <c r="E241" s="2">
        <v>34843</v>
      </c>
      <c r="F241" s="2">
        <v>34817</v>
      </c>
      <c r="G241" s="1">
        <v>2</v>
      </c>
      <c r="H241" s="1">
        <v>71.069999999999993</v>
      </c>
      <c r="I241" s="1" t="s">
        <v>662</v>
      </c>
      <c r="J241" s="1" t="s">
        <v>663</v>
      </c>
      <c r="K241" s="1" t="s">
        <v>85</v>
      </c>
      <c r="L241" s="1" t="s">
        <v>431</v>
      </c>
      <c r="M241" s="3" t="s">
        <v>664</v>
      </c>
      <c r="N241" s="1" t="s">
        <v>86</v>
      </c>
    </row>
    <row r="242" spans="1:14" ht="13">
      <c r="A242" s="1">
        <v>10488</v>
      </c>
      <c r="B242" s="1" t="s">
        <v>475</v>
      </c>
      <c r="C242" s="1">
        <v>8</v>
      </c>
      <c r="D242" s="2">
        <v>34816</v>
      </c>
      <c r="E242" s="2">
        <v>34844</v>
      </c>
      <c r="F242" s="2">
        <v>34822</v>
      </c>
      <c r="G242" s="1">
        <v>2</v>
      </c>
      <c r="H242" s="1">
        <v>4.93</v>
      </c>
      <c r="I242" s="1" t="s">
        <v>476</v>
      </c>
      <c r="J242" s="1" t="s">
        <v>477</v>
      </c>
      <c r="K242" s="1" t="s">
        <v>478</v>
      </c>
      <c r="M242" s="3">
        <v>80805</v>
      </c>
      <c r="N242" s="1" t="s">
        <v>93</v>
      </c>
    </row>
    <row r="243" spans="1:14" ht="13">
      <c r="A243" s="1">
        <v>10489</v>
      </c>
      <c r="B243" s="1" t="s">
        <v>628</v>
      </c>
      <c r="C243" s="1">
        <v>6</v>
      </c>
      <c r="D243" s="2">
        <v>34817</v>
      </c>
      <c r="E243" s="2">
        <v>34845</v>
      </c>
      <c r="F243" s="2">
        <v>34829</v>
      </c>
      <c r="G243" s="1">
        <v>2</v>
      </c>
      <c r="H243" s="1">
        <v>5.29</v>
      </c>
      <c r="I243" s="1" t="s">
        <v>629</v>
      </c>
      <c r="J243" s="1" t="s">
        <v>630</v>
      </c>
      <c r="K243" s="1" t="s">
        <v>631</v>
      </c>
      <c r="M243" s="3">
        <v>5020</v>
      </c>
      <c r="N243" s="1" t="s">
        <v>443</v>
      </c>
    </row>
    <row r="244" spans="1:14" ht="13">
      <c r="A244" s="1">
        <v>10490</v>
      </c>
      <c r="B244" s="1" t="s">
        <v>433</v>
      </c>
      <c r="C244" s="1">
        <v>7</v>
      </c>
      <c r="D244" s="2">
        <v>34820</v>
      </c>
      <c r="E244" s="2">
        <v>34848</v>
      </c>
      <c r="F244" s="2">
        <v>34823</v>
      </c>
      <c r="G244" s="1">
        <v>2</v>
      </c>
      <c r="H244" s="1">
        <v>210.19</v>
      </c>
      <c r="I244" s="1" t="s">
        <v>434</v>
      </c>
      <c r="J244" s="1" t="s">
        <v>435</v>
      </c>
      <c r="K244" s="1" t="s">
        <v>436</v>
      </c>
      <c r="L244" s="1" t="s">
        <v>437</v>
      </c>
      <c r="M244" s="3">
        <v>5022</v>
      </c>
      <c r="N244" s="1" t="s">
        <v>438</v>
      </c>
    </row>
    <row r="245" spans="1:14" ht="13">
      <c r="A245" s="1">
        <v>10491</v>
      </c>
      <c r="B245" s="1" t="s">
        <v>601</v>
      </c>
      <c r="C245" s="1">
        <v>8</v>
      </c>
      <c r="D245" s="2">
        <v>34820</v>
      </c>
      <c r="E245" s="2">
        <v>34848</v>
      </c>
      <c r="F245" s="2">
        <v>34828</v>
      </c>
      <c r="G245" s="1">
        <v>3</v>
      </c>
      <c r="H245" s="1">
        <v>16.96</v>
      </c>
      <c r="I245" s="1" t="s">
        <v>602</v>
      </c>
      <c r="J245" s="1" t="s">
        <v>603</v>
      </c>
      <c r="K245" s="1" t="s">
        <v>604</v>
      </c>
      <c r="M245" s="3">
        <v>1675</v>
      </c>
      <c r="N245" s="1" t="s">
        <v>605</v>
      </c>
    </row>
    <row r="246" spans="1:14" ht="13">
      <c r="A246" s="1">
        <v>10492</v>
      </c>
      <c r="B246" s="1" t="s">
        <v>679</v>
      </c>
      <c r="C246" s="1">
        <v>3</v>
      </c>
      <c r="D246" s="2">
        <v>34821</v>
      </c>
      <c r="E246" s="2">
        <v>34849</v>
      </c>
      <c r="F246" s="2">
        <v>34831</v>
      </c>
      <c r="G246" s="1">
        <v>1</v>
      </c>
      <c r="H246" s="1">
        <v>62.89</v>
      </c>
      <c r="I246" s="1" t="s">
        <v>680</v>
      </c>
      <c r="J246" s="1" t="s">
        <v>681</v>
      </c>
      <c r="K246" s="1" t="s">
        <v>682</v>
      </c>
      <c r="L246" s="1" t="s">
        <v>683</v>
      </c>
      <c r="M246" s="3" t="s">
        <v>684</v>
      </c>
      <c r="N246" s="1" t="s">
        <v>192</v>
      </c>
    </row>
    <row r="247" spans="1:14" ht="13">
      <c r="A247" s="1">
        <v>10493</v>
      </c>
      <c r="B247" s="1" t="s">
        <v>624</v>
      </c>
      <c r="C247" s="1">
        <v>4</v>
      </c>
      <c r="D247" s="2">
        <v>34822</v>
      </c>
      <c r="E247" s="2">
        <v>34850</v>
      </c>
      <c r="F247" s="2">
        <v>34830</v>
      </c>
      <c r="G247" s="1">
        <v>3</v>
      </c>
      <c r="H247" s="1">
        <v>10.64</v>
      </c>
      <c r="I247" s="1" t="s">
        <v>625</v>
      </c>
      <c r="J247" s="1" t="s">
        <v>626</v>
      </c>
      <c r="K247" s="1" t="s">
        <v>627</v>
      </c>
      <c r="M247" s="3">
        <v>31000</v>
      </c>
      <c r="N247" s="1" t="s">
        <v>140</v>
      </c>
    </row>
    <row r="248" spans="1:14" ht="13">
      <c r="A248" s="1">
        <v>10494</v>
      </c>
      <c r="B248" s="1" t="s">
        <v>539</v>
      </c>
      <c r="C248" s="1">
        <v>4</v>
      </c>
      <c r="D248" s="2">
        <v>34822</v>
      </c>
      <c r="E248" s="2">
        <v>34850</v>
      </c>
      <c r="F248" s="2">
        <v>34829</v>
      </c>
      <c r="G248" s="1">
        <v>2</v>
      </c>
      <c r="H248" s="1">
        <v>65.989999999999995</v>
      </c>
      <c r="I248" s="1" t="s">
        <v>540</v>
      </c>
      <c r="J248" s="1" t="s">
        <v>541</v>
      </c>
      <c r="K248" s="1" t="s">
        <v>85</v>
      </c>
      <c r="L248" s="1" t="s">
        <v>431</v>
      </c>
      <c r="M248" s="3" t="s">
        <v>542</v>
      </c>
      <c r="N248" s="1" t="s">
        <v>86</v>
      </c>
    </row>
    <row r="249" spans="1:14" ht="13">
      <c r="A249" s="1">
        <v>10495</v>
      </c>
      <c r="B249" s="1" t="s">
        <v>719</v>
      </c>
      <c r="C249" s="1">
        <v>3</v>
      </c>
      <c r="D249" s="2">
        <v>34823</v>
      </c>
      <c r="E249" s="2">
        <v>34851</v>
      </c>
      <c r="F249" s="2">
        <v>34831</v>
      </c>
      <c r="G249" s="1">
        <v>3</v>
      </c>
      <c r="H249" s="1">
        <v>4.6500000000000004</v>
      </c>
      <c r="I249" s="1" t="s">
        <v>720</v>
      </c>
      <c r="J249" s="1" t="s">
        <v>721</v>
      </c>
      <c r="K249" s="1" t="s">
        <v>722</v>
      </c>
      <c r="L249" s="1" t="s">
        <v>683</v>
      </c>
      <c r="M249" s="3" t="s">
        <v>723</v>
      </c>
      <c r="N249" s="1" t="s">
        <v>192</v>
      </c>
    </row>
    <row r="250" spans="1:14" ht="13">
      <c r="A250" s="1">
        <v>10496</v>
      </c>
      <c r="B250" s="1" t="s">
        <v>543</v>
      </c>
      <c r="C250" s="1">
        <v>7</v>
      </c>
      <c r="D250" s="2">
        <v>34824</v>
      </c>
      <c r="E250" s="2">
        <v>34852</v>
      </c>
      <c r="F250" s="2">
        <v>34827</v>
      </c>
      <c r="G250" s="1">
        <v>2</v>
      </c>
      <c r="H250" s="1">
        <v>46.77</v>
      </c>
      <c r="I250" s="1" t="s">
        <v>544</v>
      </c>
      <c r="J250" s="1" t="s">
        <v>545</v>
      </c>
      <c r="K250" s="1" t="s">
        <v>85</v>
      </c>
      <c r="L250" s="1" t="s">
        <v>431</v>
      </c>
      <c r="M250" s="3" t="s">
        <v>546</v>
      </c>
      <c r="N250" s="1" t="s">
        <v>86</v>
      </c>
    </row>
    <row r="251" spans="1:14" ht="13">
      <c r="A251" s="1">
        <v>10497</v>
      </c>
      <c r="B251" s="1" t="s">
        <v>514</v>
      </c>
      <c r="C251" s="1">
        <v>7</v>
      </c>
      <c r="D251" s="2">
        <v>34824</v>
      </c>
      <c r="E251" s="2">
        <v>34852</v>
      </c>
      <c r="F251" s="2">
        <v>34827</v>
      </c>
      <c r="G251" s="1">
        <v>1</v>
      </c>
      <c r="H251" s="1">
        <v>36.21</v>
      </c>
      <c r="I251" s="1" t="s">
        <v>515</v>
      </c>
      <c r="J251" s="1" t="s">
        <v>516</v>
      </c>
      <c r="K251" s="1" t="s">
        <v>517</v>
      </c>
      <c r="M251" s="3">
        <v>60528</v>
      </c>
      <c r="N251" s="1" t="s">
        <v>93</v>
      </c>
    </row>
    <row r="252" spans="1:14" ht="13">
      <c r="A252" s="1">
        <v>10498</v>
      </c>
      <c r="B252" s="1" t="s">
        <v>433</v>
      </c>
      <c r="C252" s="1">
        <v>8</v>
      </c>
      <c r="D252" s="2">
        <v>34827</v>
      </c>
      <c r="E252" s="2">
        <v>34855</v>
      </c>
      <c r="F252" s="2">
        <v>34831</v>
      </c>
      <c r="G252" s="1">
        <v>2</v>
      </c>
      <c r="H252" s="1">
        <v>29.75</v>
      </c>
      <c r="I252" s="1" t="s">
        <v>434</v>
      </c>
      <c r="J252" s="1" t="s">
        <v>435</v>
      </c>
      <c r="K252" s="1" t="s">
        <v>436</v>
      </c>
      <c r="L252" s="1" t="s">
        <v>437</v>
      </c>
      <c r="M252" s="3">
        <v>5022</v>
      </c>
      <c r="N252" s="1" t="s">
        <v>438</v>
      </c>
    </row>
    <row r="253" spans="1:14" ht="13">
      <c r="A253" s="1">
        <v>10499</v>
      </c>
      <c r="B253" s="1" t="s">
        <v>522</v>
      </c>
      <c r="C253" s="1">
        <v>4</v>
      </c>
      <c r="D253" s="2">
        <v>34828</v>
      </c>
      <c r="E253" s="2">
        <v>34856</v>
      </c>
      <c r="F253" s="2">
        <v>34836</v>
      </c>
      <c r="G253" s="1">
        <v>2</v>
      </c>
      <c r="H253" s="1">
        <v>102.02</v>
      </c>
      <c r="I253" s="1" t="s">
        <v>523</v>
      </c>
      <c r="J253" s="1" t="s">
        <v>524</v>
      </c>
      <c r="K253" s="1" t="s">
        <v>525</v>
      </c>
      <c r="L253" s="1" t="s">
        <v>526</v>
      </c>
      <c r="M253" s="3">
        <v>3508</v>
      </c>
      <c r="N253" s="1" t="s">
        <v>438</v>
      </c>
    </row>
    <row r="254" spans="1:14" ht="13">
      <c r="A254" s="1">
        <v>10500</v>
      </c>
      <c r="B254" s="1" t="s">
        <v>624</v>
      </c>
      <c r="C254" s="1">
        <v>6</v>
      </c>
      <c r="D254" s="2">
        <v>34829</v>
      </c>
      <c r="E254" s="2">
        <v>34857</v>
      </c>
      <c r="F254" s="2">
        <v>34837</v>
      </c>
      <c r="G254" s="1">
        <v>1</v>
      </c>
      <c r="H254" s="1">
        <v>42.68</v>
      </c>
      <c r="I254" s="1" t="s">
        <v>625</v>
      </c>
      <c r="J254" s="1" t="s">
        <v>626</v>
      </c>
      <c r="K254" s="1" t="s">
        <v>627</v>
      </c>
      <c r="M254" s="3">
        <v>31000</v>
      </c>
      <c r="N254" s="1" t="s">
        <v>140</v>
      </c>
    </row>
    <row r="255" spans="1:14" ht="13">
      <c r="A255" s="1">
        <v>10501</v>
      </c>
      <c r="B255" s="1" t="s">
        <v>724</v>
      </c>
      <c r="C255" s="1">
        <v>9</v>
      </c>
      <c r="D255" s="2">
        <v>34829</v>
      </c>
      <c r="E255" s="2">
        <v>34857</v>
      </c>
      <c r="F255" s="2">
        <v>34836</v>
      </c>
      <c r="G255" s="1">
        <v>3</v>
      </c>
      <c r="H255" s="1">
        <v>8.85</v>
      </c>
      <c r="I255" s="1" t="s">
        <v>725</v>
      </c>
      <c r="J255" s="1" t="s">
        <v>726</v>
      </c>
      <c r="K255" s="1" t="s">
        <v>727</v>
      </c>
      <c r="M255" s="3">
        <v>68306</v>
      </c>
      <c r="N255" s="1" t="s">
        <v>93</v>
      </c>
    </row>
    <row r="256" spans="1:14" ht="13">
      <c r="A256" s="1">
        <v>10502</v>
      </c>
      <c r="B256" s="1" t="s">
        <v>586</v>
      </c>
      <c r="C256" s="1">
        <v>2</v>
      </c>
      <c r="D256" s="2">
        <v>34830</v>
      </c>
      <c r="E256" s="2">
        <v>34858</v>
      </c>
      <c r="F256" s="2">
        <v>34849</v>
      </c>
      <c r="G256" s="1">
        <v>1</v>
      </c>
      <c r="H256" s="1">
        <v>69.319999999999993</v>
      </c>
      <c r="I256" s="1" t="s">
        <v>587</v>
      </c>
      <c r="J256" s="1" t="s">
        <v>588</v>
      </c>
      <c r="K256" s="1" t="s">
        <v>447</v>
      </c>
      <c r="M256" s="3">
        <v>5033</v>
      </c>
      <c r="N256" s="1" t="s">
        <v>448</v>
      </c>
    </row>
    <row r="257" spans="1:14" ht="13">
      <c r="A257" s="1">
        <v>10503</v>
      </c>
      <c r="B257" s="1" t="s">
        <v>547</v>
      </c>
      <c r="C257" s="1">
        <v>6</v>
      </c>
      <c r="D257" s="2">
        <v>34831</v>
      </c>
      <c r="E257" s="2">
        <v>34859</v>
      </c>
      <c r="F257" s="2">
        <v>34836</v>
      </c>
      <c r="G257" s="1">
        <v>2</v>
      </c>
      <c r="H257" s="1">
        <v>16.739999999999998</v>
      </c>
      <c r="I257" s="1" t="s">
        <v>548</v>
      </c>
      <c r="J257" s="1" t="s">
        <v>549</v>
      </c>
      <c r="K257" s="1" t="s">
        <v>550</v>
      </c>
      <c r="L257" s="1" t="s">
        <v>551</v>
      </c>
      <c r="N257" s="1" t="s">
        <v>552</v>
      </c>
    </row>
    <row r="258" spans="1:14" ht="13">
      <c r="A258" s="1">
        <v>10504</v>
      </c>
      <c r="B258" s="1" t="s">
        <v>484</v>
      </c>
      <c r="C258" s="1">
        <v>4</v>
      </c>
      <c r="D258" s="2">
        <v>34831</v>
      </c>
      <c r="E258" s="2">
        <v>34859</v>
      </c>
      <c r="F258" s="2">
        <v>34838</v>
      </c>
      <c r="G258" s="1">
        <v>3</v>
      </c>
      <c r="H258" s="1">
        <v>59.13</v>
      </c>
      <c r="I258" s="1" t="s">
        <v>485</v>
      </c>
      <c r="J258" s="1" t="s">
        <v>486</v>
      </c>
      <c r="K258" s="1" t="s">
        <v>487</v>
      </c>
      <c r="L258" s="1" t="s">
        <v>488</v>
      </c>
      <c r="M258" s="3">
        <v>98124</v>
      </c>
      <c r="N258" s="1" t="s">
        <v>26</v>
      </c>
    </row>
    <row r="259" spans="1:14" ht="13">
      <c r="A259" s="1">
        <v>10505</v>
      </c>
      <c r="B259" s="1" t="s">
        <v>610</v>
      </c>
      <c r="C259" s="1">
        <v>3</v>
      </c>
      <c r="D259" s="2">
        <v>34834</v>
      </c>
      <c r="E259" s="2">
        <v>34862</v>
      </c>
      <c r="F259" s="2">
        <v>34841</v>
      </c>
      <c r="G259" s="1">
        <v>3</v>
      </c>
      <c r="H259" s="1">
        <v>7.13</v>
      </c>
      <c r="I259" s="1" t="s">
        <v>611</v>
      </c>
      <c r="J259" s="1" t="s">
        <v>612</v>
      </c>
      <c r="K259" s="1" t="s">
        <v>189</v>
      </c>
      <c r="L259" s="1" t="s">
        <v>190</v>
      </c>
      <c r="M259" s="3" t="s">
        <v>191</v>
      </c>
      <c r="N259" s="1" t="s">
        <v>192</v>
      </c>
    </row>
    <row r="260" spans="1:14" ht="13">
      <c r="A260" s="1">
        <v>10506</v>
      </c>
      <c r="B260" s="1" t="s">
        <v>589</v>
      </c>
      <c r="C260" s="1">
        <v>9</v>
      </c>
      <c r="D260" s="2">
        <v>34835</v>
      </c>
      <c r="E260" s="2">
        <v>34863</v>
      </c>
      <c r="F260" s="2">
        <v>34852</v>
      </c>
      <c r="G260" s="1">
        <v>2</v>
      </c>
      <c r="H260" s="1">
        <v>21.19</v>
      </c>
      <c r="I260" s="1" t="s">
        <v>590</v>
      </c>
      <c r="J260" s="1" t="s">
        <v>591</v>
      </c>
      <c r="K260" s="1" t="s">
        <v>592</v>
      </c>
      <c r="M260" s="3">
        <v>14776</v>
      </c>
      <c r="N260" s="1" t="s">
        <v>93</v>
      </c>
    </row>
    <row r="261" spans="1:14" ht="13">
      <c r="A261" s="1">
        <v>10507</v>
      </c>
      <c r="B261" s="1" t="s">
        <v>650</v>
      </c>
      <c r="C261" s="1">
        <v>7</v>
      </c>
      <c r="D261" s="2">
        <v>34835</v>
      </c>
      <c r="E261" s="2">
        <v>34863</v>
      </c>
      <c r="F261" s="2">
        <v>34842</v>
      </c>
      <c r="G261" s="1">
        <v>1</v>
      </c>
      <c r="H261" s="1">
        <v>47.45</v>
      </c>
      <c r="I261" s="1" t="s">
        <v>651</v>
      </c>
      <c r="J261" s="1" t="s">
        <v>652</v>
      </c>
      <c r="K261" s="1" t="s">
        <v>447</v>
      </c>
      <c r="M261" s="3">
        <v>5023</v>
      </c>
      <c r="N261" s="1" t="s">
        <v>448</v>
      </c>
    </row>
    <row r="262" spans="1:14" ht="13">
      <c r="A262" s="1">
        <v>10508</v>
      </c>
      <c r="B262" s="1" t="s">
        <v>449</v>
      </c>
      <c r="C262" s="1">
        <v>1</v>
      </c>
      <c r="D262" s="2">
        <v>34836</v>
      </c>
      <c r="E262" s="2">
        <v>34864</v>
      </c>
      <c r="F262" s="2">
        <v>34863</v>
      </c>
      <c r="G262" s="1">
        <v>2</v>
      </c>
      <c r="H262" s="1">
        <v>4.99</v>
      </c>
      <c r="I262" s="1" t="s">
        <v>450</v>
      </c>
      <c r="J262" s="1" t="s">
        <v>451</v>
      </c>
      <c r="K262" s="1" t="s">
        <v>452</v>
      </c>
      <c r="M262" s="3">
        <v>50739</v>
      </c>
      <c r="N262" s="1" t="s">
        <v>93</v>
      </c>
    </row>
    <row r="263" spans="1:14" ht="13">
      <c r="A263" s="1">
        <v>10509</v>
      </c>
      <c r="B263" s="1" t="s">
        <v>724</v>
      </c>
      <c r="C263" s="1">
        <v>4</v>
      </c>
      <c r="D263" s="2">
        <v>34837</v>
      </c>
      <c r="E263" s="2">
        <v>34865</v>
      </c>
      <c r="F263" s="2">
        <v>34849</v>
      </c>
      <c r="G263" s="1">
        <v>1</v>
      </c>
      <c r="H263" s="1">
        <v>0.15</v>
      </c>
      <c r="I263" s="1" t="s">
        <v>725</v>
      </c>
      <c r="J263" s="1" t="s">
        <v>726</v>
      </c>
      <c r="K263" s="1" t="s">
        <v>727</v>
      </c>
      <c r="M263" s="3">
        <v>68306</v>
      </c>
      <c r="N263" s="1" t="s">
        <v>93</v>
      </c>
    </row>
    <row r="264" spans="1:14" ht="13">
      <c r="A264" s="1">
        <v>10510</v>
      </c>
      <c r="B264" s="1" t="s">
        <v>593</v>
      </c>
      <c r="C264" s="1">
        <v>6</v>
      </c>
      <c r="D264" s="2">
        <v>34838</v>
      </c>
      <c r="E264" s="2">
        <v>34866</v>
      </c>
      <c r="F264" s="2">
        <v>34848</v>
      </c>
      <c r="G264" s="1">
        <v>3</v>
      </c>
      <c r="H264" s="1">
        <v>367.63</v>
      </c>
      <c r="I264" s="1" t="s">
        <v>594</v>
      </c>
      <c r="J264" s="1" t="s">
        <v>595</v>
      </c>
      <c r="K264" s="1" t="s">
        <v>596</v>
      </c>
      <c r="L264" s="1" t="s">
        <v>597</v>
      </c>
      <c r="M264" s="3">
        <v>83720</v>
      </c>
      <c r="N264" s="1" t="s">
        <v>26</v>
      </c>
    </row>
    <row r="265" spans="1:14" ht="13">
      <c r="A265" s="1">
        <v>10511</v>
      </c>
      <c r="B265" s="1" t="s">
        <v>606</v>
      </c>
      <c r="C265" s="1">
        <v>4</v>
      </c>
      <c r="D265" s="2">
        <v>34838</v>
      </c>
      <c r="E265" s="2">
        <v>34866</v>
      </c>
      <c r="F265" s="2">
        <v>34841</v>
      </c>
      <c r="G265" s="1">
        <v>3</v>
      </c>
      <c r="H265" s="1">
        <v>350.64</v>
      </c>
      <c r="I265" s="1" t="s">
        <v>607</v>
      </c>
      <c r="J265" s="1" t="s">
        <v>608</v>
      </c>
      <c r="K265" s="1" t="s">
        <v>609</v>
      </c>
      <c r="M265" s="3">
        <v>13008</v>
      </c>
      <c r="N265" s="1" t="s">
        <v>140</v>
      </c>
    </row>
    <row r="266" spans="1:14" ht="13">
      <c r="A266" s="1">
        <v>10512</v>
      </c>
      <c r="B266" s="1" t="s">
        <v>620</v>
      </c>
      <c r="C266" s="1">
        <v>7</v>
      </c>
      <c r="D266" s="2">
        <v>34841</v>
      </c>
      <c r="E266" s="2">
        <v>34869</v>
      </c>
      <c r="F266" s="2">
        <v>34844</v>
      </c>
      <c r="G266" s="1">
        <v>2</v>
      </c>
      <c r="H266" s="1">
        <v>3.53</v>
      </c>
      <c r="I266" s="1" t="s">
        <v>621</v>
      </c>
      <c r="J266" s="1" t="s">
        <v>622</v>
      </c>
      <c r="K266" s="1" t="s">
        <v>85</v>
      </c>
      <c r="L266" s="1" t="s">
        <v>431</v>
      </c>
      <c r="M266" s="3" t="s">
        <v>623</v>
      </c>
      <c r="N266" s="1" t="s">
        <v>86</v>
      </c>
    </row>
    <row r="267" spans="1:14" ht="13">
      <c r="A267" s="1">
        <v>10513</v>
      </c>
      <c r="B267" s="1" t="s">
        <v>553</v>
      </c>
      <c r="C267" s="1">
        <v>7</v>
      </c>
      <c r="D267" s="2">
        <v>34842</v>
      </c>
      <c r="E267" s="2">
        <v>34884</v>
      </c>
      <c r="F267" s="2">
        <v>34848</v>
      </c>
      <c r="G267" s="1">
        <v>1</v>
      </c>
      <c r="H267" s="1">
        <v>105.65</v>
      </c>
      <c r="I267" s="1" t="s">
        <v>554</v>
      </c>
      <c r="J267" s="1" t="s">
        <v>555</v>
      </c>
      <c r="K267" s="1" t="s">
        <v>556</v>
      </c>
      <c r="M267" s="3">
        <v>70563</v>
      </c>
      <c r="N267" s="1" t="s">
        <v>93</v>
      </c>
    </row>
    <row r="268" spans="1:14" ht="13">
      <c r="A268" s="1">
        <v>10514</v>
      </c>
      <c r="B268" s="1" t="s">
        <v>439</v>
      </c>
      <c r="C268" s="1">
        <v>3</v>
      </c>
      <c r="D268" s="2">
        <v>34842</v>
      </c>
      <c r="E268" s="2">
        <v>34870</v>
      </c>
      <c r="F268" s="2">
        <v>34866</v>
      </c>
      <c r="G268" s="1">
        <v>2</v>
      </c>
      <c r="H268" s="1">
        <v>789.95</v>
      </c>
      <c r="I268" s="1" t="s">
        <v>440</v>
      </c>
      <c r="J268" s="1" t="s">
        <v>441</v>
      </c>
      <c r="K268" s="1" t="s">
        <v>442</v>
      </c>
      <c r="M268" s="3">
        <v>8010</v>
      </c>
      <c r="N268" s="1" t="s">
        <v>443</v>
      </c>
    </row>
    <row r="269" spans="1:14" ht="13">
      <c r="A269" s="1">
        <v>10515</v>
      </c>
      <c r="B269" s="1" t="s">
        <v>494</v>
      </c>
      <c r="C269" s="1">
        <v>2</v>
      </c>
      <c r="D269" s="2">
        <v>34843</v>
      </c>
      <c r="E269" s="2">
        <v>34857</v>
      </c>
      <c r="F269" s="2">
        <v>34873</v>
      </c>
      <c r="G269" s="1">
        <v>1</v>
      </c>
      <c r="H269" s="1">
        <v>204.47</v>
      </c>
      <c r="I269" s="1" t="s">
        <v>495</v>
      </c>
      <c r="J269" s="1" t="s">
        <v>496</v>
      </c>
      <c r="K269" s="1" t="s">
        <v>497</v>
      </c>
      <c r="M269" s="3">
        <v>1307</v>
      </c>
      <c r="N269" s="1" t="s">
        <v>93</v>
      </c>
    </row>
    <row r="270" spans="1:14" ht="13">
      <c r="A270" s="1">
        <v>10516</v>
      </c>
      <c r="B270" s="1" t="s">
        <v>547</v>
      </c>
      <c r="C270" s="1">
        <v>2</v>
      </c>
      <c r="D270" s="2">
        <v>34844</v>
      </c>
      <c r="E270" s="2">
        <v>34872</v>
      </c>
      <c r="F270" s="2">
        <v>34851</v>
      </c>
      <c r="G270" s="1">
        <v>3</v>
      </c>
      <c r="H270" s="1">
        <v>62.78</v>
      </c>
      <c r="I270" s="1" t="s">
        <v>548</v>
      </c>
      <c r="J270" s="1" t="s">
        <v>549</v>
      </c>
      <c r="K270" s="1" t="s">
        <v>550</v>
      </c>
      <c r="L270" s="1" t="s">
        <v>551</v>
      </c>
      <c r="N270" s="1" t="s">
        <v>552</v>
      </c>
    </row>
    <row r="271" spans="1:14" ht="13">
      <c r="A271" s="1">
        <v>10517</v>
      </c>
      <c r="B271" s="1" t="s">
        <v>728</v>
      </c>
      <c r="C271" s="1">
        <v>3</v>
      </c>
      <c r="D271" s="2">
        <v>34844</v>
      </c>
      <c r="E271" s="2">
        <v>34872</v>
      </c>
      <c r="F271" s="2">
        <v>34849</v>
      </c>
      <c r="G271" s="1">
        <v>3</v>
      </c>
      <c r="H271" s="1">
        <v>32.07</v>
      </c>
      <c r="I271" s="1" t="s">
        <v>729</v>
      </c>
      <c r="J271" s="1" t="s">
        <v>730</v>
      </c>
      <c r="K271" s="1" t="s">
        <v>16</v>
      </c>
      <c r="M271" s="3" t="s">
        <v>731</v>
      </c>
      <c r="N271" s="1" t="s">
        <v>18</v>
      </c>
    </row>
    <row r="272" spans="1:14" ht="13">
      <c r="A272" s="1">
        <v>10518</v>
      </c>
      <c r="B272" s="1" t="s">
        <v>502</v>
      </c>
      <c r="C272" s="1">
        <v>4</v>
      </c>
      <c r="D272" s="2">
        <v>34845</v>
      </c>
      <c r="E272" s="2">
        <v>34859</v>
      </c>
      <c r="F272" s="2">
        <v>34855</v>
      </c>
      <c r="G272" s="1">
        <v>2</v>
      </c>
      <c r="H272" s="1">
        <v>218.15</v>
      </c>
      <c r="I272" s="1" t="s">
        <v>503</v>
      </c>
      <c r="J272" s="1" t="s">
        <v>504</v>
      </c>
      <c r="K272" s="1" t="s">
        <v>447</v>
      </c>
      <c r="M272" s="3">
        <v>5033</v>
      </c>
      <c r="N272" s="1" t="s">
        <v>448</v>
      </c>
    </row>
    <row r="273" spans="1:14" ht="13">
      <c r="A273" s="1">
        <v>10519</v>
      </c>
      <c r="B273" s="1" t="s">
        <v>418</v>
      </c>
      <c r="C273" s="1">
        <v>6</v>
      </c>
      <c r="D273" s="2">
        <v>34848</v>
      </c>
      <c r="E273" s="2">
        <v>34876</v>
      </c>
      <c r="F273" s="2">
        <v>34851</v>
      </c>
      <c r="G273" s="1">
        <v>3</v>
      </c>
      <c r="H273" s="1">
        <v>91.76</v>
      </c>
      <c r="I273" s="1" t="s">
        <v>419</v>
      </c>
      <c r="J273" s="1" t="s">
        <v>420</v>
      </c>
      <c r="K273" s="1" t="s">
        <v>421</v>
      </c>
      <c r="M273" s="3">
        <v>3012</v>
      </c>
      <c r="N273" s="1" t="s">
        <v>422</v>
      </c>
    </row>
    <row r="274" spans="1:14" ht="13">
      <c r="A274" s="1">
        <v>10520</v>
      </c>
      <c r="B274" s="1" t="s">
        <v>675</v>
      </c>
      <c r="C274" s="1">
        <v>7</v>
      </c>
      <c r="D274" s="2">
        <v>34849</v>
      </c>
      <c r="E274" s="2">
        <v>34877</v>
      </c>
      <c r="F274" s="2">
        <v>34851</v>
      </c>
      <c r="G274" s="1">
        <v>1</v>
      </c>
      <c r="H274" s="1">
        <v>13.37</v>
      </c>
      <c r="I274" s="1" t="s">
        <v>676</v>
      </c>
      <c r="J274" s="1" t="s">
        <v>677</v>
      </c>
      <c r="K274" s="1" t="s">
        <v>678</v>
      </c>
      <c r="M274" s="3">
        <v>4110</v>
      </c>
      <c r="N274" s="1" t="s">
        <v>121</v>
      </c>
    </row>
    <row r="275" spans="1:14" ht="13">
      <c r="A275" s="1">
        <v>10521</v>
      </c>
      <c r="B275" s="1" t="s">
        <v>732</v>
      </c>
      <c r="C275" s="1">
        <v>8</v>
      </c>
      <c r="D275" s="2">
        <v>34849</v>
      </c>
      <c r="E275" s="2">
        <v>34877</v>
      </c>
      <c r="F275" s="2">
        <v>34852</v>
      </c>
      <c r="G275" s="1">
        <v>2</v>
      </c>
      <c r="H275" s="1">
        <v>17.22</v>
      </c>
      <c r="I275" s="1" t="s">
        <v>733</v>
      </c>
      <c r="J275" s="1" t="s">
        <v>734</v>
      </c>
      <c r="K275" s="1" t="s">
        <v>697</v>
      </c>
      <c r="M275" s="3">
        <v>1010</v>
      </c>
      <c r="N275" s="1" t="s">
        <v>698</v>
      </c>
    </row>
    <row r="276" spans="1:14" ht="13">
      <c r="A276" s="1">
        <v>10522</v>
      </c>
      <c r="B276" s="1" t="s">
        <v>514</v>
      </c>
      <c r="C276" s="1">
        <v>4</v>
      </c>
      <c r="D276" s="2">
        <v>34850</v>
      </c>
      <c r="E276" s="2">
        <v>34878</v>
      </c>
      <c r="F276" s="2">
        <v>34856</v>
      </c>
      <c r="G276" s="1">
        <v>1</v>
      </c>
      <c r="H276" s="1">
        <v>45.33</v>
      </c>
      <c r="I276" s="1" t="s">
        <v>515</v>
      </c>
      <c r="J276" s="1" t="s">
        <v>516</v>
      </c>
      <c r="K276" s="1" t="s">
        <v>517</v>
      </c>
      <c r="M276" s="3">
        <v>60528</v>
      </c>
      <c r="N276" s="1" t="s">
        <v>93</v>
      </c>
    </row>
    <row r="277" spans="1:14" ht="13">
      <c r="A277" s="1">
        <v>10523</v>
      </c>
      <c r="B277" s="1" t="s">
        <v>638</v>
      </c>
      <c r="C277" s="1">
        <v>7</v>
      </c>
      <c r="D277" s="2">
        <v>34851</v>
      </c>
      <c r="E277" s="2">
        <v>34879</v>
      </c>
      <c r="F277" s="2">
        <v>34880</v>
      </c>
      <c r="G277" s="1">
        <v>2</v>
      </c>
      <c r="H277" s="1">
        <v>77.63</v>
      </c>
      <c r="I277" s="1" t="s">
        <v>639</v>
      </c>
      <c r="J277" s="1" t="s">
        <v>640</v>
      </c>
      <c r="K277" s="1" t="s">
        <v>16</v>
      </c>
      <c r="M277" s="3" t="s">
        <v>641</v>
      </c>
      <c r="N277" s="1" t="s">
        <v>18</v>
      </c>
    </row>
    <row r="278" spans="1:14" ht="13">
      <c r="A278" s="1">
        <v>10524</v>
      </c>
      <c r="B278" s="1" t="s">
        <v>509</v>
      </c>
      <c r="C278" s="1">
        <v>1</v>
      </c>
      <c r="D278" s="2">
        <v>34851</v>
      </c>
      <c r="E278" s="2">
        <v>34879</v>
      </c>
      <c r="F278" s="2">
        <v>34857</v>
      </c>
      <c r="G278" s="1">
        <v>2</v>
      </c>
      <c r="H278" s="1">
        <v>244.79</v>
      </c>
      <c r="I278" s="1" t="s">
        <v>510</v>
      </c>
      <c r="J278" s="1" t="s">
        <v>511</v>
      </c>
      <c r="K278" s="1" t="s">
        <v>512</v>
      </c>
      <c r="M278" s="3" t="s">
        <v>513</v>
      </c>
      <c r="N278" s="1" t="s">
        <v>79</v>
      </c>
    </row>
    <row r="279" spans="1:14" ht="13">
      <c r="A279" s="1">
        <v>10525</v>
      </c>
      <c r="B279" s="1" t="s">
        <v>606</v>
      </c>
      <c r="C279" s="1">
        <v>1</v>
      </c>
      <c r="D279" s="2">
        <v>34852</v>
      </c>
      <c r="E279" s="2">
        <v>34880</v>
      </c>
      <c r="F279" s="2">
        <v>34873</v>
      </c>
      <c r="G279" s="1">
        <v>2</v>
      </c>
      <c r="H279" s="1">
        <v>11.06</v>
      </c>
      <c r="I279" s="1" t="s">
        <v>607</v>
      </c>
      <c r="J279" s="1" t="s">
        <v>608</v>
      </c>
      <c r="K279" s="1" t="s">
        <v>609</v>
      </c>
      <c r="M279" s="3">
        <v>13008</v>
      </c>
      <c r="N279" s="1" t="s">
        <v>140</v>
      </c>
    </row>
    <row r="280" spans="1:14" ht="13">
      <c r="A280" s="1">
        <v>10526</v>
      </c>
      <c r="B280" s="1" t="s">
        <v>471</v>
      </c>
      <c r="C280" s="1">
        <v>4</v>
      </c>
      <c r="D280" s="2">
        <v>34855</v>
      </c>
      <c r="E280" s="2">
        <v>34883</v>
      </c>
      <c r="F280" s="2">
        <v>34865</v>
      </c>
      <c r="G280" s="1">
        <v>2</v>
      </c>
      <c r="H280" s="1">
        <v>58.59</v>
      </c>
      <c r="I280" s="1" t="s">
        <v>472</v>
      </c>
      <c r="J280" s="1" t="s">
        <v>473</v>
      </c>
      <c r="K280" s="1" t="s">
        <v>474</v>
      </c>
      <c r="M280" s="3">
        <v>90110</v>
      </c>
      <c r="N280" s="1" t="s">
        <v>176</v>
      </c>
    </row>
    <row r="281" spans="1:14" ht="13">
      <c r="A281" s="1">
        <v>10527</v>
      </c>
      <c r="B281" s="1" t="s">
        <v>494</v>
      </c>
      <c r="C281" s="1">
        <v>7</v>
      </c>
      <c r="D281" s="2">
        <v>34855</v>
      </c>
      <c r="E281" s="2">
        <v>34883</v>
      </c>
      <c r="F281" s="2">
        <v>34857</v>
      </c>
      <c r="G281" s="1">
        <v>1</v>
      </c>
      <c r="H281" s="1">
        <v>41.9</v>
      </c>
      <c r="I281" s="1" t="s">
        <v>495</v>
      </c>
      <c r="J281" s="1" t="s">
        <v>496</v>
      </c>
      <c r="K281" s="1" t="s">
        <v>497</v>
      </c>
      <c r="M281" s="3">
        <v>1307</v>
      </c>
      <c r="N281" s="1" t="s">
        <v>93</v>
      </c>
    </row>
    <row r="282" spans="1:14" ht="13">
      <c r="A282" s="1">
        <v>10528</v>
      </c>
      <c r="B282" s="1" t="s">
        <v>735</v>
      </c>
      <c r="C282" s="1">
        <v>6</v>
      </c>
      <c r="D282" s="2">
        <v>34856</v>
      </c>
      <c r="E282" s="2">
        <v>34870</v>
      </c>
      <c r="F282" s="2">
        <v>34859</v>
      </c>
      <c r="G282" s="1">
        <v>2</v>
      </c>
      <c r="H282" s="1">
        <v>3.35</v>
      </c>
      <c r="I282" s="1" t="s">
        <v>736</v>
      </c>
      <c r="J282" s="1" t="s">
        <v>737</v>
      </c>
      <c r="K282" s="1" t="s">
        <v>738</v>
      </c>
      <c r="L282" s="1" t="s">
        <v>128</v>
      </c>
      <c r="M282" s="3">
        <v>97403</v>
      </c>
      <c r="N282" s="1" t="s">
        <v>26</v>
      </c>
    </row>
    <row r="283" spans="1:14" ht="13">
      <c r="A283" s="1">
        <v>10529</v>
      </c>
      <c r="B283" s="1" t="s">
        <v>739</v>
      </c>
      <c r="C283" s="1">
        <v>5</v>
      </c>
      <c r="D283" s="2">
        <v>34857</v>
      </c>
      <c r="E283" s="2">
        <v>34885</v>
      </c>
      <c r="F283" s="2">
        <v>34859</v>
      </c>
      <c r="G283" s="1">
        <v>2</v>
      </c>
      <c r="H283" s="1">
        <v>66.69</v>
      </c>
      <c r="I283" s="1" t="s">
        <v>740</v>
      </c>
      <c r="J283" s="1" t="s">
        <v>741</v>
      </c>
      <c r="K283" s="1" t="s">
        <v>742</v>
      </c>
      <c r="M283" s="3" t="s">
        <v>743</v>
      </c>
      <c r="N283" s="1" t="s">
        <v>417</v>
      </c>
    </row>
    <row r="284" spans="1:14" ht="13">
      <c r="A284" s="1">
        <v>10530</v>
      </c>
      <c r="B284" s="1" t="s">
        <v>628</v>
      </c>
      <c r="C284" s="1">
        <v>3</v>
      </c>
      <c r="D284" s="2">
        <v>34858</v>
      </c>
      <c r="E284" s="2">
        <v>34886</v>
      </c>
      <c r="F284" s="2">
        <v>34862</v>
      </c>
      <c r="G284" s="1">
        <v>2</v>
      </c>
      <c r="H284" s="1">
        <v>339.22</v>
      </c>
      <c r="I284" s="1" t="s">
        <v>629</v>
      </c>
      <c r="J284" s="1" t="s">
        <v>630</v>
      </c>
      <c r="K284" s="1" t="s">
        <v>631</v>
      </c>
      <c r="M284" s="3">
        <v>5020</v>
      </c>
      <c r="N284" s="1" t="s">
        <v>443</v>
      </c>
    </row>
    <row r="285" spans="1:14" ht="13">
      <c r="A285" s="1">
        <v>10531</v>
      </c>
      <c r="B285" s="1" t="s">
        <v>694</v>
      </c>
      <c r="C285" s="1">
        <v>7</v>
      </c>
      <c r="D285" s="2">
        <v>34858</v>
      </c>
      <c r="E285" s="2">
        <v>34886</v>
      </c>
      <c r="F285" s="2">
        <v>34869</v>
      </c>
      <c r="G285" s="1">
        <v>1</v>
      </c>
      <c r="H285" s="1">
        <v>8.1199999999999992</v>
      </c>
      <c r="I285" s="1" t="s">
        <v>695</v>
      </c>
      <c r="J285" s="1" t="s">
        <v>696</v>
      </c>
      <c r="K285" s="1" t="s">
        <v>697</v>
      </c>
      <c r="M285" s="3">
        <v>1010</v>
      </c>
      <c r="N285" s="1" t="s">
        <v>698</v>
      </c>
    </row>
    <row r="286" spans="1:14" ht="13">
      <c r="A286" s="1">
        <v>10532</v>
      </c>
      <c r="B286" s="1" t="s">
        <v>646</v>
      </c>
      <c r="C286" s="1">
        <v>7</v>
      </c>
      <c r="D286" s="2">
        <v>34859</v>
      </c>
      <c r="E286" s="2">
        <v>34887</v>
      </c>
      <c r="F286" s="2">
        <v>34862</v>
      </c>
      <c r="G286" s="1">
        <v>3</v>
      </c>
      <c r="H286" s="1">
        <v>74.459999999999994</v>
      </c>
      <c r="I286" s="1" t="s">
        <v>647</v>
      </c>
      <c r="J286" s="1" t="s">
        <v>648</v>
      </c>
      <c r="K286" s="1" t="s">
        <v>16</v>
      </c>
      <c r="M286" s="3" t="s">
        <v>649</v>
      </c>
      <c r="N286" s="1" t="s">
        <v>18</v>
      </c>
    </row>
    <row r="287" spans="1:14" ht="13">
      <c r="A287" s="1">
        <v>10533</v>
      </c>
      <c r="B287" s="1" t="s">
        <v>462</v>
      </c>
      <c r="C287" s="1">
        <v>8</v>
      </c>
      <c r="D287" s="2">
        <v>34862</v>
      </c>
      <c r="E287" s="2">
        <v>34890</v>
      </c>
      <c r="F287" s="2">
        <v>34872</v>
      </c>
      <c r="G287" s="1">
        <v>1</v>
      </c>
      <c r="H287" s="1">
        <v>188.04</v>
      </c>
      <c r="I287" s="1" t="s">
        <v>463</v>
      </c>
      <c r="J287" s="1" t="s">
        <v>464</v>
      </c>
      <c r="K287" s="1" t="s">
        <v>465</v>
      </c>
      <c r="M287" s="3" t="s">
        <v>466</v>
      </c>
      <c r="N287" s="1" t="s">
        <v>79</v>
      </c>
    </row>
    <row r="288" spans="1:14" ht="13">
      <c r="A288" s="1">
        <v>10534</v>
      </c>
      <c r="B288" s="1" t="s">
        <v>514</v>
      </c>
      <c r="C288" s="1">
        <v>8</v>
      </c>
      <c r="D288" s="2">
        <v>34862</v>
      </c>
      <c r="E288" s="2">
        <v>34890</v>
      </c>
      <c r="F288" s="2">
        <v>34864</v>
      </c>
      <c r="G288" s="1">
        <v>2</v>
      </c>
      <c r="H288" s="1">
        <v>27.94</v>
      </c>
      <c r="I288" s="1" t="s">
        <v>515</v>
      </c>
      <c r="J288" s="1" t="s">
        <v>516</v>
      </c>
      <c r="K288" s="1" t="s">
        <v>517</v>
      </c>
      <c r="M288" s="3">
        <v>60528</v>
      </c>
      <c r="N288" s="1" t="s">
        <v>93</v>
      </c>
    </row>
    <row r="289" spans="1:14" ht="13">
      <c r="A289" s="1">
        <v>10535</v>
      </c>
      <c r="B289" s="1" t="s">
        <v>650</v>
      </c>
      <c r="C289" s="1">
        <v>4</v>
      </c>
      <c r="D289" s="2">
        <v>34863</v>
      </c>
      <c r="E289" s="2">
        <v>34891</v>
      </c>
      <c r="F289" s="2">
        <v>34871</v>
      </c>
      <c r="G289" s="1">
        <v>1</v>
      </c>
      <c r="H289" s="1">
        <v>15.64</v>
      </c>
      <c r="I289" s="1" t="s">
        <v>651</v>
      </c>
      <c r="J289" s="1" t="s">
        <v>652</v>
      </c>
      <c r="K289" s="1" t="s">
        <v>447</v>
      </c>
      <c r="M289" s="3">
        <v>5023</v>
      </c>
      <c r="N289" s="1" t="s">
        <v>448</v>
      </c>
    </row>
    <row r="290" spans="1:14" ht="13">
      <c r="A290" s="1">
        <v>10536</v>
      </c>
      <c r="B290" s="1" t="s">
        <v>514</v>
      </c>
      <c r="C290" s="1">
        <v>3</v>
      </c>
      <c r="D290" s="2">
        <v>34864</v>
      </c>
      <c r="E290" s="2">
        <v>34892</v>
      </c>
      <c r="F290" s="2">
        <v>34887</v>
      </c>
      <c r="G290" s="1">
        <v>2</v>
      </c>
      <c r="H290" s="1">
        <v>58.88</v>
      </c>
      <c r="I290" s="1" t="s">
        <v>515</v>
      </c>
      <c r="J290" s="1" t="s">
        <v>516</v>
      </c>
      <c r="K290" s="1" t="s">
        <v>517</v>
      </c>
      <c r="M290" s="3">
        <v>60528</v>
      </c>
      <c r="N290" s="1" t="s">
        <v>93</v>
      </c>
    </row>
    <row r="291" spans="1:14" ht="13">
      <c r="A291" s="1">
        <v>10537</v>
      </c>
      <c r="B291" s="1" t="s">
        <v>423</v>
      </c>
      <c r="C291" s="1">
        <v>1</v>
      </c>
      <c r="D291" s="2">
        <v>34864</v>
      </c>
      <c r="E291" s="2">
        <v>34878</v>
      </c>
      <c r="F291" s="2">
        <v>34869</v>
      </c>
      <c r="G291" s="1">
        <v>1</v>
      </c>
      <c r="H291" s="1">
        <v>78.849999999999994</v>
      </c>
      <c r="I291" s="1" t="s">
        <v>424</v>
      </c>
      <c r="J291" s="1" t="s">
        <v>425</v>
      </c>
      <c r="K291" s="1" t="s">
        <v>426</v>
      </c>
      <c r="M291" s="3">
        <v>1204</v>
      </c>
      <c r="N291" s="1" t="s">
        <v>422</v>
      </c>
    </row>
    <row r="292" spans="1:14" ht="13">
      <c r="A292" s="1">
        <v>10538</v>
      </c>
      <c r="B292" s="1" t="s">
        <v>535</v>
      </c>
      <c r="C292" s="1">
        <v>9</v>
      </c>
      <c r="D292" s="2">
        <v>34865</v>
      </c>
      <c r="E292" s="2">
        <v>34893</v>
      </c>
      <c r="F292" s="2">
        <v>34866</v>
      </c>
      <c r="G292" s="1">
        <v>3</v>
      </c>
      <c r="H292" s="1">
        <v>4.87</v>
      </c>
      <c r="I292" s="1" t="s">
        <v>536</v>
      </c>
      <c r="J292" s="1" t="s">
        <v>537</v>
      </c>
      <c r="K292" s="1" t="s">
        <v>16</v>
      </c>
      <c r="M292" s="3" t="s">
        <v>538</v>
      </c>
      <c r="N292" s="1" t="s">
        <v>18</v>
      </c>
    </row>
    <row r="293" spans="1:14" ht="13">
      <c r="A293" s="1">
        <v>10539</v>
      </c>
      <c r="B293" s="1" t="s">
        <v>535</v>
      </c>
      <c r="C293" s="1">
        <v>6</v>
      </c>
      <c r="D293" s="2">
        <v>34866</v>
      </c>
      <c r="E293" s="2">
        <v>34894</v>
      </c>
      <c r="F293" s="2">
        <v>34873</v>
      </c>
      <c r="G293" s="1">
        <v>3</v>
      </c>
      <c r="H293" s="1">
        <v>12.36</v>
      </c>
      <c r="I293" s="1" t="s">
        <v>536</v>
      </c>
      <c r="J293" s="1" t="s">
        <v>537</v>
      </c>
      <c r="K293" s="1" t="s">
        <v>16</v>
      </c>
      <c r="M293" s="3" t="s">
        <v>538</v>
      </c>
      <c r="N293" s="1" t="s">
        <v>18</v>
      </c>
    </row>
    <row r="294" spans="1:14" ht="13">
      <c r="A294" s="1">
        <v>10540</v>
      </c>
      <c r="B294" s="1" t="s">
        <v>494</v>
      </c>
      <c r="C294" s="1">
        <v>3</v>
      </c>
      <c r="D294" s="2">
        <v>34869</v>
      </c>
      <c r="E294" s="2">
        <v>34897</v>
      </c>
      <c r="F294" s="2">
        <v>34894</v>
      </c>
      <c r="G294" s="1">
        <v>3</v>
      </c>
      <c r="H294" s="1">
        <v>1007.64</v>
      </c>
      <c r="I294" s="1" t="s">
        <v>495</v>
      </c>
      <c r="J294" s="1" t="s">
        <v>496</v>
      </c>
      <c r="K294" s="1" t="s">
        <v>497</v>
      </c>
      <c r="M294" s="3">
        <v>1307</v>
      </c>
      <c r="N294" s="1" t="s">
        <v>93</v>
      </c>
    </row>
    <row r="295" spans="1:14" ht="13">
      <c r="A295" s="1">
        <v>10541</v>
      </c>
      <c r="B295" s="1" t="s">
        <v>402</v>
      </c>
      <c r="C295" s="1">
        <v>2</v>
      </c>
      <c r="D295" s="2">
        <v>34869</v>
      </c>
      <c r="E295" s="2">
        <v>34897</v>
      </c>
      <c r="F295" s="2">
        <v>34879</v>
      </c>
      <c r="G295" s="1">
        <v>1</v>
      </c>
      <c r="H295" s="1">
        <v>68.650000000000006</v>
      </c>
      <c r="I295" s="1" t="s">
        <v>403</v>
      </c>
      <c r="J295" s="1" t="s">
        <v>404</v>
      </c>
      <c r="K295" s="1" t="s">
        <v>405</v>
      </c>
      <c r="L295" s="1" t="s">
        <v>406</v>
      </c>
      <c r="M295" s="3" t="s">
        <v>407</v>
      </c>
      <c r="N295" s="1" t="s">
        <v>86</v>
      </c>
    </row>
    <row r="296" spans="1:14" ht="13">
      <c r="A296" s="1">
        <v>10542</v>
      </c>
      <c r="B296" s="1" t="s">
        <v>589</v>
      </c>
      <c r="C296" s="1">
        <v>1</v>
      </c>
      <c r="D296" s="2">
        <v>34870</v>
      </c>
      <c r="E296" s="2">
        <v>34898</v>
      </c>
      <c r="F296" s="2">
        <v>34876</v>
      </c>
      <c r="G296" s="1">
        <v>3</v>
      </c>
      <c r="H296" s="1">
        <v>10.95</v>
      </c>
      <c r="I296" s="1" t="s">
        <v>590</v>
      </c>
      <c r="J296" s="1" t="s">
        <v>591</v>
      </c>
      <c r="K296" s="1" t="s">
        <v>592</v>
      </c>
      <c r="M296" s="3">
        <v>14776</v>
      </c>
      <c r="N296" s="1" t="s">
        <v>93</v>
      </c>
    </row>
    <row r="297" spans="1:14" ht="13">
      <c r="A297" s="1">
        <v>10543</v>
      </c>
      <c r="B297" s="1" t="s">
        <v>522</v>
      </c>
      <c r="C297" s="1">
        <v>8</v>
      </c>
      <c r="D297" s="2">
        <v>34871</v>
      </c>
      <c r="E297" s="2">
        <v>34899</v>
      </c>
      <c r="F297" s="2">
        <v>34873</v>
      </c>
      <c r="G297" s="1">
        <v>2</v>
      </c>
      <c r="H297" s="1">
        <v>48.17</v>
      </c>
      <c r="I297" s="1" t="s">
        <v>523</v>
      </c>
      <c r="J297" s="1" t="s">
        <v>524</v>
      </c>
      <c r="K297" s="1" t="s">
        <v>525</v>
      </c>
      <c r="L297" s="1" t="s">
        <v>526</v>
      </c>
      <c r="M297" s="3">
        <v>3508</v>
      </c>
      <c r="N297" s="1" t="s">
        <v>438</v>
      </c>
    </row>
    <row r="298" spans="1:14" ht="13">
      <c r="A298" s="1">
        <v>10544</v>
      </c>
      <c r="B298" s="1" t="s">
        <v>566</v>
      </c>
      <c r="C298" s="1">
        <v>4</v>
      </c>
      <c r="D298" s="2">
        <v>34871</v>
      </c>
      <c r="E298" s="2">
        <v>34899</v>
      </c>
      <c r="F298" s="2">
        <v>34880</v>
      </c>
      <c r="G298" s="1">
        <v>1</v>
      </c>
      <c r="H298" s="1">
        <v>24.91</v>
      </c>
      <c r="I298" s="1" t="s">
        <v>567</v>
      </c>
      <c r="J298" s="1" t="s">
        <v>568</v>
      </c>
      <c r="K298" s="1" t="s">
        <v>569</v>
      </c>
      <c r="L298" s="1" t="s">
        <v>128</v>
      </c>
      <c r="M298" s="3">
        <v>97219</v>
      </c>
      <c r="N298" s="1" t="s">
        <v>26</v>
      </c>
    </row>
    <row r="299" spans="1:14" ht="13">
      <c r="A299" s="1">
        <v>10545</v>
      </c>
      <c r="B299" s="1" t="s">
        <v>715</v>
      </c>
      <c r="C299" s="1">
        <v>8</v>
      </c>
      <c r="D299" s="2">
        <v>34872</v>
      </c>
      <c r="E299" s="2">
        <v>34900</v>
      </c>
      <c r="F299" s="2">
        <v>34907</v>
      </c>
      <c r="G299" s="1">
        <v>2</v>
      </c>
      <c r="H299" s="1">
        <v>11.92</v>
      </c>
      <c r="I299" s="1" t="s">
        <v>716</v>
      </c>
      <c r="J299" s="1" t="s">
        <v>717</v>
      </c>
      <c r="K299" s="1" t="s">
        <v>718</v>
      </c>
      <c r="L299" s="1" t="s">
        <v>488</v>
      </c>
      <c r="M299" s="3">
        <v>99362</v>
      </c>
      <c r="N299" s="1" t="s">
        <v>26</v>
      </c>
    </row>
    <row r="300" spans="1:14" ht="13">
      <c r="A300" s="1">
        <v>10546</v>
      </c>
      <c r="B300" s="1" t="s">
        <v>408</v>
      </c>
      <c r="C300" s="1">
        <v>1</v>
      </c>
      <c r="D300" s="2">
        <v>34873</v>
      </c>
      <c r="E300" s="2">
        <v>34901</v>
      </c>
      <c r="F300" s="2">
        <v>34877</v>
      </c>
      <c r="G300" s="1">
        <v>3</v>
      </c>
      <c r="H300" s="1">
        <v>194.72</v>
      </c>
      <c r="I300" s="1" t="s">
        <v>409</v>
      </c>
      <c r="J300" s="1" t="s">
        <v>410</v>
      </c>
      <c r="K300" s="1" t="s">
        <v>411</v>
      </c>
      <c r="M300" s="3">
        <v>69004</v>
      </c>
      <c r="N300" s="1" t="s">
        <v>140</v>
      </c>
    </row>
    <row r="301" spans="1:14" ht="13">
      <c r="A301" s="1">
        <v>10547</v>
      </c>
      <c r="B301" s="1" t="s">
        <v>638</v>
      </c>
      <c r="C301" s="1">
        <v>3</v>
      </c>
      <c r="D301" s="2">
        <v>34873</v>
      </c>
      <c r="E301" s="2">
        <v>34901</v>
      </c>
      <c r="F301" s="2">
        <v>34883</v>
      </c>
      <c r="G301" s="1">
        <v>2</v>
      </c>
      <c r="H301" s="1">
        <v>178.43</v>
      </c>
      <c r="I301" s="1" t="s">
        <v>639</v>
      </c>
      <c r="J301" s="1" t="s">
        <v>640</v>
      </c>
      <c r="K301" s="1" t="s">
        <v>16</v>
      </c>
      <c r="M301" s="3" t="s">
        <v>641</v>
      </c>
      <c r="N301" s="1" t="s">
        <v>18</v>
      </c>
    </row>
    <row r="302" spans="1:14" ht="13">
      <c r="A302" s="1">
        <v>10548</v>
      </c>
      <c r="B302" s="1" t="s">
        <v>398</v>
      </c>
      <c r="C302" s="1">
        <v>3</v>
      </c>
      <c r="D302" s="2">
        <v>34876</v>
      </c>
      <c r="E302" s="2">
        <v>34904</v>
      </c>
      <c r="F302" s="2">
        <v>34883</v>
      </c>
      <c r="G302" s="1">
        <v>2</v>
      </c>
      <c r="H302" s="1">
        <v>1.43</v>
      </c>
      <c r="I302" s="1" t="s">
        <v>399</v>
      </c>
      <c r="J302" s="1" t="s">
        <v>400</v>
      </c>
      <c r="K302" s="1" t="s">
        <v>401</v>
      </c>
      <c r="M302" s="3">
        <v>44087</v>
      </c>
      <c r="N302" s="1" t="s">
        <v>93</v>
      </c>
    </row>
    <row r="303" spans="1:14" ht="13">
      <c r="A303" s="1">
        <v>10549</v>
      </c>
      <c r="B303" s="1" t="s">
        <v>494</v>
      </c>
      <c r="C303" s="1">
        <v>5</v>
      </c>
      <c r="D303" s="2">
        <v>34877</v>
      </c>
      <c r="E303" s="2">
        <v>34891</v>
      </c>
      <c r="F303" s="2">
        <v>34880</v>
      </c>
      <c r="G303" s="1">
        <v>1</v>
      </c>
      <c r="H303" s="1">
        <v>171.24</v>
      </c>
      <c r="I303" s="1" t="s">
        <v>495</v>
      </c>
      <c r="J303" s="1" t="s">
        <v>496</v>
      </c>
      <c r="K303" s="1" t="s">
        <v>497</v>
      </c>
      <c r="M303" s="3">
        <v>1307</v>
      </c>
      <c r="N303" s="1" t="s">
        <v>93</v>
      </c>
    </row>
    <row r="304" spans="1:14" ht="13">
      <c r="A304" s="1">
        <v>10550</v>
      </c>
      <c r="B304" s="1" t="s">
        <v>557</v>
      </c>
      <c r="C304" s="1">
        <v>7</v>
      </c>
      <c r="D304" s="2">
        <v>34878</v>
      </c>
      <c r="E304" s="2">
        <v>34906</v>
      </c>
      <c r="F304" s="2">
        <v>34887</v>
      </c>
      <c r="G304" s="1">
        <v>3</v>
      </c>
      <c r="H304" s="1">
        <v>4.32</v>
      </c>
      <c r="I304" s="1" t="s">
        <v>558</v>
      </c>
      <c r="J304" s="1" t="s">
        <v>559</v>
      </c>
      <c r="K304" s="1" t="s">
        <v>560</v>
      </c>
      <c r="M304" s="3">
        <v>41101</v>
      </c>
      <c r="N304" s="1" t="s">
        <v>50</v>
      </c>
    </row>
    <row r="305" spans="1:14" ht="13">
      <c r="A305" s="1">
        <v>10551</v>
      </c>
      <c r="B305" s="1" t="s">
        <v>601</v>
      </c>
      <c r="C305" s="1">
        <v>4</v>
      </c>
      <c r="D305" s="2">
        <v>34878</v>
      </c>
      <c r="E305" s="2">
        <v>34920</v>
      </c>
      <c r="F305" s="2">
        <v>34887</v>
      </c>
      <c r="G305" s="1">
        <v>3</v>
      </c>
      <c r="H305" s="1">
        <v>72.95</v>
      </c>
      <c r="I305" s="1" t="s">
        <v>602</v>
      </c>
      <c r="J305" s="1" t="s">
        <v>603</v>
      </c>
      <c r="K305" s="1" t="s">
        <v>604</v>
      </c>
      <c r="M305" s="3">
        <v>1675</v>
      </c>
      <c r="N305" s="1" t="s">
        <v>605</v>
      </c>
    </row>
    <row r="306" spans="1:14" ht="13">
      <c r="A306" s="1">
        <v>10552</v>
      </c>
      <c r="B306" s="1" t="s">
        <v>433</v>
      </c>
      <c r="C306" s="1">
        <v>2</v>
      </c>
      <c r="D306" s="2">
        <v>34879</v>
      </c>
      <c r="E306" s="2">
        <v>34907</v>
      </c>
      <c r="F306" s="2">
        <v>34886</v>
      </c>
      <c r="G306" s="1">
        <v>1</v>
      </c>
      <c r="H306" s="1">
        <v>83.22</v>
      </c>
      <c r="I306" s="1" t="s">
        <v>434</v>
      </c>
      <c r="J306" s="1" t="s">
        <v>435</v>
      </c>
      <c r="K306" s="1" t="s">
        <v>436</v>
      </c>
      <c r="L306" s="1" t="s">
        <v>437</v>
      </c>
      <c r="M306" s="3">
        <v>5022</v>
      </c>
      <c r="N306" s="1" t="s">
        <v>438</v>
      </c>
    </row>
    <row r="307" spans="1:14" ht="13">
      <c r="A307" s="1">
        <v>10553</v>
      </c>
      <c r="B307" s="1" t="s">
        <v>471</v>
      </c>
      <c r="C307" s="1">
        <v>2</v>
      </c>
      <c r="D307" s="2">
        <v>34880</v>
      </c>
      <c r="E307" s="2">
        <v>34908</v>
      </c>
      <c r="F307" s="2">
        <v>34884</v>
      </c>
      <c r="G307" s="1">
        <v>2</v>
      </c>
      <c r="H307" s="1">
        <v>149.49</v>
      </c>
      <c r="I307" s="1" t="s">
        <v>472</v>
      </c>
      <c r="J307" s="1" t="s">
        <v>473</v>
      </c>
      <c r="K307" s="1" t="s">
        <v>474</v>
      </c>
      <c r="M307" s="3">
        <v>90110</v>
      </c>
      <c r="N307" s="1" t="s">
        <v>176</v>
      </c>
    </row>
    <row r="308" spans="1:14" ht="13">
      <c r="A308" s="1">
        <v>10554</v>
      </c>
      <c r="B308" s="1" t="s">
        <v>449</v>
      </c>
      <c r="C308" s="1">
        <v>4</v>
      </c>
      <c r="D308" s="2">
        <v>34880</v>
      </c>
      <c r="E308" s="2">
        <v>34908</v>
      </c>
      <c r="F308" s="2">
        <v>34886</v>
      </c>
      <c r="G308" s="1">
        <v>3</v>
      </c>
      <c r="H308" s="1">
        <v>120.97</v>
      </c>
      <c r="I308" s="1" t="s">
        <v>450</v>
      </c>
      <c r="J308" s="1" t="s">
        <v>451</v>
      </c>
      <c r="K308" s="1" t="s">
        <v>452</v>
      </c>
      <c r="M308" s="3">
        <v>50739</v>
      </c>
      <c r="N308" s="1" t="s">
        <v>93</v>
      </c>
    </row>
    <row r="309" spans="1:14" ht="13">
      <c r="A309" s="1">
        <v>10555</v>
      </c>
      <c r="B309" s="1" t="s">
        <v>593</v>
      </c>
      <c r="C309" s="1">
        <v>6</v>
      </c>
      <c r="D309" s="2">
        <v>34883</v>
      </c>
      <c r="E309" s="2">
        <v>34911</v>
      </c>
      <c r="F309" s="2">
        <v>34885</v>
      </c>
      <c r="G309" s="1">
        <v>3</v>
      </c>
      <c r="H309" s="1">
        <v>252.49</v>
      </c>
      <c r="I309" s="1" t="s">
        <v>594</v>
      </c>
      <c r="J309" s="1" t="s">
        <v>595</v>
      </c>
      <c r="K309" s="1" t="s">
        <v>596</v>
      </c>
      <c r="L309" s="1" t="s">
        <v>597</v>
      </c>
      <c r="M309" s="3">
        <v>83720</v>
      </c>
      <c r="N309" s="1" t="s">
        <v>26</v>
      </c>
    </row>
    <row r="310" spans="1:14" ht="13">
      <c r="A310" s="1">
        <v>10556</v>
      </c>
      <c r="B310" s="1" t="s">
        <v>616</v>
      </c>
      <c r="C310" s="1">
        <v>2</v>
      </c>
      <c r="D310" s="2">
        <v>34884</v>
      </c>
      <c r="E310" s="2">
        <v>34926</v>
      </c>
      <c r="F310" s="2">
        <v>34894</v>
      </c>
      <c r="G310" s="1">
        <v>1</v>
      </c>
      <c r="H310" s="1">
        <v>9.8000000000000007</v>
      </c>
      <c r="I310" s="1" t="s">
        <v>617</v>
      </c>
      <c r="J310" s="1" t="s">
        <v>618</v>
      </c>
      <c r="K310" s="1" t="s">
        <v>619</v>
      </c>
      <c r="M310" s="3">
        <v>1734</v>
      </c>
      <c r="N310" s="1" t="s">
        <v>161</v>
      </c>
    </row>
    <row r="311" spans="1:14" ht="13">
      <c r="A311" s="1">
        <v>10557</v>
      </c>
      <c r="B311" s="1" t="s">
        <v>514</v>
      </c>
      <c r="C311" s="1">
        <v>9</v>
      </c>
      <c r="D311" s="2">
        <v>34884</v>
      </c>
      <c r="E311" s="2">
        <v>34898</v>
      </c>
      <c r="F311" s="2">
        <v>34887</v>
      </c>
      <c r="G311" s="1">
        <v>2</v>
      </c>
      <c r="H311" s="1">
        <v>96.72</v>
      </c>
      <c r="I311" s="1" t="s">
        <v>515</v>
      </c>
      <c r="J311" s="1" t="s">
        <v>516</v>
      </c>
      <c r="K311" s="1" t="s">
        <v>517</v>
      </c>
      <c r="M311" s="3">
        <v>60528</v>
      </c>
      <c r="N311" s="1" t="s">
        <v>93</v>
      </c>
    </row>
    <row r="312" spans="1:14" ht="13">
      <c r="A312" s="1">
        <v>10558</v>
      </c>
      <c r="B312" s="1" t="s">
        <v>632</v>
      </c>
      <c r="C312" s="1">
        <v>1</v>
      </c>
      <c r="D312" s="2">
        <v>34885</v>
      </c>
      <c r="E312" s="2">
        <v>34913</v>
      </c>
      <c r="F312" s="2">
        <v>34891</v>
      </c>
      <c r="G312" s="1">
        <v>2</v>
      </c>
      <c r="H312" s="1">
        <v>72.97</v>
      </c>
      <c r="I312" s="1" t="s">
        <v>633</v>
      </c>
      <c r="J312" s="1" t="s">
        <v>634</v>
      </c>
      <c r="K312" s="1" t="s">
        <v>635</v>
      </c>
      <c r="L312" s="1" t="s">
        <v>636</v>
      </c>
      <c r="M312" s="3" t="s">
        <v>637</v>
      </c>
      <c r="N312" s="1" t="s">
        <v>18</v>
      </c>
    </row>
    <row r="313" spans="1:14" ht="13">
      <c r="A313" s="1">
        <v>10559</v>
      </c>
      <c r="B313" s="1" t="s">
        <v>467</v>
      </c>
      <c r="C313" s="1">
        <v>6</v>
      </c>
      <c r="D313" s="2">
        <v>34886</v>
      </c>
      <c r="E313" s="2">
        <v>34914</v>
      </c>
      <c r="F313" s="2">
        <v>34894</v>
      </c>
      <c r="G313" s="1">
        <v>1</v>
      </c>
      <c r="H313" s="1">
        <v>8.0500000000000007</v>
      </c>
      <c r="I313" s="1" t="s">
        <v>468</v>
      </c>
      <c r="J313" s="1" t="s">
        <v>469</v>
      </c>
      <c r="K313" s="1" t="s">
        <v>470</v>
      </c>
      <c r="M313" s="3">
        <v>67000</v>
      </c>
      <c r="N313" s="1" t="s">
        <v>140</v>
      </c>
    </row>
    <row r="314" spans="1:14" ht="13">
      <c r="A314" s="1">
        <v>10560</v>
      </c>
      <c r="B314" s="1" t="s">
        <v>475</v>
      </c>
      <c r="C314" s="1">
        <v>8</v>
      </c>
      <c r="D314" s="2">
        <v>34887</v>
      </c>
      <c r="E314" s="2">
        <v>34915</v>
      </c>
      <c r="F314" s="2">
        <v>34890</v>
      </c>
      <c r="G314" s="1">
        <v>1</v>
      </c>
      <c r="H314" s="1">
        <v>36.65</v>
      </c>
      <c r="I314" s="1" t="s">
        <v>476</v>
      </c>
      <c r="J314" s="1" t="s">
        <v>477</v>
      </c>
      <c r="K314" s="1" t="s">
        <v>478</v>
      </c>
      <c r="M314" s="3">
        <v>80805</v>
      </c>
      <c r="N314" s="1" t="s">
        <v>93</v>
      </c>
    </row>
    <row r="315" spans="1:14" ht="13">
      <c r="A315" s="1">
        <v>10561</v>
      </c>
      <c r="B315" s="1" t="s">
        <v>462</v>
      </c>
      <c r="C315" s="1">
        <v>2</v>
      </c>
      <c r="D315" s="2">
        <v>34887</v>
      </c>
      <c r="E315" s="2">
        <v>34915</v>
      </c>
      <c r="F315" s="2">
        <v>34890</v>
      </c>
      <c r="G315" s="1">
        <v>2</v>
      </c>
      <c r="H315" s="1">
        <v>242.21</v>
      </c>
      <c r="I315" s="1" t="s">
        <v>463</v>
      </c>
      <c r="J315" s="1" t="s">
        <v>464</v>
      </c>
      <c r="K315" s="1" t="s">
        <v>465</v>
      </c>
      <c r="M315" s="3" t="s">
        <v>466</v>
      </c>
      <c r="N315" s="1" t="s">
        <v>79</v>
      </c>
    </row>
    <row r="316" spans="1:14" ht="13">
      <c r="A316" s="1">
        <v>10562</v>
      </c>
      <c r="B316" s="1" t="s">
        <v>531</v>
      </c>
      <c r="C316" s="1">
        <v>1</v>
      </c>
      <c r="D316" s="2">
        <v>34890</v>
      </c>
      <c r="E316" s="2">
        <v>34918</v>
      </c>
      <c r="F316" s="2">
        <v>34893</v>
      </c>
      <c r="G316" s="1">
        <v>1</v>
      </c>
      <c r="H316" s="1">
        <v>22.95</v>
      </c>
      <c r="I316" s="1" t="s">
        <v>532</v>
      </c>
      <c r="J316" s="1" t="s">
        <v>533</v>
      </c>
      <c r="K316" s="1" t="s">
        <v>534</v>
      </c>
      <c r="M316" s="3">
        <v>42100</v>
      </c>
      <c r="N316" s="1" t="s">
        <v>113</v>
      </c>
    </row>
    <row r="317" spans="1:14" ht="13">
      <c r="A317" s="1">
        <v>10563</v>
      </c>
      <c r="B317" s="1" t="s">
        <v>527</v>
      </c>
      <c r="C317" s="1">
        <v>2</v>
      </c>
      <c r="D317" s="2">
        <v>34891</v>
      </c>
      <c r="E317" s="2">
        <v>34933</v>
      </c>
      <c r="F317" s="2">
        <v>34905</v>
      </c>
      <c r="G317" s="1">
        <v>2</v>
      </c>
      <c r="H317" s="1">
        <v>60.43</v>
      </c>
      <c r="I317" s="1" t="s">
        <v>528</v>
      </c>
      <c r="J317" s="1" t="s">
        <v>529</v>
      </c>
      <c r="K317" s="1" t="s">
        <v>405</v>
      </c>
      <c r="L317" s="1" t="s">
        <v>406</v>
      </c>
      <c r="M317" s="3" t="s">
        <v>530</v>
      </c>
      <c r="N317" s="1" t="s">
        <v>86</v>
      </c>
    </row>
    <row r="318" spans="1:14" ht="13">
      <c r="A318" s="1">
        <v>10564</v>
      </c>
      <c r="B318" s="1" t="s">
        <v>457</v>
      </c>
      <c r="C318" s="1">
        <v>4</v>
      </c>
      <c r="D318" s="2">
        <v>34891</v>
      </c>
      <c r="E318" s="2">
        <v>34919</v>
      </c>
      <c r="F318" s="2">
        <v>34897</v>
      </c>
      <c r="G318" s="1">
        <v>3</v>
      </c>
      <c r="H318" s="1">
        <v>13.75</v>
      </c>
      <c r="I318" s="1" t="s">
        <v>458</v>
      </c>
      <c r="J318" s="1" t="s">
        <v>459</v>
      </c>
      <c r="K318" s="1" t="s">
        <v>460</v>
      </c>
      <c r="L318" s="1" t="s">
        <v>461</v>
      </c>
      <c r="M318" s="3">
        <v>87110</v>
      </c>
      <c r="N318" s="1" t="s">
        <v>26</v>
      </c>
    </row>
    <row r="319" spans="1:14" ht="13">
      <c r="A319" s="1">
        <v>10565</v>
      </c>
      <c r="B319" s="1" t="s">
        <v>610</v>
      </c>
      <c r="C319" s="1">
        <v>8</v>
      </c>
      <c r="D319" s="2">
        <v>34892</v>
      </c>
      <c r="E319" s="2">
        <v>34920</v>
      </c>
      <c r="F319" s="2">
        <v>34899</v>
      </c>
      <c r="G319" s="1">
        <v>2</v>
      </c>
      <c r="H319" s="1">
        <v>7.15</v>
      </c>
      <c r="I319" s="1" t="s">
        <v>611</v>
      </c>
      <c r="J319" s="1" t="s">
        <v>612</v>
      </c>
      <c r="K319" s="1" t="s">
        <v>189</v>
      </c>
      <c r="L319" s="1" t="s">
        <v>190</v>
      </c>
      <c r="M319" s="3" t="s">
        <v>191</v>
      </c>
      <c r="N319" s="1" t="s">
        <v>192</v>
      </c>
    </row>
    <row r="320" spans="1:14" ht="13">
      <c r="A320" s="1">
        <v>10566</v>
      </c>
      <c r="B320" s="1" t="s">
        <v>467</v>
      </c>
      <c r="C320" s="1">
        <v>9</v>
      </c>
      <c r="D320" s="2">
        <v>34893</v>
      </c>
      <c r="E320" s="2">
        <v>34921</v>
      </c>
      <c r="F320" s="2">
        <v>34899</v>
      </c>
      <c r="G320" s="1">
        <v>1</v>
      </c>
      <c r="H320" s="1">
        <v>88.4</v>
      </c>
      <c r="I320" s="1" t="s">
        <v>468</v>
      </c>
      <c r="J320" s="1" t="s">
        <v>469</v>
      </c>
      <c r="K320" s="1" t="s">
        <v>470</v>
      </c>
      <c r="M320" s="3">
        <v>67000</v>
      </c>
      <c r="N320" s="1" t="s">
        <v>140</v>
      </c>
    </row>
    <row r="321" spans="1:14" ht="13">
      <c r="A321" s="1">
        <v>10567</v>
      </c>
      <c r="B321" s="1" t="s">
        <v>547</v>
      </c>
      <c r="C321" s="1">
        <v>1</v>
      </c>
      <c r="D321" s="2">
        <v>34893</v>
      </c>
      <c r="E321" s="2">
        <v>34921</v>
      </c>
      <c r="F321" s="2">
        <v>34898</v>
      </c>
      <c r="G321" s="1">
        <v>1</v>
      </c>
      <c r="H321" s="1">
        <v>33.97</v>
      </c>
      <c r="I321" s="1" t="s">
        <v>548</v>
      </c>
      <c r="J321" s="1" t="s">
        <v>549</v>
      </c>
      <c r="K321" s="1" t="s">
        <v>550</v>
      </c>
      <c r="L321" s="1" t="s">
        <v>551</v>
      </c>
      <c r="N321" s="1" t="s">
        <v>552</v>
      </c>
    </row>
    <row r="322" spans="1:14" ht="13">
      <c r="A322" s="1">
        <v>10568</v>
      </c>
      <c r="B322" s="1" t="s">
        <v>653</v>
      </c>
      <c r="C322" s="1">
        <v>3</v>
      </c>
      <c r="D322" s="2">
        <v>34894</v>
      </c>
      <c r="E322" s="2">
        <v>34922</v>
      </c>
      <c r="F322" s="2">
        <v>34920</v>
      </c>
      <c r="G322" s="1">
        <v>3</v>
      </c>
      <c r="H322" s="1">
        <v>6.54</v>
      </c>
      <c r="I322" s="1" t="s">
        <v>654</v>
      </c>
      <c r="J322" s="1" t="s">
        <v>655</v>
      </c>
      <c r="K322" s="1" t="s">
        <v>656</v>
      </c>
      <c r="M322" s="3">
        <v>8022</v>
      </c>
      <c r="N322" s="1" t="s">
        <v>50</v>
      </c>
    </row>
    <row r="323" spans="1:14" ht="13">
      <c r="A323" s="1">
        <v>10569</v>
      </c>
      <c r="B323" s="1" t="s">
        <v>457</v>
      </c>
      <c r="C323" s="1">
        <v>5</v>
      </c>
      <c r="D323" s="2">
        <v>34897</v>
      </c>
      <c r="E323" s="2">
        <v>34925</v>
      </c>
      <c r="F323" s="2">
        <v>34922</v>
      </c>
      <c r="G323" s="1">
        <v>1</v>
      </c>
      <c r="H323" s="1">
        <v>58.98</v>
      </c>
      <c r="I323" s="1" t="s">
        <v>458</v>
      </c>
      <c r="J323" s="1" t="s">
        <v>459</v>
      </c>
      <c r="K323" s="1" t="s">
        <v>460</v>
      </c>
      <c r="L323" s="1" t="s">
        <v>461</v>
      </c>
      <c r="M323" s="3">
        <v>87110</v>
      </c>
      <c r="N323" s="1" t="s">
        <v>26</v>
      </c>
    </row>
    <row r="324" spans="1:14" ht="13">
      <c r="A324" s="1">
        <v>10570</v>
      </c>
      <c r="B324" s="1" t="s">
        <v>610</v>
      </c>
      <c r="C324" s="1">
        <v>3</v>
      </c>
      <c r="D324" s="2">
        <v>34898</v>
      </c>
      <c r="E324" s="2">
        <v>34926</v>
      </c>
      <c r="F324" s="2">
        <v>34900</v>
      </c>
      <c r="G324" s="1">
        <v>3</v>
      </c>
      <c r="H324" s="1">
        <v>188.99</v>
      </c>
      <c r="I324" s="1" t="s">
        <v>611</v>
      </c>
      <c r="J324" s="1" t="s">
        <v>612</v>
      </c>
      <c r="K324" s="1" t="s">
        <v>189</v>
      </c>
      <c r="L324" s="1" t="s">
        <v>190</v>
      </c>
      <c r="M324" s="3" t="s">
        <v>191</v>
      </c>
      <c r="N324" s="1" t="s">
        <v>192</v>
      </c>
    </row>
    <row r="325" spans="1:14" ht="13">
      <c r="A325" s="1">
        <v>10571</v>
      </c>
      <c r="B325" s="1" t="s">
        <v>439</v>
      </c>
      <c r="C325" s="1">
        <v>8</v>
      </c>
      <c r="D325" s="2">
        <v>34898</v>
      </c>
      <c r="E325" s="2">
        <v>34940</v>
      </c>
      <c r="F325" s="2">
        <v>34915</v>
      </c>
      <c r="G325" s="1">
        <v>3</v>
      </c>
      <c r="H325" s="1">
        <v>26.06</v>
      </c>
      <c r="I325" s="1" t="s">
        <v>440</v>
      </c>
      <c r="J325" s="1" t="s">
        <v>441</v>
      </c>
      <c r="K325" s="1" t="s">
        <v>442</v>
      </c>
      <c r="M325" s="3">
        <v>8010</v>
      </c>
      <c r="N325" s="1" t="s">
        <v>443</v>
      </c>
    </row>
    <row r="326" spans="1:14" ht="13">
      <c r="A326" s="1">
        <v>10572</v>
      </c>
      <c r="B326" s="1" t="s">
        <v>509</v>
      </c>
      <c r="C326" s="1">
        <v>3</v>
      </c>
      <c r="D326" s="2">
        <v>34899</v>
      </c>
      <c r="E326" s="2">
        <v>34927</v>
      </c>
      <c r="F326" s="2">
        <v>34906</v>
      </c>
      <c r="G326" s="1">
        <v>2</v>
      </c>
      <c r="H326" s="1">
        <v>116.43</v>
      </c>
      <c r="I326" s="1" t="s">
        <v>510</v>
      </c>
      <c r="J326" s="1" t="s">
        <v>511</v>
      </c>
      <c r="K326" s="1" t="s">
        <v>512</v>
      </c>
      <c r="M326" s="3" t="s">
        <v>513</v>
      </c>
      <c r="N326" s="1" t="s">
        <v>79</v>
      </c>
    </row>
    <row r="327" spans="1:14" ht="13">
      <c r="A327" s="1">
        <v>10573</v>
      </c>
      <c r="B327" s="1" t="s">
        <v>650</v>
      </c>
      <c r="C327" s="1">
        <v>7</v>
      </c>
      <c r="D327" s="2">
        <v>34900</v>
      </c>
      <c r="E327" s="2">
        <v>34928</v>
      </c>
      <c r="F327" s="2">
        <v>34901</v>
      </c>
      <c r="G327" s="1">
        <v>3</v>
      </c>
      <c r="H327" s="1">
        <v>84.84</v>
      </c>
      <c r="I327" s="1" t="s">
        <v>651</v>
      </c>
      <c r="J327" s="1" t="s">
        <v>652</v>
      </c>
      <c r="K327" s="1" t="s">
        <v>447</v>
      </c>
      <c r="M327" s="3">
        <v>5023</v>
      </c>
      <c r="N327" s="1" t="s">
        <v>448</v>
      </c>
    </row>
    <row r="328" spans="1:14" ht="13">
      <c r="A328" s="1">
        <v>10574</v>
      </c>
      <c r="B328" s="1" t="s">
        <v>744</v>
      </c>
      <c r="C328" s="1">
        <v>4</v>
      </c>
      <c r="D328" s="2">
        <v>34900</v>
      </c>
      <c r="E328" s="2">
        <v>34928</v>
      </c>
      <c r="F328" s="2">
        <v>34911</v>
      </c>
      <c r="G328" s="1">
        <v>2</v>
      </c>
      <c r="H328" s="1">
        <v>37.6</v>
      </c>
      <c r="I328" s="1" t="s">
        <v>745</v>
      </c>
      <c r="J328" s="1" t="s">
        <v>746</v>
      </c>
      <c r="K328" s="1" t="s">
        <v>747</v>
      </c>
      <c r="L328" s="1" t="s">
        <v>488</v>
      </c>
      <c r="M328" s="3">
        <v>98034</v>
      </c>
      <c r="N328" s="1" t="s">
        <v>26</v>
      </c>
    </row>
    <row r="329" spans="1:14" ht="13">
      <c r="A329" s="1">
        <v>10575</v>
      </c>
      <c r="B329" s="1" t="s">
        <v>505</v>
      </c>
      <c r="C329" s="1">
        <v>5</v>
      </c>
      <c r="D329" s="2">
        <v>34901</v>
      </c>
      <c r="E329" s="2">
        <v>34915</v>
      </c>
      <c r="F329" s="2">
        <v>34911</v>
      </c>
      <c r="G329" s="1">
        <v>1</v>
      </c>
      <c r="H329" s="1">
        <v>127.34</v>
      </c>
      <c r="I329" s="1" t="s">
        <v>506</v>
      </c>
      <c r="J329" s="1" t="s">
        <v>507</v>
      </c>
      <c r="K329" s="1" t="s">
        <v>508</v>
      </c>
      <c r="M329" s="3">
        <v>4179</v>
      </c>
      <c r="N329" s="1" t="s">
        <v>93</v>
      </c>
    </row>
    <row r="330" spans="1:14" ht="13">
      <c r="A330" s="1">
        <v>10576</v>
      </c>
      <c r="B330" s="1" t="s">
        <v>502</v>
      </c>
      <c r="C330" s="1">
        <v>3</v>
      </c>
      <c r="D330" s="2">
        <v>34904</v>
      </c>
      <c r="E330" s="2">
        <v>34918</v>
      </c>
      <c r="F330" s="2">
        <v>34911</v>
      </c>
      <c r="G330" s="1">
        <v>3</v>
      </c>
      <c r="H330" s="1">
        <v>18.559999999999999</v>
      </c>
      <c r="I330" s="1" t="s">
        <v>503</v>
      </c>
      <c r="J330" s="1" t="s">
        <v>504</v>
      </c>
      <c r="K330" s="1" t="s">
        <v>447</v>
      </c>
      <c r="M330" s="3">
        <v>5033</v>
      </c>
      <c r="N330" s="1" t="s">
        <v>448</v>
      </c>
    </row>
    <row r="331" spans="1:14" ht="13">
      <c r="A331" s="1">
        <v>10577</v>
      </c>
      <c r="B331" s="1" t="s">
        <v>744</v>
      </c>
      <c r="C331" s="1">
        <v>9</v>
      </c>
      <c r="D331" s="2">
        <v>34904</v>
      </c>
      <c r="E331" s="2">
        <v>34946</v>
      </c>
      <c r="F331" s="2">
        <v>34911</v>
      </c>
      <c r="G331" s="1">
        <v>2</v>
      </c>
      <c r="H331" s="1">
        <v>25.41</v>
      </c>
      <c r="I331" s="1" t="s">
        <v>745</v>
      </c>
      <c r="J331" s="1" t="s">
        <v>746</v>
      </c>
      <c r="K331" s="1" t="s">
        <v>747</v>
      </c>
      <c r="L331" s="1" t="s">
        <v>488</v>
      </c>
      <c r="M331" s="3">
        <v>98034</v>
      </c>
      <c r="N331" s="1" t="s">
        <v>26</v>
      </c>
    </row>
    <row r="332" spans="1:14" ht="13">
      <c r="A332" s="1">
        <v>10578</v>
      </c>
      <c r="B332" s="1" t="s">
        <v>535</v>
      </c>
      <c r="C332" s="1">
        <v>4</v>
      </c>
      <c r="D332" s="2">
        <v>34905</v>
      </c>
      <c r="E332" s="2">
        <v>34933</v>
      </c>
      <c r="F332" s="2">
        <v>34936</v>
      </c>
      <c r="G332" s="1">
        <v>3</v>
      </c>
      <c r="H332" s="1">
        <v>29.6</v>
      </c>
      <c r="I332" s="1" t="s">
        <v>536</v>
      </c>
      <c r="J332" s="1" t="s">
        <v>537</v>
      </c>
      <c r="K332" s="1" t="s">
        <v>16</v>
      </c>
      <c r="M332" s="3" t="s">
        <v>538</v>
      </c>
      <c r="N332" s="1" t="s">
        <v>18</v>
      </c>
    </row>
    <row r="333" spans="1:14" ht="13">
      <c r="A333" s="1">
        <v>10579</v>
      </c>
      <c r="B333" s="1" t="s">
        <v>748</v>
      </c>
      <c r="C333" s="1">
        <v>1</v>
      </c>
      <c r="D333" s="2">
        <v>34906</v>
      </c>
      <c r="E333" s="2">
        <v>34934</v>
      </c>
      <c r="F333" s="2">
        <v>34915</v>
      </c>
      <c r="G333" s="1">
        <v>2</v>
      </c>
      <c r="H333" s="1">
        <v>13.73</v>
      </c>
      <c r="I333" s="1" t="s">
        <v>749</v>
      </c>
      <c r="J333" s="1" t="s">
        <v>750</v>
      </c>
      <c r="K333" s="1" t="s">
        <v>751</v>
      </c>
      <c r="L333" s="1" t="s">
        <v>752</v>
      </c>
      <c r="M333" s="3">
        <v>94117</v>
      </c>
      <c r="N333" s="1" t="s">
        <v>26</v>
      </c>
    </row>
    <row r="334" spans="1:14" ht="13">
      <c r="A334" s="1">
        <v>10580</v>
      </c>
      <c r="B334" s="1" t="s">
        <v>449</v>
      </c>
      <c r="C334" s="1">
        <v>4</v>
      </c>
      <c r="D334" s="2">
        <v>34907</v>
      </c>
      <c r="E334" s="2">
        <v>34935</v>
      </c>
      <c r="F334" s="2">
        <v>34912</v>
      </c>
      <c r="G334" s="1">
        <v>3</v>
      </c>
      <c r="H334" s="1">
        <v>75.89</v>
      </c>
      <c r="I334" s="1" t="s">
        <v>450</v>
      </c>
      <c r="J334" s="1" t="s">
        <v>451</v>
      </c>
      <c r="K334" s="1" t="s">
        <v>452</v>
      </c>
      <c r="M334" s="3">
        <v>50739</v>
      </c>
      <c r="N334" s="1" t="s">
        <v>93</v>
      </c>
    </row>
    <row r="335" spans="1:14" ht="13">
      <c r="A335" s="1">
        <v>10581</v>
      </c>
      <c r="B335" s="1" t="s">
        <v>620</v>
      </c>
      <c r="C335" s="1">
        <v>3</v>
      </c>
      <c r="D335" s="2">
        <v>34907</v>
      </c>
      <c r="E335" s="2">
        <v>34935</v>
      </c>
      <c r="F335" s="2">
        <v>34913</v>
      </c>
      <c r="G335" s="1">
        <v>1</v>
      </c>
      <c r="H335" s="1">
        <v>3.01</v>
      </c>
      <c r="I335" s="1" t="s">
        <v>621</v>
      </c>
      <c r="J335" s="1" t="s">
        <v>622</v>
      </c>
      <c r="K335" s="1" t="s">
        <v>85</v>
      </c>
      <c r="L335" s="1" t="s">
        <v>431</v>
      </c>
      <c r="M335" s="3" t="s">
        <v>623</v>
      </c>
      <c r="N335" s="1" t="s">
        <v>86</v>
      </c>
    </row>
    <row r="336" spans="1:14" ht="13">
      <c r="A336" s="1">
        <v>10582</v>
      </c>
      <c r="B336" s="1" t="s">
        <v>724</v>
      </c>
      <c r="C336" s="1">
        <v>3</v>
      </c>
      <c r="D336" s="2">
        <v>34908</v>
      </c>
      <c r="E336" s="2">
        <v>34936</v>
      </c>
      <c r="F336" s="2">
        <v>34925</v>
      </c>
      <c r="G336" s="1">
        <v>2</v>
      </c>
      <c r="H336" s="1">
        <v>27.71</v>
      </c>
      <c r="I336" s="1" t="s">
        <v>725</v>
      </c>
      <c r="J336" s="1" t="s">
        <v>726</v>
      </c>
      <c r="K336" s="1" t="s">
        <v>727</v>
      </c>
      <c r="M336" s="3">
        <v>68306</v>
      </c>
      <c r="N336" s="1" t="s">
        <v>93</v>
      </c>
    </row>
    <row r="337" spans="1:14" ht="13">
      <c r="A337" s="1">
        <v>10583</v>
      </c>
      <c r="B337" s="1" t="s">
        <v>471</v>
      </c>
      <c r="C337" s="1">
        <v>2</v>
      </c>
      <c r="D337" s="2">
        <v>34911</v>
      </c>
      <c r="E337" s="2">
        <v>34939</v>
      </c>
      <c r="F337" s="2">
        <v>34915</v>
      </c>
      <c r="G337" s="1">
        <v>2</v>
      </c>
      <c r="H337" s="1">
        <v>7.28</v>
      </c>
      <c r="I337" s="1" t="s">
        <v>472</v>
      </c>
      <c r="J337" s="1" t="s">
        <v>473</v>
      </c>
      <c r="K337" s="1" t="s">
        <v>474</v>
      </c>
      <c r="M337" s="3">
        <v>90110</v>
      </c>
      <c r="N337" s="1" t="s">
        <v>176</v>
      </c>
    </row>
    <row r="338" spans="1:14" ht="13">
      <c r="A338" s="1">
        <v>10584</v>
      </c>
      <c r="B338" s="1" t="s">
        <v>467</v>
      </c>
      <c r="C338" s="1">
        <v>4</v>
      </c>
      <c r="D338" s="2">
        <v>34911</v>
      </c>
      <c r="E338" s="2">
        <v>34939</v>
      </c>
      <c r="F338" s="2">
        <v>34915</v>
      </c>
      <c r="G338" s="1">
        <v>1</v>
      </c>
      <c r="H338" s="1">
        <v>59.14</v>
      </c>
      <c r="I338" s="1" t="s">
        <v>468</v>
      </c>
      <c r="J338" s="1" t="s">
        <v>469</v>
      </c>
      <c r="K338" s="1" t="s">
        <v>470</v>
      </c>
      <c r="M338" s="3">
        <v>67000</v>
      </c>
      <c r="N338" s="1" t="s">
        <v>140</v>
      </c>
    </row>
    <row r="339" spans="1:14" ht="13">
      <c r="A339" s="1">
        <v>10585</v>
      </c>
      <c r="B339" s="1" t="s">
        <v>427</v>
      </c>
      <c r="C339" s="1">
        <v>7</v>
      </c>
      <c r="D339" s="2">
        <v>34912</v>
      </c>
      <c r="E339" s="2">
        <v>34940</v>
      </c>
      <c r="F339" s="2">
        <v>34921</v>
      </c>
      <c r="G339" s="1">
        <v>1</v>
      </c>
      <c r="H339" s="1">
        <v>13.41</v>
      </c>
      <c r="I339" s="1" t="s">
        <v>428</v>
      </c>
      <c r="J339" s="1" t="s">
        <v>429</v>
      </c>
      <c r="K339" s="1" t="s">
        <v>430</v>
      </c>
      <c r="L339" s="1" t="s">
        <v>431</v>
      </c>
      <c r="M339" s="3" t="s">
        <v>432</v>
      </c>
      <c r="N339" s="1" t="s">
        <v>86</v>
      </c>
    </row>
    <row r="340" spans="1:14" ht="13">
      <c r="A340" s="1">
        <v>10586</v>
      </c>
      <c r="B340" s="1" t="s">
        <v>531</v>
      </c>
      <c r="C340" s="1">
        <v>9</v>
      </c>
      <c r="D340" s="2">
        <v>34913</v>
      </c>
      <c r="E340" s="2">
        <v>34941</v>
      </c>
      <c r="F340" s="2">
        <v>34920</v>
      </c>
      <c r="G340" s="1">
        <v>1</v>
      </c>
      <c r="H340" s="1">
        <v>0.48</v>
      </c>
      <c r="I340" s="1" t="s">
        <v>532</v>
      </c>
      <c r="J340" s="1" t="s">
        <v>533</v>
      </c>
      <c r="K340" s="1" t="s">
        <v>534</v>
      </c>
      <c r="M340" s="3">
        <v>42100</v>
      </c>
      <c r="N340" s="1" t="s">
        <v>113</v>
      </c>
    </row>
    <row r="341" spans="1:14" ht="13">
      <c r="A341" s="1">
        <v>10587</v>
      </c>
      <c r="B341" s="1" t="s">
        <v>453</v>
      </c>
      <c r="C341" s="1">
        <v>1</v>
      </c>
      <c r="D341" s="2">
        <v>34913</v>
      </c>
      <c r="E341" s="2">
        <v>34941</v>
      </c>
      <c r="F341" s="2">
        <v>34920</v>
      </c>
      <c r="G341" s="1">
        <v>1</v>
      </c>
      <c r="H341" s="1">
        <v>62.52</v>
      </c>
      <c r="I341" s="1" t="s">
        <v>454</v>
      </c>
      <c r="J341" s="1" t="s">
        <v>455</v>
      </c>
      <c r="K341" s="1" t="s">
        <v>405</v>
      </c>
      <c r="L341" s="1" t="s">
        <v>406</v>
      </c>
      <c r="M341" s="3" t="s">
        <v>456</v>
      </c>
      <c r="N341" s="1" t="s">
        <v>86</v>
      </c>
    </row>
    <row r="342" spans="1:14" ht="13">
      <c r="A342" s="1">
        <v>10588</v>
      </c>
      <c r="B342" s="1" t="s">
        <v>494</v>
      </c>
      <c r="C342" s="1">
        <v>2</v>
      </c>
      <c r="D342" s="2">
        <v>34914</v>
      </c>
      <c r="E342" s="2">
        <v>34942</v>
      </c>
      <c r="F342" s="2">
        <v>34921</v>
      </c>
      <c r="G342" s="1">
        <v>3</v>
      </c>
      <c r="H342" s="1">
        <v>194.67</v>
      </c>
      <c r="I342" s="1" t="s">
        <v>495</v>
      </c>
      <c r="J342" s="1" t="s">
        <v>496</v>
      </c>
      <c r="K342" s="1" t="s">
        <v>497</v>
      </c>
      <c r="M342" s="3">
        <v>1307</v>
      </c>
      <c r="N342" s="1" t="s">
        <v>93</v>
      </c>
    </row>
    <row r="343" spans="1:14" ht="13">
      <c r="A343" s="1">
        <v>10589</v>
      </c>
      <c r="B343" s="1" t="s">
        <v>735</v>
      </c>
      <c r="C343" s="1">
        <v>8</v>
      </c>
      <c r="D343" s="2">
        <v>34915</v>
      </c>
      <c r="E343" s="2">
        <v>34943</v>
      </c>
      <c r="F343" s="2">
        <v>34925</v>
      </c>
      <c r="G343" s="1">
        <v>2</v>
      </c>
      <c r="H343" s="1">
        <v>4.42</v>
      </c>
      <c r="I343" s="1" t="s">
        <v>736</v>
      </c>
      <c r="J343" s="1" t="s">
        <v>737</v>
      </c>
      <c r="K343" s="1" t="s">
        <v>738</v>
      </c>
      <c r="L343" s="1" t="s">
        <v>128</v>
      </c>
      <c r="M343" s="3">
        <v>97403</v>
      </c>
      <c r="N343" s="1" t="s">
        <v>26</v>
      </c>
    </row>
    <row r="344" spans="1:14" ht="13">
      <c r="A344" s="1">
        <v>10590</v>
      </c>
      <c r="B344" s="1" t="s">
        <v>610</v>
      </c>
      <c r="C344" s="1">
        <v>4</v>
      </c>
      <c r="D344" s="2">
        <v>34918</v>
      </c>
      <c r="E344" s="2">
        <v>34946</v>
      </c>
      <c r="F344" s="2">
        <v>34925</v>
      </c>
      <c r="G344" s="1">
        <v>3</v>
      </c>
      <c r="H344" s="1">
        <v>44.77</v>
      </c>
      <c r="I344" s="1" t="s">
        <v>611</v>
      </c>
      <c r="J344" s="1" t="s">
        <v>612</v>
      </c>
      <c r="K344" s="1" t="s">
        <v>189</v>
      </c>
      <c r="L344" s="1" t="s">
        <v>190</v>
      </c>
      <c r="M344" s="3" t="s">
        <v>191</v>
      </c>
      <c r="N344" s="1" t="s">
        <v>192</v>
      </c>
    </row>
    <row r="345" spans="1:14" ht="13">
      <c r="A345" s="1">
        <v>10591</v>
      </c>
      <c r="B345" s="1" t="s">
        <v>657</v>
      </c>
      <c r="C345" s="1">
        <v>1</v>
      </c>
      <c r="D345" s="2">
        <v>34918</v>
      </c>
      <c r="E345" s="2">
        <v>34932</v>
      </c>
      <c r="F345" s="2">
        <v>34927</v>
      </c>
      <c r="G345" s="1">
        <v>1</v>
      </c>
      <c r="H345" s="1">
        <v>55.92</v>
      </c>
      <c r="I345" s="1" t="s">
        <v>658</v>
      </c>
      <c r="J345" s="1" t="s">
        <v>659</v>
      </c>
      <c r="K345" s="1" t="s">
        <v>660</v>
      </c>
      <c r="M345" s="3">
        <v>8200</v>
      </c>
      <c r="N345" s="1" t="s">
        <v>161</v>
      </c>
    </row>
    <row r="346" spans="1:14" ht="13">
      <c r="A346" s="1">
        <v>10592</v>
      </c>
      <c r="B346" s="1" t="s">
        <v>514</v>
      </c>
      <c r="C346" s="1">
        <v>3</v>
      </c>
      <c r="D346" s="2">
        <v>34919</v>
      </c>
      <c r="E346" s="2">
        <v>34947</v>
      </c>
      <c r="F346" s="2">
        <v>34927</v>
      </c>
      <c r="G346" s="1">
        <v>1</v>
      </c>
      <c r="H346" s="1">
        <v>32.1</v>
      </c>
      <c r="I346" s="1" t="s">
        <v>515</v>
      </c>
      <c r="J346" s="1" t="s">
        <v>516</v>
      </c>
      <c r="K346" s="1" t="s">
        <v>517</v>
      </c>
      <c r="M346" s="3">
        <v>60528</v>
      </c>
      <c r="N346" s="1" t="s">
        <v>93</v>
      </c>
    </row>
    <row r="347" spans="1:14" ht="13">
      <c r="A347" s="1">
        <v>10593</v>
      </c>
      <c r="B347" s="1" t="s">
        <v>514</v>
      </c>
      <c r="C347" s="1">
        <v>7</v>
      </c>
      <c r="D347" s="2">
        <v>34920</v>
      </c>
      <c r="E347" s="2">
        <v>34948</v>
      </c>
      <c r="F347" s="2">
        <v>34955</v>
      </c>
      <c r="G347" s="1">
        <v>2</v>
      </c>
      <c r="H347" s="1">
        <v>174.2</v>
      </c>
      <c r="I347" s="1" t="s">
        <v>515</v>
      </c>
      <c r="J347" s="1" t="s">
        <v>516</v>
      </c>
      <c r="K347" s="1" t="s">
        <v>517</v>
      </c>
      <c r="M347" s="3">
        <v>60528</v>
      </c>
      <c r="N347" s="1" t="s">
        <v>93</v>
      </c>
    </row>
    <row r="348" spans="1:14" ht="13">
      <c r="A348" s="1">
        <v>10594</v>
      </c>
      <c r="B348" s="1" t="s">
        <v>561</v>
      </c>
      <c r="C348" s="1">
        <v>3</v>
      </c>
      <c r="D348" s="2">
        <v>34920</v>
      </c>
      <c r="E348" s="2">
        <v>34948</v>
      </c>
      <c r="F348" s="2">
        <v>34927</v>
      </c>
      <c r="G348" s="1">
        <v>2</v>
      </c>
      <c r="H348" s="1">
        <v>5.24</v>
      </c>
      <c r="I348" s="1" t="s">
        <v>562</v>
      </c>
      <c r="J348" s="1" t="s">
        <v>563</v>
      </c>
      <c r="K348" s="1" t="s">
        <v>564</v>
      </c>
      <c r="L348" s="1" t="s">
        <v>565</v>
      </c>
      <c r="M348" s="3">
        <v>99508</v>
      </c>
      <c r="N348" s="1" t="s">
        <v>26</v>
      </c>
    </row>
    <row r="349" spans="1:14" ht="13">
      <c r="A349" s="1">
        <v>10595</v>
      </c>
      <c r="B349" s="1" t="s">
        <v>439</v>
      </c>
      <c r="C349" s="1">
        <v>2</v>
      </c>
      <c r="D349" s="2">
        <v>34921</v>
      </c>
      <c r="E349" s="2">
        <v>34949</v>
      </c>
      <c r="F349" s="2">
        <v>34925</v>
      </c>
      <c r="G349" s="1">
        <v>1</v>
      </c>
      <c r="H349" s="1">
        <v>96.78</v>
      </c>
      <c r="I349" s="1" t="s">
        <v>440</v>
      </c>
      <c r="J349" s="1" t="s">
        <v>441</v>
      </c>
      <c r="K349" s="1" t="s">
        <v>442</v>
      </c>
      <c r="M349" s="3">
        <v>8010</v>
      </c>
      <c r="N349" s="1" t="s">
        <v>443</v>
      </c>
    </row>
    <row r="350" spans="1:14" ht="13">
      <c r="A350" s="1">
        <v>10596</v>
      </c>
      <c r="B350" s="1" t="s">
        <v>484</v>
      </c>
      <c r="C350" s="1">
        <v>8</v>
      </c>
      <c r="D350" s="2">
        <v>34922</v>
      </c>
      <c r="E350" s="2">
        <v>34950</v>
      </c>
      <c r="F350" s="2">
        <v>34954</v>
      </c>
      <c r="G350" s="1">
        <v>1</v>
      </c>
      <c r="H350" s="1">
        <v>16.34</v>
      </c>
      <c r="I350" s="1" t="s">
        <v>485</v>
      </c>
      <c r="J350" s="1" t="s">
        <v>486</v>
      </c>
      <c r="K350" s="1" t="s">
        <v>487</v>
      </c>
      <c r="L350" s="1" t="s">
        <v>488</v>
      </c>
      <c r="M350" s="3">
        <v>98124</v>
      </c>
      <c r="N350" s="1" t="s">
        <v>26</v>
      </c>
    </row>
    <row r="351" spans="1:14" ht="13">
      <c r="A351" s="1">
        <v>10597</v>
      </c>
      <c r="B351" s="1" t="s">
        <v>628</v>
      </c>
      <c r="C351" s="1">
        <v>7</v>
      </c>
      <c r="D351" s="2">
        <v>34922</v>
      </c>
      <c r="E351" s="2">
        <v>34950</v>
      </c>
      <c r="F351" s="2">
        <v>34929</v>
      </c>
      <c r="G351" s="1">
        <v>3</v>
      </c>
      <c r="H351" s="1">
        <v>35.119999999999997</v>
      </c>
      <c r="I351" s="1" t="s">
        <v>629</v>
      </c>
      <c r="J351" s="1" t="s">
        <v>630</v>
      </c>
      <c r="K351" s="1" t="s">
        <v>631</v>
      </c>
      <c r="M351" s="3">
        <v>5020</v>
      </c>
      <c r="N351" s="1" t="s">
        <v>443</v>
      </c>
    </row>
    <row r="352" spans="1:14" ht="13">
      <c r="A352" s="1">
        <v>10598</v>
      </c>
      <c r="B352" s="1" t="s">
        <v>457</v>
      </c>
      <c r="C352" s="1">
        <v>1</v>
      </c>
      <c r="D352" s="2">
        <v>34925</v>
      </c>
      <c r="E352" s="2">
        <v>34953</v>
      </c>
      <c r="F352" s="2">
        <v>34929</v>
      </c>
      <c r="G352" s="1">
        <v>3</v>
      </c>
      <c r="H352" s="1">
        <v>44.42</v>
      </c>
      <c r="I352" s="1" t="s">
        <v>458</v>
      </c>
      <c r="J352" s="1" t="s">
        <v>459</v>
      </c>
      <c r="K352" s="1" t="s">
        <v>460</v>
      </c>
      <c r="L352" s="1" t="s">
        <v>461</v>
      </c>
      <c r="M352" s="3">
        <v>87110</v>
      </c>
      <c r="N352" s="1" t="s">
        <v>26</v>
      </c>
    </row>
    <row r="353" spans="1:14" ht="13">
      <c r="A353" s="1">
        <v>10599</v>
      </c>
      <c r="B353" s="1" t="s">
        <v>535</v>
      </c>
      <c r="C353" s="1">
        <v>6</v>
      </c>
      <c r="D353" s="2">
        <v>34926</v>
      </c>
      <c r="E353" s="2">
        <v>34968</v>
      </c>
      <c r="F353" s="2">
        <v>34932</v>
      </c>
      <c r="G353" s="1">
        <v>3</v>
      </c>
      <c r="H353" s="1">
        <v>29.98</v>
      </c>
      <c r="I353" s="1" t="s">
        <v>536</v>
      </c>
      <c r="J353" s="1" t="s">
        <v>537</v>
      </c>
      <c r="K353" s="1" t="s">
        <v>16</v>
      </c>
      <c r="M353" s="3" t="s">
        <v>538</v>
      </c>
      <c r="N353" s="1" t="s">
        <v>18</v>
      </c>
    </row>
    <row r="354" spans="1:14" ht="13">
      <c r="A354" s="1">
        <v>10600</v>
      </c>
      <c r="B354" s="1" t="s">
        <v>671</v>
      </c>
      <c r="C354" s="1">
        <v>4</v>
      </c>
      <c r="D354" s="2">
        <v>34927</v>
      </c>
      <c r="E354" s="2">
        <v>34955</v>
      </c>
      <c r="F354" s="2">
        <v>34932</v>
      </c>
      <c r="G354" s="1">
        <v>1</v>
      </c>
      <c r="H354" s="1">
        <v>45.13</v>
      </c>
      <c r="I354" s="1" t="s">
        <v>672</v>
      </c>
      <c r="J354" s="1" t="s">
        <v>673</v>
      </c>
      <c r="K354" s="1" t="s">
        <v>674</v>
      </c>
      <c r="L354" s="1" t="s">
        <v>128</v>
      </c>
      <c r="M354" s="3">
        <v>97827</v>
      </c>
      <c r="N354" s="1" t="s">
        <v>26</v>
      </c>
    </row>
    <row r="355" spans="1:14" ht="13">
      <c r="A355" s="1">
        <v>10601</v>
      </c>
      <c r="B355" s="1" t="s">
        <v>433</v>
      </c>
      <c r="C355" s="1">
        <v>7</v>
      </c>
      <c r="D355" s="2">
        <v>34927</v>
      </c>
      <c r="E355" s="2">
        <v>34969</v>
      </c>
      <c r="F355" s="2">
        <v>34933</v>
      </c>
      <c r="G355" s="1">
        <v>1</v>
      </c>
      <c r="H355" s="1">
        <v>58.3</v>
      </c>
      <c r="I355" s="1" t="s">
        <v>434</v>
      </c>
      <c r="J355" s="1" t="s">
        <v>435</v>
      </c>
      <c r="K355" s="1" t="s">
        <v>436</v>
      </c>
      <c r="L355" s="1" t="s">
        <v>437</v>
      </c>
      <c r="M355" s="3">
        <v>5022</v>
      </c>
      <c r="N355" s="1" t="s">
        <v>438</v>
      </c>
    </row>
    <row r="356" spans="1:14" ht="13">
      <c r="A356" s="1">
        <v>10602</v>
      </c>
      <c r="B356" s="1" t="s">
        <v>657</v>
      </c>
      <c r="C356" s="1">
        <v>8</v>
      </c>
      <c r="D356" s="2">
        <v>34928</v>
      </c>
      <c r="E356" s="2">
        <v>34956</v>
      </c>
      <c r="F356" s="2">
        <v>34933</v>
      </c>
      <c r="G356" s="1">
        <v>2</v>
      </c>
      <c r="H356" s="1">
        <v>2.92</v>
      </c>
      <c r="I356" s="1" t="s">
        <v>658</v>
      </c>
      <c r="J356" s="1" t="s">
        <v>659</v>
      </c>
      <c r="K356" s="1" t="s">
        <v>660</v>
      </c>
      <c r="M356" s="3">
        <v>8200</v>
      </c>
      <c r="N356" s="1" t="s">
        <v>161</v>
      </c>
    </row>
    <row r="357" spans="1:14" ht="13">
      <c r="A357" s="1">
        <v>10603</v>
      </c>
      <c r="B357" s="1" t="s">
        <v>593</v>
      </c>
      <c r="C357" s="1">
        <v>8</v>
      </c>
      <c r="D357" s="2">
        <v>34929</v>
      </c>
      <c r="E357" s="2">
        <v>34957</v>
      </c>
      <c r="F357" s="2">
        <v>34950</v>
      </c>
      <c r="G357" s="1">
        <v>2</v>
      </c>
      <c r="H357" s="1">
        <v>48.77</v>
      </c>
      <c r="I357" s="1" t="s">
        <v>594</v>
      </c>
      <c r="J357" s="1" t="s">
        <v>595</v>
      </c>
      <c r="K357" s="1" t="s">
        <v>596</v>
      </c>
      <c r="L357" s="1" t="s">
        <v>597</v>
      </c>
      <c r="M357" s="3">
        <v>83720</v>
      </c>
      <c r="N357" s="1" t="s">
        <v>26</v>
      </c>
    </row>
    <row r="358" spans="1:14" ht="13">
      <c r="A358" s="1">
        <v>10604</v>
      </c>
      <c r="B358" s="1" t="s">
        <v>601</v>
      </c>
      <c r="C358" s="1">
        <v>1</v>
      </c>
      <c r="D358" s="2">
        <v>34929</v>
      </c>
      <c r="E358" s="2">
        <v>34957</v>
      </c>
      <c r="F358" s="2">
        <v>34940</v>
      </c>
      <c r="G358" s="1">
        <v>1</v>
      </c>
      <c r="H358" s="1">
        <v>7.46</v>
      </c>
      <c r="I358" s="1" t="s">
        <v>602</v>
      </c>
      <c r="J358" s="1" t="s">
        <v>603</v>
      </c>
      <c r="K358" s="1" t="s">
        <v>604</v>
      </c>
      <c r="M358" s="3">
        <v>1675</v>
      </c>
      <c r="N358" s="1" t="s">
        <v>605</v>
      </c>
    </row>
    <row r="359" spans="1:14" ht="13">
      <c r="A359" s="1">
        <v>10605</v>
      </c>
      <c r="B359" s="1" t="s">
        <v>610</v>
      </c>
      <c r="C359" s="1">
        <v>1</v>
      </c>
      <c r="D359" s="2">
        <v>34932</v>
      </c>
      <c r="E359" s="2">
        <v>34960</v>
      </c>
      <c r="F359" s="2">
        <v>34940</v>
      </c>
      <c r="G359" s="1">
        <v>2</v>
      </c>
      <c r="H359" s="1">
        <v>379.13</v>
      </c>
      <c r="I359" s="1" t="s">
        <v>611</v>
      </c>
      <c r="J359" s="1" t="s">
        <v>612</v>
      </c>
      <c r="K359" s="1" t="s">
        <v>189</v>
      </c>
      <c r="L359" s="1" t="s">
        <v>190</v>
      </c>
      <c r="M359" s="3" t="s">
        <v>191</v>
      </c>
      <c r="N359" s="1" t="s">
        <v>192</v>
      </c>
    </row>
    <row r="360" spans="1:14" ht="13">
      <c r="A360" s="1">
        <v>10606</v>
      </c>
      <c r="B360" s="1" t="s">
        <v>543</v>
      </c>
      <c r="C360" s="1">
        <v>4</v>
      </c>
      <c r="D360" s="2">
        <v>34933</v>
      </c>
      <c r="E360" s="2">
        <v>34961</v>
      </c>
      <c r="F360" s="2">
        <v>34942</v>
      </c>
      <c r="G360" s="1">
        <v>3</v>
      </c>
      <c r="H360" s="1">
        <v>79.400000000000006</v>
      </c>
      <c r="I360" s="1" t="s">
        <v>544</v>
      </c>
      <c r="J360" s="1" t="s">
        <v>545</v>
      </c>
      <c r="K360" s="1" t="s">
        <v>85</v>
      </c>
      <c r="L360" s="1" t="s">
        <v>431</v>
      </c>
      <c r="M360" s="3" t="s">
        <v>546</v>
      </c>
      <c r="N360" s="1" t="s">
        <v>86</v>
      </c>
    </row>
    <row r="361" spans="1:14" ht="13">
      <c r="A361" s="1">
        <v>10607</v>
      </c>
      <c r="B361" s="1" t="s">
        <v>593</v>
      </c>
      <c r="C361" s="1">
        <v>5</v>
      </c>
      <c r="D361" s="2">
        <v>34933</v>
      </c>
      <c r="E361" s="2">
        <v>34961</v>
      </c>
      <c r="F361" s="2">
        <v>34936</v>
      </c>
      <c r="G361" s="1">
        <v>1</v>
      </c>
      <c r="H361" s="1">
        <v>200.24</v>
      </c>
      <c r="I361" s="1" t="s">
        <v>594</v>
      </c>
      <c r="J361" s="1" t="s">
        <v>595</v>
      </c>
      <c r="K361" s="1" t="s">
        <v>596</v>
      </c>
      <c r="L361" s="1" t="s">
        <v>597</v>
      </c>
      <c r="M361" s="3">
        <v>83720</v>
      </c>
      <c r="N361" s="1" t="s">
        <v>26</v>
      </c>
    </row>
    <row r="362" spans="1:14" ht="13">
      <c r="A362" s="1">
        <v>10608</v>
      </c>
      <c r="B362" s="1" t="s">
        <v>398</v>
      </c>
      <c r="C362" s="1">
        <v>4</v>
      </c>
      <c r="D362" s="2">
        <v>34934</v>
      </c>
      <c r="E362" s="2">
        <v>34962</v>
      </c>
      <c r="F362" s="2">
        <v>34943</v>
      </c>
      <c r="G362" s="1">
        <v>2</v>
      </c>
      <c r="H362" s="1">
        <v>27.79</v>
      </c>
      <c r="I362" s="1" t="s">
        <v>399</v>
      </c>
      <c r="J362" s="1" t="s">
        <v>400</v>
      </c>
      <c r="K362" s="1" t="s">
        <v>401</v>
      </c>
      <c r="M362" s="3">
        <v>44087</v>
      </c>
      <c r="N362" s="1" t="s">
        <v>93</v>
      </c>
    </row>
    <row r="363" spans="1:14" ht="13">
      <c r="A363" s="1">
        <v>10609</v>
      </c>
      <c r="B363" s="1" t="s">
        <v>576</v>
      </c>
      <c r="C363" s="1">
        <v>7</v>
      </c>
      <c r="D363" s="2">
        <v>34935</v>
      </c>
      <c r="E363" s="2">
        <v>34963</v>
      </c>
      <c r="F363" s="2">
        <v>34941</v>
      </c>
      <c r="G363" s="1">
        <v>2</v>
      </c>
      <c r="H363" s="1">
        <v>1.85</v>
      </c>
      <c r="I363" s="1" t="s">
        <v>577</v>
      </c>
      <c r="J363" s="1" t="s">
        <v>578</v>
      </c>
      <c r="K363" s="1" t="s">
        <v>579</v>
      </c>
      <c r="M363" s="3">
        <v>44000</v>
      </c>
      <c r="N363" s="1" t="s">
        <v>140</v>
      </c>
    </row>
    <row r="364" spans="1:14" ht="13">
      <c r="A364" s="1">
        <v>10610</v>
      </c>
      <c r="B364" s="1" t="s">
        <v>624</v>
      </c>
      <c r="C364" s="1">
        <v>8</v>
      </c>
      <c r="D364" s="2">
        <v>34936</v>
      </c>
      <c r="E364" s="2">
        <v>34964</v>
      </c>
      <c r="F364" s="2">
        <v>34948</v>
      </c>
      <c r="G364" s="1">
        <v>1</v>
      </c>
      <c r="H364" s="1">
        <v>26.78</v>
      </c>
      <c r="I364" s="1" t="s">
        <v>625</v>
      </c>
      <c r="J364" s="1" t="s">
        <v>626</v>
      </c>
      <c r="K364" s="1" t="s">
        <v>627</v>
      </c>
      <c r="M364" s="3">
        <v>31000</v>
      </c>
      <c r="N364" s="1" t="s">
        <v>140</v>
      </c>
    </row>
    <row r="365" spans="1:14" ht="13">
      <c r="A365" s="1">
        <v>10611</v>
      </c>
      <c r="B365" s="1" t="s">
        <v>665</v>
      </c>
      <c r="C365" s="1">
        <v>6</v>
      </c>
      <c r="D365" s="2">
        <v>34936</v>
      </c>
      <c r="E365" s="2">
        <v>34964</v>
      </c>
      <c r="F365" s="2">
        <v>34943</v>
      </c>
      <c r="G365" s="1">
        <v>2</v>
      </c>
      <c r="H365" s="1">
        <v>80.650000000000006</v>
      </c>
      <c r="I365" s="1" t="s">
        <v>666</v>
      </c>
      <c r="J365" s="1" t="s">
        <v>667</v>
      </c>
      <c r="K365" s="1" t="s">
        <v>668</v>
      </c>
      <c r="M365" s="3" t="s">
        <v>669</v>
      </c>
      <c r="N365" s="1" t="s">
        <v>670</v>
      </c>
    </row>
    <row r="366" spans="1:14" ht="13">
      <c r="A366" s="1">
        <v>10612</v>
      </c>
      <c r="B366" s="1" t="s">
        <v>593</v>
      </c>
      <c r="C366" s="1">
        <v>1</v>
      </c>
      <c r="D366" s="2">
        <v>34939</v>
      </c>
      <c r="E366" s="2">
        <v>34967</v>
      </c>
      <c r="F366" s="2">
        <v>34943</v>
      </c>
      <c r="G366" s="1">
        <v>2</v>
      </c>
      <c r="H366" s="1">
        <v>544.08000000000004</v>
      </c>
      <c r="I366" s="1" t="s">
        <v>594</v>
      </c>
      <c r="J366" s="1" t="s">
        <v>595</v>
      </c>
      <c r="K366" s="1" t="s">
        <v>596</v>
      </c>
      <c r="L366" s="1" t="s">
        <v>597</v>
      </c>
      <c r="M366" s="3">
        <v>83720</v>
      </c>
      <c r="N366" s="1" t="s">
        <v>26</v>
      </c>
    </row>
    <row r="367" spans="1:14" ht="13">
      <c r="A367" s="1">
        <v>10613</v>
      </c>
      <c r="B367" s="1" t="s">
        <v>433</v>
      </c>
      <c r="C367" s="1">
        <v>4</v>
      </c>
      <c r="D367" s="2">
        <v>34940</v>
      </c>
      <c r="E367" s="2">
        <v>34968</v>
      </c>
      <c r="F367" s="2">
        <v>34943</v>
      </c>
      <c r="G367" s="1">
        <v>2</v>
      </c>
      <c r="H367" s="1">
        <v>8.11</v>
      </c>
      <c r="I367" s="1" t="s">
        <v>434</v>
      </c>
      <c r="J367" s="1" t="s">
        <v>435</v>
      </c>
      <c r="K367" s="1" t="s">
        <v>436</v>
      </c>
      <c r="L367" s="1" t="s">
        <v>437</v>
      </c>
      <c r="M367" s="3">
        <v>5022</v>
      </c>
      <c r="N367" s="1" t="s">
        <v>438</v>
      </c>
    </row>
    <row r="368" spans="1:14" ht="13">
      <c r="A368" s="1">
        <v>10614</v>
      </c>
      <c r="B368" s="1" t="s">
        <v>724</v>
      </c>
      <c r="C368" s="1">
        <v>8</v>
      </c>
      <c r="D368" s="2">
        <v>34940</v>
      </c>
      <c r="E368" s="2">
        <v>34968</v>
      </c>
      <c r="F368" s="2">
        <v>34943</v>
      </c>
      <c r="G368" s="1">
        <v>3</v>
      </c>
      <c r="H368" s="1">
        <v>1.93</v>
      </c>
      <c r="I368" s="1" t="s">
        <v>725</v>
      </c>
      <c r="J368" s="1" t="s">
        <v>726</v>
      </c>
      <c r="K368" s="1" t="s">
        <v>727</v>
      </c>
      <c r="M368" s="3">
        <v>68306</v>
      </c>
      <c r="N368" s="1" t="s">
        <v>93</v>
      </c>
    </row>
    <row r="369" spans="1:14" ht="13">
      <c r="A369" s="1">
        <v>10615</v>
      </c>
      <c r="B369" s="1" t="s">
        <v>753</v>
      </c>
      <c r="C369" s="1">
        <v>2</v>
      </c>
      <c r="D369" s="2">
        <v>34941</v>
      </c>
      <c r="E369" s="2">
        <v>34969</v>
      </c>
      <c r="F369" s="2">
        <v>34948</v>
      </c>
      <c r="G369" s="1">
        <v>3</v>
      </c>
      <c r="H369" s="1">
        <v>0.75</v>
      </c>
      <c r="I369" s="1" t="s">
        <v>754</v>
      </c>
      <c r="J369" s="1" t="s">
        <v>755</v>
      </c>
      <c r="K369" s="1" t="s">
        <v>756</v>
      </c>
      <c r="M369" s="3">
        <v>21240</v>
      </c>
      <c r="N369" s="1" t="s">
        <v>176</v>
      </c>
    </row>
    <row r="370" spans="1:14" ht="13">
      <c r="A370" s="1">
        <v>10616</v>
      </c>
      <c r="B370" s="1" t="s">
        <v>735</v>
      </c>
      <c r="C370" s="1">
        <v>1</v>
      </c>
      <c r="D370" s="2">
        <v>34942</v>
      </c>
      <c r="E370" s="2">
        <v>34970</v>
      </c>
      <c r="F370" s="2">
        <v>34947</v>
      </c>
      <c r="G370" s="1">
        <v>2</v>
      </c>
      <c r="H370" s="1">
        <v>116.53</v>
      </c>
      <c r="I370" s="1" t="s">
        <v>736</v>
      </c>
      <c r="J370" s="1" t="s">
        <v>737</v>
      </c>
      <c r="K370" s="1" t="s">
        <v>738</v>
      </c>
      <c r="L370" s="1" t="s">
        <v>128</v>
      </c>
      <c r="M370" s="3">
        <v>97403</v>
      </c>
      <c r="N370" s="1" t="s">
        <v>26</v>
      </c>
    </row>
    <row r="371" spans="1:14" ht="13">
      <c r="A371" s="1">
        <v>10617</v>
      </c>
      <c r="B371" s="1" t="s">
        <v>735</v>
      </c>
      <c r="C371" s="1">
        <v>4</v>
      </c>
      <c r="D371" s="2">
        <v>34942</v>
      </c>
      <c r="E371" s="2">
        <v>34970</v>
      </c>
      <c r="F371" s="2">
        <v>34946</v>
      </c>
      <c r="G371" s="1">
        <v>2</v>
      </c>
      <c r="H371" s="1">
        <v>18.53</v>
      </c>
      <c r="I371" s="1" t="s">
        <v>736</v>
      </c>
      <c r="J371" s="1" t="s">
        <v>737</v>
      </c>
      <c r="K371" s="1" t="s">
        <v>738</v>
      </c>
      <c r="L371" s="1" t="s">
        <v>128</v>
      </c>
      <c r="M371" s="3">
        <v>97403</v>
      </c>
      <c r="N371" s="1" t="s">
        <v>26</v>
      </c>
    </row>
    <row r="372" spans="1:14" ht="13">
      <c r="A372" s="1">
        <v>10618</v>
      </c>
      <c r="B372" s="1" t="s">
        <v>610</v>
      </c>
      <c r="C372" s="1">
        <v>1</v>
      </c>
      <c r="D372" s="2">
        <v>34943</v>
      </c>
      <c r="E372" s="2">
        <v>34985</v>
      </c>
      <c r="F372" s="2">
        <v>34950</v>
      </c>
      <c r="G372" s="1">
        <v>1</v>
      </c>
      <c r="H372" s="1">
        <v>154.68</v>
      </c>
      <c r="I372" s="1" t="s">
        <v>611</v>
      </c>
      <c r="J372" s="1" t="s">
        <v>612</v>
      </c>
      <c r="K372" s="1" t="s">
        <v>189</v>
      </c>
      <c r="L372" s="1" t="s">
        <v>190</v>
      </c>
      <c r="M372" s="3" t="s">
        <v>191</v>
      </c>
      <c r="N372" s="1" t="s">
        <v>192</v>
      </c>
    </row>
    <row r="373" spans="1:14" ht="13">
      <c r="A373" s="1">
        <v>10619</v>
      </c>
      <c r="B373" s="1" t="s">
        <v>610</v>
      </c>
      <c r="C373" s="1">
        <v>3</v>
      </c>
      <c r="D373" s="2">
        <v>34946</v>
      </c>
      <c r="E373" s="2">
        <v>34974</v>
      </c>
      <c r="F373" s="2">
        <v>34949</v>
      </c>
      <c r="G373" s="1">
        <v>3</v>
      </c>
      <c r="H373" s="1">
        <v>91.05</v>
      </c>
      <c r="I373" s="1" t="s">
        <v>611</v>
      </c>
      <c r="J373" s="1" t="s">
        <v>612</v>
      </c>
      <c r="K373" s="1" t="s">
        <v>189</v>
      </c>
      <c r="L373" s="1" t="s">
        <v>190</v>
      </c>
      <c r="M373" s="3" t="s">
        <v>191</v>
      </c>
      <c r="N373" s="1" t="s">
        <v>192</v>
      </c>
    </row>
    <row r="374" spans="1:14" ht="13">
      <c r="A374" s="1">
        <v>10620</v>
      </c>
      <c r="B374" s="1" t="s">
        <v>719</v>
      </c>
      <c r="C374" s="1">
        <v>2</v>
      </c>
      <c r="D374" s="2">
        <v>34947</v>
      </c>
      <c r="E374" s="2">
        <v>34975</v>
      </c>
      <c r="F374" s="2">
        <v>34956</v>
      </c>
      <c r="G374" s="1">
        <v>3</v>
      </c>
      <c r="H374" s="1">
        <v>0.94</v>
      </c>
      <c r="I374" s="1" t="s">
        <v>720</v>
      </c>
      <c r="J374" s="1" t="s">
        <v>721</v>
      </c>
      <c r="K374" s="1" t="s">
        <v>722</v>
      </c>
      <c r="L374" s="1" t="s">
        <v>683</v>
      </c>
      <c r="M374" s="3" t="s">
        <v>723</v>
      </c>
      <c r="N374" s="1" t="s">
        <v>192</v>
      </c>
    </row>
    <row r="375" spans="1:14" ht="13">
      <c r="A375" s="1">
        <v>10621</v>
      </c>
      <c r="B375" s="1" t="s">
        <v>580</v>
      </c>
      <c r="C375" s="1">
        <v>4</v>
      </c>
      <c r="D375" s="2">
        <v>34947</v>
      </c>
      <c r="E375" s="2">
        <v>34975</v>
      </c>
      <c r="F375" s="2">
        <v>34953</v>
      </c>
      <c r="G375" s="1">
        <v>2</v>
      </c>
      <c r="H375" s="1">
        <v>23.73</v>
      </c>
      <c r="I375" s="1" t="s">
        <v>581</v>
      </c>
      <c r="J375" s="1" t="s">
        <v>582</v>
      </c>
      <c r="K375" s="1" t="s">
        <v>583</v>
      </c>
      <c r="L375" s="1" t="s">
        <v>584</v>
      </c>
      <c r="M375" s="3" t="s">
        <v>585</v>
      </c>
      <c r="N375" s="1" t="s">
        <v>18</v>
      </c>
    </row>
    <row r="376" spans="1:14" ht="13">
      <c r="A376" s="1">
        <v>10622</v>
      </c>
      <c r="B376" s="1" t="s">
        <v>527</v>
      </c>
      <c r="C376" s="1">
        <v>4</v>
      </c>
      <c r="D376" s="2">
        <v>34948</v>
      </c>
      <c r="E376" s="2">
        <v>34976</v>
      </c>
      <c r="F376" s="2">
        <v>34953</v>
      </c>
      <c r="G376" s="1">
        <v>3</v>
      </c>
      <c r="H376" s="1">
        <v>50.97</v>
      </c>
      <c r="I376" s="1" t="s">
        <v>528</v>
      </c>
      <c r="J376" s="1" t="s">
        <v>529</v>
      </c>
      <c r="K376" s="1" t="s">
        <v>405</v>
      </c>
      <c r="L376" s="1" t="s">
        <v>406</v>
      </c>
      <c r="M376" s="3" t="s">
        <v>530</v>
      </c>
      <c r="N376" s="1" t="s">
        <v>86</v>
      </c>
    </row>
    <row r="377" spans="1:14" ht="13">
      <c r="A377" s="1">
        <v>10623</v>
      </c>
      <c r="B377" s="1" t="s">
        <v>475</v>
      </c>
      <c r="C377" s="1">
        <v>8</v>
      </c>
      <c r="D377" s="2">
        <v>34949</v>
      </c>
      <c r="E377" s="2">
        <v>34977</v>
      </c>
      <c r="F377" s="2">
        <v>34954</v>
      </c>
      <c r="G377" s="1">
        <v>2</v>
      </c>
      <c r="H377" s="1">
        <v>97.18</v>
      </c>
      <c r="I377" s="1" t="s">
        <v>476</v>
      </c>
      <c r="J377" s="1" t="s">
        <v>477</v>
      </c>
      <c r="K377" s="1" t="s">
        <v>478</v>
      </c>
      <c r="M377" s="3">
        <v>80805</v>
      </c>
      <c r="N377" s="1" t="s">
        <v>93</v>
      </c>
    </row>
    <row r="378" spans="1:14" ht="13">
      <c r="A378" s="1">
        <v>10624</v>
      </c>
      <c r="B378" s="1" t="s">
        <v>757</v>
      </c>
      <c r="C378" s="1">
        <v>4</v>
      </c>
      <c r="D378" s="2">
        <v>34949</v>
      </c>
      <c r="E378" s="2">
        <v>34977</v>
      </c>
      <c r="F378" s="2">
        <v>34961</v>
      </c>
      <c r="G378" s="1">
        <v>2</v>
      </c>
      <c r="H378" s="1">
        <v>94.8</v>
      </c>
      <c r="I378" s="1" t="s">
        <v>758</v>
      </c>
      <c r="J378" s="1" t="s">
        <v>759</v>
      </c>
      <c r="K378" s="1" t="s">
        <v>760</v>
      </c>
      <c r="L378" s="1" t="s">
        <v>761</v>
      </c>
      <c r="M378" s="3">
        <v>59801</v>
      </c>
      <c r="N378" s="1" t="s">
        <v>26</v>
      </c>
    </row>
    <row r="379" spans="1:14" ht="13">
      <c r="A379" s="1">
        <v>10625</v>
      </c>
      <c r="B379" s="1" t="s">
        <v>570</v>
      </c>
      <c r="C379" s="1">
        <v>3</v>
      </c>
      <c r="D379" s="2">
        <v>34950</v>
      </c>
      <c r="E379" s="2">
        <v>34978</v>
      </c>
      <c r="F379" s="2">
        <v>34956</v>
      </c>
      <c r="G379" s="1">
        <v>1</v>
      </c>
      <c r="H379" s="1">
        <v>43.9</v>
      </c>
      <c r="I379" s="1" t="s">
        <v>571</v>
      </c>
      <c r="J379" s="1" t="s">
        <v>572</v>
      </c>
      <c r="K379" s="1" t="s">
        <v>447</v>
      </c>
      <c r="M379" s="3">
        <v>5021</v>
      </c>
      <c r="N379" s="1" t="s">
        <v>448</v>
      </c>
    </row>
    <row r="380" spans="1:14" ht="13">
      <c r="A380" s="1">
        <v>10626</v>
      </c>
      <c r="B380" s="1" t="s">
        <v>509</v>
      </c>
      <c r="C380" s="1">
        <v>1</v>
      </c>
      <c r="D380" s="2">
        <v>34953</v>
      </c>
      <c r="E380" s="2">
        <v>34981</v>
      </c>
      <c r="F380" s="2">
        <v>34962</v>
      </c>
      <c r="G380" s="1">
        <v>2</v>
      </c>
      <c r="H380" s="1">
        <v>138.69</v>
      </c>
      <c r="I380" s="1" t="s">
        <v>510</v>
      </c>
      <c r="J380" s="1" t="s">
        <v>511</v>
      </c>
      <c r="K380" s="1" t="s">
        <v>512</v>
      </c>
      <c r="M380" s="3" t="s">
        <v>513</v>
      </c>
      <c r="N380" s="1" t="s">
        <v>79</v>
      </c>
    </row>
    <row r="381" spans="1:14" ht="13">
      <c r="A381" s="1">
        <v>10627</v>
      </c>
      <c r="B381" s="1" t="s">
        <v>593</v>
      </c>
      <c r="C381" s="1">
        <v>8</v>
      </c>
      <c r="D381" s="2">
        <v>34953</v>
      </c>
      <c r="E381" s="2">
        <v>34995</v>
      </c>
      <c r="F381" s="2">
        <v>34963</v>
      </c>
      <c r="G381" s="1">
        <v>3</v>
      </c>
      <c r="H381" s="1">
        <v>107.46</v>
      </c>
      <c r="I381" s="1" t="s">
        <v>594</v>
      </c>
      <c r="J381" s="1" t="s">
        <v>595</v>
      </c>
      <c r="K381" s="1" t="s">
        <v>596</v>
      </c>
      <c r="L381" s="1" t="s">
        <v>597</v>
      </c>
      <c r="M381" s="3">
        <v>83720</v>
      </c>
      <c r="N381" s="1" t="s">
        <v>26</v>
      </c>
    </row>
    <row r="382" spans="1:14" ht="13">
      <c r="A382" s="1">
        <v>10628</v>
      </c>
      <c r="B382" s="1" t="s">
        <v>467</v>
      </c>
      <c r="C382" s="1">
        <v>4</v>
      </c>
      <c r="D382" s="2">
        <v>34954</v>
      </c>
      <c r="E382" s="2">
        <v>34982</v>
      </c>
      <c r="F382" s="2">
        <v>34962</v>
      </c>
      <c r="G382" s="1">
        <v>3</v>
      </c>
      <c r="H382" s="1">
        <v>30.36</v>
      </c>
      <c r="I382" s="1" t="s">
        <v>468</v>
      </c>
      <c r="J382" s="1" t="s">
        <v>469</v>
      </c>
      <c r="K382" s="1" t="s">
        <v>470</v>
      </c>
      <c r="M382" s="3">
        <v>67000</v>
      </c>
      <c r="N382" s="1" t="s">
        <v>140</v>
      </c>
    </row>
    <row r="383" spans="1:14" ht="13">
      <c r="A383" s="1">
        <v>10629</v>
      </c>
      <c r="B383" s="1" t="s">
        <v>557</v>
      </c>
      <c r="C383" s="1">
        <v>4</v>
      </c>
      <c r="D383" s="2">
        <v>34954</v>
      </c>
      <c r="E383" s="2">
        <v>34982</v>
      </c>
      <c r="F383" s="2">
        <v>34962</v>
      </c>
      <c r="G383" s="1">
        <v>3</v>
      </c>
      <c r="H383" s="1">
        <v>85.46</v>
      </c>
      <c r="I383" s="1" t="s">
        <v>558</v>
      </c>
      <c r="J383" s="1" t="s">
        <v>559</v>
      </c>
      <c r="K383" s="1" t="s">
        <v>560</v>
      </c>
      <c r="M383" s="3">
        <v>41101</v>
      </c>
      <c r="N383" s="1" t="s">
        <v>50</v>
      </c>
    </row>
    <row r="384" spans="1:14" ht="13">
      <c r="A384" s="1">
        <v>10630</v>
      </c>
      <c r="B384" s="1" t="s">
        <v>589</v>
      </c>
      <c r="C384" s="1">
        <v>1</v>
      </c>
      <c r="D384" s="2">
        <v>34955</v>
      </c>
      <c r="E384" s="2">
        <v>34983</v>
      </c>
      <c r="F384" s="2">
        <v>34961</v>
      </c>
      <c r="G384" s="1">
        <v>2</v>
      </c>
      <c r="H384" s="1">
        <v>32.35</v>
      </c>
      <c r="I384" s="1" t="s">
        <v>590</v>
      </c>
      <c r="J384" s="1" t="s">
        <v>591</v>
      </c>
      <c r="K384" s="1" t="s">
        <v>592</v>
      </c>
      <c r="M384" s="3">
        <v>14776</v>
      </c>
      <c r="N384" s="1" t="s">
        <v>93</v>
      </c>
    </row>
    <row r="385" spans="1:14" ht="13">
      <c r="A385" s="1">
        <v>10631</v>
      </c>
      <c r="B385" s="1" t="s">
        <v>624</v>
      </c>
      <c r="C385" s="1">
        <v>8</v>
      </c>
      <c r="D385" s="2">
        <v>34956</v>
      </c>
      <c r="E385" s="2">
        <v>34984</v>
      </c>
      <c r="F385" s="2">
        <v>34957</v>
      </c>
      <c r="G385" s="1">
        <v>1</v>
      </c>
      <c r="H385" s="1">
        <v>0.87</v>
      </c>
      <c r="I385" s="1" t="s">
        <v>625</v>
      </c>
      <c r="J385" s="1" t="s">
        <v>626</v>
      </c>
      <c r="K385" s="1" t="s">
        <v>627</v>
      </c>
      <c r="M385" s="3">
        <v>31000</v>
      </c>
      <c r="N385" s="1" t="s">
        <v>140</v>
      </c>
    </row>
    <row r="386" spans="1:14" ht="13">
      <c r="A386" s="1">
        <v>10632</v>
      </c>
      <c r="B386" s="1" t="s">
        <v>553</v>
      </c>
      <c r="C386" s="1">
        <v>8</v>
      </c>
      <c r="D386" s="2">
        <v>34956</v>
      </c>
      <c r="E386" s="2">
        <v>34984</v>
      </c>
      <c r="F386" s="2">
        <v>34961</v>
      </c>
      <c r="G386" s="1">
        <v>1</v>
      </c>
      <c r="H386" s="1">
        <v>41.38</v>
      </c>
      <c r="I386" s="1" t="s">
        <v>554</v>
      </c>
      <c r="J386" s="1" t="s">
        <v>555</v>
      </c>
      <c r="K386" s="1" t="s">
        <v>556</v>
      </c>
      <c r="M386" s="3">
        <v>70563</v>
      </c>
      <c r="N386" s="1" t="s">
        <v>93</v>
      </c>
    </row>
    <row r="387" spans="1:14" ht="13">
      <c r="A387" s="1">
        <v>10633</v>
      </c>
      <c r="B387" s="1" t="s">
        <v>439</v>
      </c>
      <c r="C387" s="1">
        <v>7</v>
      </c>
      <c r="D387" s="2">
        <v>34957</v>
      </c>
      <c r="E387" s="2">
        <v>34985</v>
      </c>
      <c r="F387" s="2">
        <v>34960</v>
      </c>
      <c r="G387" s="1">
        <v>3</v>
      </c>
      <c r="H387" s="1">
        <v>477.9</v>
      </c>
      <c r="I387" s="1" t="s">
        <v>440</v>
      </c>
      <c r="J387" s="1" t="s">
        <v>441</v>
      </c>
      <c r="K387" s="1" t="s">
        <v>442</v>
      </c>
      <c r="M387" s="3">
        <v>8010</v>
      </c>
      <c r="N387" s="1" t="s">
        <v>443</v>
      </c>
    </row>
    <row r="388" spans="1:14" ht="13">
      <c r="A388" s="1">
        <v>10634</v>
      </c>
      <c r="B388" s="1" t="s">
        <v>690</v>
      </c>
      <c r="C388" s="1">
        <v>4</v>
      </c>
      <c r="D388" s="2">
        <v>34957</v>
      </c>
      <c r="E388" s="2">
        <v>34985</v>
      </c>
      <c r="F388" s="2">
        <v>34963</v>
      </c>
      <c r="G388" s="1">
        <v>3</v>
      </c>
      <c r="H388" s="1">
        <v>487.38</v>
      </c>
      <c r="I388" s="1" t="s">
        <v>691</v>
      </c>
      <c r="J388" s="1" t="s">
        <v>692</v>
      </c>
      <c r="K388" s="1" t="s">
        <v>693</v>
      </c>
      <c r="M388" s="3">
        <v>59000</v>
      </c>
      <c r="N388" s="1" t="s">
        <v>140</v>
      </c>
    </row>
    <row r="389" spans="1:14" ht="13">
      <c r="A389" s="1">
        <v>10635</v>
      </c>
      <c r="B389" s="1" t="s">
        <v>498</v>
      </c>
      <c r="C389" s="1">
        <v>8</v>
      </c>
      <c r="D389" s="2">
        <v>34960</v>
      </c>
      <c r="E389" s="2">
        <v>34988</v>
      </c>
      <c r="F389" s="2">
        <v>34963</v>
      </c>
      <c r="G389" s="1">
        <v>3</v>
      </c>
      <c r="H389" s="1">
        <v>47.46</v>
      </c>
      <c r="I389" s="1" t="s">
        <v>499</v>
      </c>
      <c r="J389" s="1" t="s">
        <v>500</v>
      </c>
      <c r="K389" s="1" t="s">
        <v>501</v>
      </c>
      <c r="M389" s="3">
        <v>24100</v>
      </c>
      <c r="N389" s="1" t="s">
        <v>113</v>
      </c>
    </row>
    <row r="390" spans="1:14" ht="13">
      <c r="A390" s="1">
        <v>10636</v>
      </c>
      <c r="B390" s="1" t="s">
        <v>471</v>
      </c>
      <c r="C390" s="1">
        <v>4</v>
      </c>
      <c r="D390" s="2">
        <v>34961</v>
      </c>
      <c r="E390" s="2">
        <v>34989</v>
      </c>
      <c r="F390" s="2">
        <v>34968</v>
      </c>
      <c r="G390" s="1">
        <v>1</v>
      </c>
      <c r="H390" s="1">
        <v>1.1499999999999999</v>
      </c>
      <c r="I390" s="1" t="s">
        <v>472</v>
      </c>
      <c r="J390" s="1" t="s">
        <v>473</v>
      </c>
      <c r="K390" s="1" t="s">
        <v>474</v>
      </c>
      <c r="M390" s="3">
        <v>90110</v>
      </c>
      <c r="N390" s="1" t="s">
        <v>176</v>
      </c>
    </row>
    <row r="391" spans="1:14" ht="13">
      <c r="A391" s="1">
        <v>10637</v>
      </c>
      <c r="B391" s="1" t="s">
        <v>661</v>
      </c>
      <c r="C391" s="1">
        <v>6</v>
      </c>
      <c r="D391" s="2">
        <v>34961</v>
      </c>
      <c r="E391" s="2">
        <v>34989</v>
      </c>
      <c r="F391" s="2">
        <v>34968</v>
      </c>
      <c r="G391" s="1">
        <v>1</v>
      </c>
      <c r="H391" s="1">
        <v>201.29</v>
      </c>
      <c r="I391" s="1" t="s">
        <v>662</v>
      </c>
      <c r="J391" s="1" t="s">
        <v>663</v>
      </c>
      <c r="K391" s="1" t="s">
        <v>85</v>
      </c>
      <c r="L391" s="1" t="s">
        <v>431</v>
      </c>
      <c r="M391" s="3" t="s">
        <v>664</v>
      </c>
      <c r="N391" s="1" t="s">
        <v>86</v>
      </c>
    </row>
    <row r="392" spans="1:14" ht="13">
      <c r="A392" s="1">
        <v>10638</v>
      </c>
      <c r="B392" s="1" t="s">
        <v>685</v>
      </c>
      <c r="C392" s="1">
        <v>3</v>
      </c>
      <c r="D392" s="2">
        <v>34962</v>
      </c>
      <c r="E392" s="2">
        <v>34990</v>
      </c>
      <c r="F392" s="2">
        <v>34974</v>
      </c>
      <c r="G392" s="1">
        <v>1</v>
      </c>
      <c r="H392" s="1">
        <v>158.44</v>
      </c>
      <c r="I392" s="1" t="s">
        <v>686</v>
      </c>
      <c r="J392" s="1" t="s">
        <v>687</v>
      </c>
      <c r="K392" s="1" t="s">
        <v>688</v>
      </c>
      <c r="L392" s="1" t="s">
        <v>689</v>
      </c>
      <c r="M392" s="3">
        <v>4980</v>
      </c>
      <c r="N392" s="1" t="s">
        <v>438</v>
      </c>
    </row>
    <row r="393" spans="1:14" ht="13">
      <c r="A393" s="1">
        <v>10639</v>
      </c>
      <c r="B393" s="1" t="s">
        <v>675</v>
      </c>
      <c r="C393" s="1">
        <v>7</v>
      </c>
      <c r="D393" s="2">
        <v>34962</v>
      </c>
      <c r="E393" s="2">
        <v>34990</v>
      </c>
      <c r="F393" s="2">
        <v>34969</v>
      </c>
      <c r="G393" s="1">
        <v>3</v>
      </c>
      <c r="H393" s="1">
        <v>38.64</v>
      </c>
      <c r="I393" s="1" t="s">
        <v>676</v>
      </c>
      <c r="J393" s="1" t="s">
        <v>677</v>
      </c>
      <c r="K393" s="1" t="s">
        <v>678</v>
      </c>
      <c r="M393" s="3">
        <v>4110</v>
      </c>
      <c r="N393" s="1" t="s">
        <v>121</v>
      </c>
    </row>
    <row r="394" spans="1:14" ht="13">
      <c r="A394" s="1">
        <v>10640</v>
      </c>
      <c r="B394" s="1" t="s">
        <v>553</v>
      </c>
      <c r="C394" s="1">
        <v>4</v>
      </c>
      <c r="D394" s="2">
        <v>34963</v>
      </c>
      <c r="E394" s="2">
        <v>34991</v>
      </c>
      <c r="F394" s="2">
        <v>34970</v>
      </c>
      <c r="G394" s="1">
        <v>1</v>
      </c>
      <c r="H394" s="1">
        <v>23.55</v>
      </c>
      <c r="I394" s="1" t="s">
        <v>554</v>
      </c>
      <c r="J394" s="1" t="s">
        <v>555</v>
      </c>
      <c r="K394" s="1" t="s">
        <v>556</v>
      </c>
      <c r="M394" s="3">
        <v>70563</v>
      </c>
      <c r="N394" s="1" t="s">
        <v>93</v>
      </c>
    </row>
    <row r="395" spans="1:14" ht="13">
      <c r="A395" s="1">
        <v>10641</v>
      </c>
      <c r="B395" s="1" t="s">
        <v>433</v>
      </c>
      <c r="C395" s="1">
        <v>4</v>
      </c>
      <c r="D395" s="2">
        <v>34964</v>
      </c>
      <c r="E395" s="2">
        <v>34992</v>
      </c>
      <c r="F395" s="2">
        <v>34968</v>
      </c>
      <c r="G395" s="1">
        <v>2</v>
      </c>
      <c r="H395" s="1">
        <v>179.61</v>
      </c>
      <c r="I395" s="1" t="s">
        <v>434</v>
      </c>
      <c r="J395" s="1" t="s">
        <v>435</v>
      </c>
      <c r="K395" s="1" t="s">
        <v>436</v>
      </c>
      <c r="L395" s="1" t="s">
        <v>437</v>
      </c>
      <c r="M395" s="3">
        <v>5022</v>
      </c>
      <c r="N395" s="1" t="s">
        <v>438</v>
      </c>
    </row>
    <row r="396" spans="1:14" ht="13">
      <c r="A396" s="1">
        <v>10642</v>
      </c>
      <c r="B396" s="1" t="s">
        <v>616</v>
      </c>
      <c r="C396" s="1">
        <v>7</v>
      </c>
      <c r="D396" s="2">
        <v>34964</v>
      </c>
      <c r="E396" s="2">
        <v>34992</v>
      </c>
      <c r="F396" s="2">
        <v>34978</v>
      </c>
      <c r="G396" s="1">
        <v>3</v>
      </c>
      <c r="H396" s="1">
        <v>41.89</v>
      </c>
      <c r="I396" s="1" t="s">
        <v>617</v>
      </c>
      <c r="J396" s="1" t="s">
        <v>618</v>
      </c>
      <c r="K396" s="1" t="s">
        <v>619</v>
      </c>
      <c r="M396" s="3">
        <v>1734</v>
      </c>
      <c r="N396" s="1" t="s">
        <v>161</v>
      </c>
    </row>
    <row r="397" spans="1:14" ht="13">
      <c r="A397" s="1">
        <v>10643</v>
      </c>
      <c r="B397" s="1" t="s">
        <v>762</v>
      </c>
      <c r="C397" s="1">
        <v>6</v>
      </c>
      <c r="D397" s="2">
        <v>34967</v>
      </c>
      <c r="E397" s="2">
        <v>34995</v>
      </c>
      <c r="F397" s="2">
        <v>34975</v>
      </c>
      <c r="G397" s="1">
        <v>1</v>
      </c>
      <c r="H397" s="1">
        <v>29.46</v>
      </c>
      <c r="I397" s="1" t="s">
        <v>763</v>
      </c>
      <c r="J397" s="1" t="s">
        <v>764</v>
      </c>
      <c r="K397" s="1" t="s">
        <v>92</v>
      </c>
      <c r="M397" s="3">
        <v>12209</v>
      </c>
      <c r="N397" s="1" t="s">
        <v>93</v>
      </c>
    </row>
    <row r="398" spans="1:14" ht="13">
      <c r="A398" s="1">
        <v>10644</v>
      </c>
      <c r="B398" s="1" t="s">
        <v>427</v>
      </c>
      <c r="C398" s="1">
        <v>3</v>
      </c>
      <c r="D398" s="2">
        <v>34967</v>
      </c>
      <c r="E398" s="2">
        <v>34995</v>
      </c>
      <c r="F398" s="2">
        <v>34974</v>
      </c>
      <c r="G398" s="1">
        <v>2</v>
      </c>
      <c r="H398" s="1">
        <v>0.14000000000000001</v>
      </c>
      <c r="I398" s="1" t="s">
        <v>428</v>
      </c>
      <c r="J398" s="1" t="s">
        <v>429</v>
      </c>
      <c r="K398" s="1" t="s">
        <v>430</v>
      </c>
      <c r="L398" s="1" t="s">
        <v>431</v>
      </c>
      <c r="M398" s="3" t="s">
        <v>432</v>
      </c>
      <c r="N398" s="1" t="s">
        <v>86</v>
      </c>
    </row>
    <row r="399" spans="1:14" ht="13">
      <c r="A399" s="1">
        <v>10645</v>
      </c>
      <c r="B399" s="1" t="s">
        <v>402</v>
      </c>
      <c r="C399" s="1">
        <v>4</v>
      </c>
      <c r="D399" s="2">
        <v>34968</v>
      </c>
      <c r="E399" s="2">
        <v>34996</v>
      </c>
      <c r="F399" s="2">
        <v>34975</v>
      </c>
      <c r="G399" s="1">
        <v>1</v>
      </c>
      <c r="H399" s="1">
        <v>12.41</v>
      </c>
      <c r="I399" s="1" t="s">
        <v>403</v>
      </c>
      <c r="J399" s="1" t="s">
        <v>404</v>
      </c>
      <c r="K399" s="1" t="s">
        <v>405</v>
      </c>
      <c r="L399" s="1" t="s">
        <v>406</v>
      </c>
      <c r="M399" s="3" t="s">
        <v>407</v>
      </c>
      <c r="N399" s="1" t="s">
        <v>86</v>
      </c>
    </row>
    <row r="400" spans="1:14" ht="13">
      <c r="A400" s="1">
        <v>10646</v>
      </c>
      <c r="B400" s="1" t="s">
        <v>547</v>
      </c>
      <c r="C400" s="1">
        <v>9</v>
      </c>
      <c r="D400" s="2">
        <v>34969</v>
      </c>
      <c r="E400" s="2">
        <v>35011</v>
      </c>
      <c r="F400" s="2">
        <v>34976</v>
      </c>
      <c r="G400" s="1">
        <v>3</v>
      </c>
      <c r="H400" s="1">
        <v>142.33000000000001</v>
      </c>
      <c r="I400" s="1" t="s">
        <v>548</v>
      </c>
      <c r="J400" s="1" t="s">
        <v>549</v>
      </c>
      <c r="K400" s="1" t="s">
        <v>550</v>
      </c>
      <c r="L400" s="1" t="s">
        <v>551</v>
      </c>
      <c r="N400" s="1" t="s">
        <v>552</v>
      </c>
    </row>
    <row r="401" spans="1:14" ht="13">
      <c r="A401" s="1">
        <v>10647</v>
      </c>
      <c r="B401" s="1" t="s">
        <v>453</v>
      </c>
      <c r="C401" s="1">
        <v>4</v>
      </c>
      <c r="D401" s="2">
        <v>34969</v>
      </c>
      <c r="E401" s="2">
        <v>34983</v>
      </c>
      <c r="F401" s="2">
        <v>34976</v>
      </c>
      <c r="G401" s="1">
        <v>2</v>
      </c>
      <c r="H401" s="1">
        <v>45.54</v>
      </c>
      <c r="I401" s="1" t="s">
        <v>454</v>
      </c>
      <c r="J401" s="1" t="s">
        <v>455</v>
      </c>
      <c r="K401" s="1" t="s">
        <v>405</v>
      </c>
      <c r="L401" s="1" t="s">
        <v>406</v>
      </c>
      <c r="M401" s="3" t="s">
        <v>456</v>
      </c>
      <c r="N401" s="1" t="s">
        <v>86</v>
      </c>
    </row>
    <row r="402" spans="1:14" ht="13">
      <c r="A402" s="1">
        <v>10648</v>
      </c>
      <c r="B402" s="1" t="s">
        <v>527</v>
      </c>
      <c r="C402" s="1">
        <v>5</v>
      </c>
      <c r="D402" s="2">
        <v>34970</v>
      </c>
      <c r="E402" s="2">
        <v>35012</v>
      </c>
      <c r="F402" s="2">
        <v>34982</v>
      </c>
      <c r="G402" s="1">
        <v>2</v>
      </c>
      <c r="H402" s="1">
        <v>14.25</v>
      </c>
      <c r="I402" s="1" t="s">
        <v>528</v>
      </c>
      <c r="J402" s="1" t="s">
        <v>529</v>
      </c>
      <c r="K402" s="1" t="s">
        <v>405</v>
      </c>
      <c r="L402" s="1" t="s">
        <v>406</v>
      </c>
      <c r="M402" s="3" t="s">
        <v>530</v>
      </c>
      <c r="N402" s="1" t="s">
        <v>86</v>
      </c>
    </row>
    <row r="403" spans="1:14" ht="13">
      <c r="A403" s="1">
        <v>10649</v>
      </c>
      <c r="B403" s="1" t="s">
        <v>739</v>
      </c>
      <c r="C403" s="1">
        <v>5</v>
      </c>
      <c r="D403" s="2">
        <v>34970</v>
      </c>
      <c r="E403" s="2">
        <v>34998</v>
      </c>
      <c r="F403" s="2">
        <v>34971</v>
      </c>
      <c r="G403" s="1">
        <v>3</v>
      </c>
      <c r="H403" s="1">
        <v>6.2</v>
      </c>
      <c r="I403" s="1" t="s">
        <v>740</v>
      </c>
      <c r="J403" s="1" t="s">
        <v>741</v>
      </c>
      <c r="K403" s="1" t="s">
        <v>742</v>
      </c>
      <c r="M403" s="3" t="s">
        <v>743</v>
      </c>
      <c r="N403" s="1" t="s">
        <v>417</v>
      </c>
    </row>
    <row r="404" spans="1:14" ht="13">
      <c r="A404" s="1">
        <v>10650</v>
      </c>
      <c r="B404" s="1" t="s">
        <v>620</v>
      </c>
      <c r="C404" s="1">
        <v>5</v>
      </c>
      <c r="D404" s="2">
        <v>34971</v>
      </c>
      <c r="E404" s="2">
        <v>34999</v>
      </c>
      <c r="F404" s="2">
        <v>34976</v>
      </c>
      <c r="G404" s="1">
        <v>3</v>
      </c>
      <c r="H404" s="1">
        <v>176.81</v>
      </c>
      <c r="I404" s="1" t="s">
        <v>621</v>
      </c>
      <c r="J404" s="1" t="s">
        <v>622</v>
      </c>
      <c r="K404" s="1" t="s">
        <v>85</v>
      </c>
      <c r="L404" s="1" t="s">
        <v>431</v>
      </c>
      <c r="M404" s="3" t="s">
        <v>623</v>
      </c>
      <c r="N404" s="1" t="s">
        <v>86</v>
      </c>
    </row>
    <row r="405" spans="1:14" ht="13">
      <c r="A405" s="1">
        <v>10651</v>
      </c>
      <c r="B405" s="1" t="s">
        <v>553</v>
      </c>
      <c r="C405" s="1">
        <v>8</v>
      </c>
      <c r="D405" s="2">
        <v>34974</v>
      </c>
      <c r="E405" s="2">
        <v>35002</v>
      </c>
      <c r="F405" s="2">
        <v>34984</v>
      </c>
      <c r="G405" s="1">
        <v>2</v>
      </c>
      <c r="H405" s="1">
        <v>20.6</v>
      </c>
      <c r="I405" s="1" t="s">
        <v>554</v>
      </c>
      <c r="J405" s="1" t="s">
        <v>555</v>
      </c>
      <c r="K405" s="1" t="s">
        <v>556</v>
      </c>
      <c r="M405" s="3">
        <v>70563</v>
      </c>
      <c r="N405" s="1" t="s">
        <v>93</v>
      </c>
    </row>
    <row r="406" spans="1:14" ht="13">
      <c r="A406" s="1">
        <v>10652</v>
      </c>
      <c r="B406" s="1" t="s">
        <v>703</v>
      </c>
      <c r="C406" s="1">
        <v>4</v>
      </c>
      <c r="D406" s="2">
        <v>34974</v>
      </c>
      <c r="E406" s="2">
        <v>35002</v>
      </c>
      <c r="F406" s="2">
        <v>34981</v>
      </c>
      <c r="G406" s="1">
        <v>2</v>
      </c>
      <c r="H406" s="1">
        <v>7.14</v>
      </c>
      <c r="I406" s="1" t="s">
        <v>704</v>
      </c>
      <c r="J406" s="1" t="s">
        <v>705</v>
      </c>
      <c r="K406" s="1" t="s">
        <v>706</v>
      </c>
      <c r="L406" s="1" t="s">
        <v>431</v>
      </c>
      <c r="M406" s="3" t="s">
        <v>707</v>
      </c>
      <c r="N406" s="1" t="s">
        <v>86</v>
      </c>
    </row>
    <row r="407" spans="1:14" ht="13">
      <c r="A407" s="1">
        <v>10653</v>
      </c>
      <c r="B407" s="1" t="s">
        <v>475</v>
      </c>
      <c r="C407" s="1">
        <v>1</v>
      </c>
      <c r="D407" s="2">
        <v>34975</v>
      </c>
      <c r="E407" s="2">
        <v>35003</v>
      </c>
      <c r="F407" s="2">
        <v>34992</v>
      </c>
      <c r="G407" s="1">
        <v>1</v>
      </c>
      <c r="H407" s="1">
        <v>93.25</v>
      </c>
      <c r="I407" s="1" t="s">
        <v>476</v>
      </c>
      <c r="J407" s="1" t="s">
        <v>477</v>
      </c>
      <c r="K407" s="1" t="s">
        <v>478</v>
      </c>
      <c r="M407" s="3">
        <v>80805</v>
      </c>
      <c r="N407" s="1" t="s">
        <v>93</v>
      </c>
    </row>
    <row r="408" spans="1:14" ht="13">
      <c r="A408" s="1">
        <v>10654</v>
      </c>
      <c r="B408" s="1" t="s">
        <v>509</v>
      </c>
      <c r="C408" s="1">
        <v>5</v>
      </c>
      <c r="D408" s="2">
        <v>34975</v>
      </c>
      <c r="E408" s="2">
        <v>35003</v>
      </c>
      <c r="F408" s="2">
        <v>34984</v>
      </c>
      <c r="G408" s="1">
        <v>1</v>
      </c>
      <c r="H408" s="1">
        <v>55.26</v>
      </c>
      <c r="I408" s="1" t="s">
        <v>510</v>
      </c>
      <c r="J408" s="1" t="s">
        <v>511</v>
      </c>
      <c r="K408" s="1" t="s">
        <v>512</v>
      </c>
      <c r="M408" s="3" t="s">
        <v>513</v>
      </c>
      <c r="N408" s="1" t="s">
        <v>79</v>
      </c>
    </row>
    <row r="409" spans="1:14" ht="13">
      <c r="A409" s="1">
        <v>10655</v>
      </c>
      <c r="B409" s="1" t="s">
        <v>531</v>
      </c>
      <c r="C409" s="1">
        <v>1</v>
      </c>
      <c r="D409" s="2">
        <v>34976</v>
      </c>
      <c r="E409" s="2">
        <v>35004</v>
      </c>
      <c r="F409" s="2">
        <v>34984</v>
      </c>
      <c r="G409" s="1">
        <v>2</v>
      </c>
      <c r="H409" s="1">
        <v>4.41</v>
      </c>
      <c r="I409" s="1" t="s">
        <v>532</v>
      </c>
      <c r="J409" s="1" t="s">
        <v>533</v>
      </c>
      <c r="K409" s="1" t="s">
        <v>534</v>
      </c>
      <c r="M409" s="3">
        <v>42100</v>
      </c>
      <c r="N409" s="1" t="s">
        <v>113</v>
      </c>
    </row>
    <row r="410" spans="1:14" ht="13">
      <c r="A410" s="1">
        <v>10656</v>
      </c>
      <c r="B410" s="1" t="s">
        <v>735</v>
      </c>
      <c r="C410" s="1">
        <v>6</v>
      </c>
      <c r="D410" s="2">
        <v>34977</v>
      </c>
      <c r="E410" s="2">
        <v>35005</v>
      </c>
      <c r="F410" s="2">
        <v>34983</v>
      </c>
      <c r="G410" s="1">
        <v>1</v>
      </c>
      <c r="H410" s="1">
        <v>57.15</v>
      </c>
      <c r="I410" s="1" t="s">
        <v>736</v>
      </c>
      <c r="J410" s="1" t="s">
        <v>737</v>
      </c>
      <c r="K410" s="1" t="s">
        <v>738</v>
      </c>
      <c r="L410" s="1" t="s">
        <v>128</v>
      </c>
      <c r="M410" s="3">
        <v>97403</v>
      </c>
      <c r="N410" s="1" t="s">
        <v>26</v>
      </c>
    </row>
    <row r="411" spans="1:14" ht="13">
      <c r="A411" s="1">
        <v>10657</v>
      </c>
      <c r="B411" s="1" t="s">
        <v>593</v>
      </c>
      <c r="C411" s="1">
        <v>2</v>
      </c>
      <c r="D411" s="2">
        <v>34977</v>
      </c>
      <c r="E411" s="2">
        <v>35005</v>
      </c>
      <c r="F411" s="2">
        <v>34988</v>
      </c>
      <c r="G411" s="1">
        <v>2</v>
      </c>
      <c r="H411" s="1">
        <v>352.69</v>
      </c>
      <c r="I411" s="1" t="s">
        <v>594</v>
      </c>
      <c r="J411" s="1" t="s">
        <v>595</v>
      </c>
      <c r="K411" s="1" t="s">
        <v>596</v>
      </c>
      <c r="L411" s="1" t="s">
        <v>597</v>
      </c>
      <c r="M411" s="3">
        <v>83720</v>
      </c>
      <c r="N411" s="1" t="s">
        <v>26</v>
      </c>
    </row>
    <row r="412" spans="1:14" ht="13">
      <c r="A412" s="1">
        <v>10658</v>
      </c>
      <c r="B412" s="1" t="s">
        <v>494</v>
      </c>
      <c r="C412" s="1">
        <v>4</v>
      </c>
      <c r="D412" s="2">
        <v>34978</v>
      </c>
      <c r="E412" s="2">
        <v>35006</v>
      </c>
      <c r="F412" s="2">
        <v>34981</v>
      </c>
      <c r="G412" s="1">
        <v>1</v>
      </c>
      <c r="H412" s="1">
        <v>364.15</v>
      </c>
      <c r="I412" s="1" t="s">
        <v>495</v>
      </c>
      <c r="J412" s="1" t="s">
        <v>496</v>
      </c>
      <c r="K412" s="1" t="s">
        <v>497</v>
      </c>
      <c r="M412" s="3">
        <v>1307</v>
      </c>
      <c r="N412" s="1" t="s">
        <v>93</v>
      </c>
    </row>
    <row r="413" spans="1:14" ht="13">
      <c r="A413" s="1">
        <v>10659</v>
      </c>
      <c r="B413" s="1" t="s">
        <v>661</v>
      </c>
      <c r="C413" s="1">
        <v>7</v>
      </c>
      <c r="D413" s="2">
        <v>34978</v>
      </c>
      <c r="E413" s="2">
        <v>35006</v>
      </c>
      <c r="F413" s="2">
        <v>34983</v>
      </c>
      <c r="G413" s="1">
        <v>2</v>
      </c>
      <c r="H413" s="1">
        <v>105.81</v>
      </c>
      <c r="I413" s="1" t="s">
        <v>662</v>
      </c>
      <c r="J413" s="1" t="s">
        <v>663</v>
      </c>
      <c r="K413" s="1" t="s">
        <v>85</v>
      </c>
      <c r="L413" s="1" t="s">
        <v>431</v>
      </c>
      <c r="M413" s="3" t="s">
        <v>664</v>
      </c>
      <c r="N413" s="1" t="s">
        <v>86</v>
      </c>
    </row>
    <row r="414" spans="1:14" ht="13">
      <c r="A414" s="1">
        <v>10660</v>
      </c>
      <c r="B414" s="1" t="s">
        <v>671</v>
      </c>
      <c r="C414" s="1">
        <v>8</v>
      </c>
      <c r="D414" s="2">
        <v>34981</v>
      </c>
      <c r="E414" s="2">
        <v>35009</v>
      </c>
      <c r="F414" s="2">
        <v>35018</v>
      </c>
      <c r="G414" s="1">
        <v>1</v>
      </c>
      <c r="H414" s="1">
        <v>111.29</v>
      </c>
      <c r="I414" s="1" t="s">
        <v>672</v>
      </c>
      <c r="J414" s="1" t="s">
        <v>673</v>
      </c>
      <c r="K414" s="1" t="s">
        <v>674</v>
      </c>
      <c r="L414" s="1" t="s">
        <v>128</v>
      </c>
      <c r="M414" s="3">
        <v>97827</v>
      </c>
      <c r="N414" s="1" t="s">
        <v>26</v>
      </c>
    </row>
    <row r="415" spans="1:14" ht="13">
      <c r="A415" s="1">
        <v>10661</v>
      </c>
      <c r="B415" s="1" t="s">
        <v>547</v>
      </c>
      <c r="C415" s="1">
        <v>7</v>
      </c>
      <c r="D415" s="2">
        <v>34982</v>
      </c>
      <c r="E415" s="2">
        <v>35010</v>
      </c>
      <c r="F415" s="2">
        <v>34988</v>
      </c>
      <c r="G415" s="1">
        <v>3</v>
      </c>
      <c r="H415" s="1">
        <v>17.55</v>
      </c>
      <c r="I415" s="1" t="s">
        <v>548</v>
      </c>
      <c r="J415" s="1" t="s">
        <v>549</v>
      </c>
      <c r="K415" s="1" t="s">
        <v>550</v>
      </c>
      <c r="L415" s="1" t="s">
        <v>551</v>
      </c>
      <c r="N415" s="1" t="s">
        <v>552</v>
      </c>
    </row>
    <row r="416" spans="1:14" ht="13">
      <c r="A416" s="1">
        <v>10662</v>
      </c>
      <c r="B416" s="1" t="s">
        <v>566</v>
      </c>
      <c r="C416" s="1">
        <v>3</v>
      </c>
      <c r="D416" s="2">
        <v>34982</v>
      </c>
      <c r="E416" s="2">
        <v>35010</v>
      </c>
      <c r="F416" s="2">
        <v>34991</v>
      </c>
      <c r="G416" s="1">
        <v>2</v>
      </c>
      <c r="H416" s="1">
        <v>1.28</v>
      </c>
      <c r="I416" s="1" t="s">
        <v>567</v>
      </c>
      <c r="J416" s="1" t="s">
        <v>568</v>
      </c>
      <c r="K416" s="1" t="s">
        <v>569</v>
      </c>
      <c r="L416" s="1" t="s">
        <v>128</v>
      </c>
      <c r="M416" s="3">
        <v>97219</v>
      </c>
      <c r="N416" s="1" t="s">
        <v>26</v>
      </c>
    </row>
    <row r="417" spans="1:14" ht="13">
      <c r="A417" s="1">
        <v>10663</v>
      </c>
      <c r="B417" s="1" t="s">
        <v>606</v>
      </c>
      <c r="C417" s="1">
        <v>2</v>
      </c>
      <c r="D417" s="2">
        <v>34983</v>
      </c>
      <c r="E417" s="2">
        <v>34997</v>
      </c>
      <c r="F417" s="2">
        <v>35006</v>
      </c>
      <c r="G417" s="1">
        <v>2</v>
      </c>
      <c r="H417" s="1">
        <v>113.15</v>
      </c>
      <c r="I417" s="1" t="s">
        <v>607</v>
      </c>
      <c r="J417" s="1" t="s">
        <v>608</v>
      </c>
      <c r="K417" s="1" t="s">
        <v>609</v>
      </c>
      <c r="M417" s="3">
        <v>13008</v>
      </c>
      <c r="N417" s="1" t="s">
        <v>140</v>
      </c>
    </row>
    <row r="418" spans="1:14" ht="13">
      <c r="A418" s="1">
        <v>10664</v>
      </c>
      <c r="B418" s="1" t="s">
        <v>601</v>
      </c>
      <c r="C418" s="1">
        <v>1</v>
      </c>
      <c r="D418" s="2">
        <v>34983</v>
      </c>
      <c r="E418" s="2">
        <v>35011</v>
      </c>
      <c r="F418" s="2">
        <v>34992</v>
      </c>
      <c r="G418" s="1">
        <v>3</v>
      </c>
      <c r="H418" s="1">
        <v>1.27</v>
      </c>
      <c r="I418" s="1" t="s">
        <v>602</v>
      </c>
      <c r="J418" s="1" t="s">
        <v>603</v>
      </c>
      <c r="K418" s="1" t="s">
        <v>604</v>
      </c>
      <c r="M418" s="3">
        <v>1675</v>
      </c>
      <c r="N418" s="1" t="s">
        <v>605</v>
      </c>
    </row>
    <row r="419" spans="1:14" ht="13">
      <c r="A419" s="1">
        <v>10665</v>
      </c>
      <c r="B419" s="1" t="s">
        <v>566</v>
      </c>
      <c r="C419" s="1">
        <v>1</v>
      </c>
      <c r="D419" s="2">
        <v>34984</v>
      </c>
      <c r="E419" s="2">
        <v>35012</v>
      </c>
      <c r="F419" s="2">
        <v>34990</v>
      </c>
      <c r="G419" s="1">
        <v>2</v>
      </c>
      <c r="H419" s="1">
        <v>26.31</v>
      </c>
      <c r="I419" s="1" t="s">
        <v>567</v>
      </c>
      <c r="J419" s="1" t="s">
        <v>568</v>
      </c>
      <c r="K419" s="1" t="s">
        <v>569</v>
      </c>
      <c r="L419" s="1" t="s">
        <v>128</v>
      </c>
      <c r="M419" s="3">
        <v>97219</v>
      </c>
      <c r="N419" s="1" t="s">
        <v>26</v>
      </c>
    </row>
    <row r="420" spans="1:14" ht="13">
      <c r="A420" s="1">
        <v>10666</v>
      </c>
      <c r="B420" s="1" t="s">
        <v>423</v>
      </c>
      <c r="C420" s="1">
        <v>7</v>
      </c>
      <c r="D420" s="2">
        <v>34985</v>
      </c>
      <c r="E420" s="2">
        <v>35013</v>
      </c>
      <c r="F420" s="2">
        <v>34995</v>
      </c>
      <c r="G420" s="1">
        <v>2</v>
      </c>
      <c r="H420" s="1">
        <v>232.42</v>
      </c>
      <c r="I420" s="1" t="s">
        <v>424</v>
      </c>
      <c r="J420" s="1" t="s">
        <v>425</v>
      </c>
      <c r="K420" s="1" t="s">
        <v>426</v>
      </c>
      <c r="M420" s="3">
        <v>1204</v>
      </c>
      <c r="N420" s="1" t="s">
        <v>422</v>
      </c>
    </row>
    <row r="421" spans="1:14" ht="13">
      <c r="A421" s="1">
        <v>10667</v>
      </c>
      <c r="B421" s="1" t="s">
        <v>439</v>
      </c>
      <c r="C421" s="1">
        <v>7</v>
      </c>
      <c r="D421" s="2">
        <v>34985</v>
      </c>
      <c r="E421" s="2">
        <v>35013</v>
      </c>
      <c r="F421" s="2">
        <v>34992</v>
      </c>
      <c r="G421" s="1">
        <v>1</v>
      </c>
      <c r="H421" s="1">
        <v>78.09</v>
      </c>
      <c r="I421" s="1" t="s">
        <v>440</v>
      </c>
      <c r="J421" s="1" t="s">
        <v>441</v>
      </c>
      <c r="K421" s="1" t="s">
        <v>442</v>
      </c>
      <c r="M421" s="3">
        <v>8010</v>
      </c>
      <c r="N421" s="1" t="s">
        <v>443</v>
      </c>
    </row>
    <row r="422" spans="1:14" ht="13">
      <c r="A422" s="1">
        <v>10668</v>
      </c>
      <c r="B422" s="1" t="s">
        <v>553</v>
      </c>
      <c r="C422" s="1">
        <v>1</v>
      </c>
      <c r="D422" s="2">
        <v>34988</v>
      </c>
      <c r="E422" s="2">
        <v>35016</v>
      </c>
      <c r="F422" s="2">
        <v>34996</v>
      </c>
      <c r="G422" s="1">
        <v>2</v>
      </c>
      <c r="H422" s="1">
        <v>47.22</v>
      </c>
      <c r="I422" s="1" t="s">
        <v>554</v>
      </c>
      <c r="J422" s="1" t="s">
        <v>555</v>
      </c>
      <c r="K422" s="1" t="s">
        <v>556</v>
      </c>
      <c r="M422" s="3">
        <v>70563</v>
      </c>
      <c r="N422" s="1" t="s">
        <v>93</v>
      </c>
    </row>
    <row r="423" spans="1:14" ht="13">
      <c r="A423" s="1">
        <v>10669</v>
      </c>
      <c r="B423" s="1" t="s">
        <v>616</v>
      </c>
      <c r="C423" s="1">
        <v>2</v>
      </c>
      <c r="D423" s="2">
        <v>34988</v>
      </c>
      <c r="E423" s="2">
        <v>35016</v>
      </c>
      <c r="F423" s="2">
        <v>34995</v>
      </c>
      <c r="G423" s="1">
        <v>1</v>
      </c>
      <c r="H423" s="1">
        <v>24.39</v>
      </c>
      <c r="I423" s="1" t="s">
        <v>617</v>
      </c>
      <c r="J423" s="1" t="s">
        <v>618</v>
      </c>
      <c r="K423" s="1" t="s">
        <v>619</v>
      </c>
      <c r="M423" s="3">
        <v>1734</v>
      </c>
      <c r="N423" s="1" t="s">
        <v>161</v>
      </c>
    </row>
    <row r="424" spans="1:14" ht="13">
      <c r="A424" s="1">
        <v>10670</v>
      </c>
      <c r="B424" s="1" t="s">
        <v>475</v>
      </c>
      <c r="C424" s="1">
        <v>4</v>
      </c>
      <c r="D424" s="2">
        <v>34989</v>
      </c>
      <c r="E424" s="2">
        <v>35017</v>
      </c>
      <c r="F424" s="2">
        <v>34991</v>
      </c>
      <c r="G424" s="1">
        <v>1</v>
      </c>
      <c r="H424" s="1">
        <v>203.48</v>
      </c>
      <c r="I424" s="1" t="s">
        <v>476</v>
      </c>
      <c r="J424" s="1" t="s">
        <v>477</v>
      </c>
      <c r="K424" s="1" t="s">
        <v>478</v>
      </c>
      <c r="M424" s="3">
        <v>80805</v>
      </c>
      <c r="N424" s="1" t="s">
        <v>93</v>
      </c>
    </row>
    <row r="425" spans="1:14" ht="13">
      <c r="A425" s="1">
        <v>10671</v>
      </c>
      <c r="B425" s="1" t="s">
        <v>765</v>
      </c>
      <c r="C425" s="1">
        <v>1</v>
      </c>
      <c r="D425" s="2">
        <v>34990</v>
      </c>
      <c r="E425" s="2">
        <v>35018</v>
      </c>
      <c r="F425" s="2">
        <v>34997</v>
      </c>
      <c r="G425" s="1">
        <v>1</v>
      </c>
      <c r="H425" s="1">
        <v>30.34</v>
      </c>
      <c r="I425" s="1" t="s">
        <v>766</v>
      </c>
      <c r="J425" s="1" t="s">
        <v>767</v>
      </c>
      <c r="K425" s="1" t="s">
        <v>579</v>
      </c>
      <c r="M425" s="3">
        <v>44000</v>
      </c>
      <c r="N425" s="1" t="s">
        <v>140</v>
      </c>
    </row>
    <row r="426" spans="1:14" ht="13">
      <c r="A426" s="1">
        <v>10672</v>
      </c>
      <c r="B426" s="1" t="s">
        <v>509</v>
      </c>
      <c r="C426" s="1">
        <v>9</v>
      </c>
      <c r="D426" s="2">
        <v>34990</v>
      </c>
      <c r="E426" s="2">
        <v>35004</v>
      </c>
      <c r="F426" s="2">
        <v>34999</v>
      </c>
      <c r="G426" s="1">
        <v>2</v>
      </c>
      <c r="H426" s="1">
        <v>95.75</v>
      </c>
      <c r="I426" s="1" t="s">
        <v>510</v>
      </c>
      <c r="J426" s="1" t="s">
        <v>511</v>
      </c>
      <c r="K426" s="1" t="s">
        <v>512</v>
      </c>
      <c r="M426" s="3" t="s">
        <v>513</v>
      </c>
      <c r="N426" s="1" t="s">
        <v>79</v>
      </c>
    </row>
    <row r="427" spans="1:14" ht="13">
      <c r="A427" s="1">
        <v>10673</v>
      </c>
      <c r="B427" s="1" t="s">
        <v>753</v>
      </c>
      <c r="C427" s="1">
        <v>2</v>
      </c>
      <c r="D427" s="2">
        <v>34991</v>
      </c>
      <c r="E427" s="2">
        <v>35019</v>
      </c>
      <c r="F427" s="2">
        <v>34992</v>
      </c>
      <c r="G427" s="1">
        <v>1</v>
      </c>
      <c r="H427" s="1">
        <v>22.76</v>
      </c>
      <c r="I427" s="1" t="s">
        <v>754</v>
      </c>
      <c r="J427" s="1" t="s">
        <v>755</v>
      </c>
      <c r="K427" s="1" t="s">
        <v>756</v>
      </c>
      <c r="M427" s="3">
        <v>21240</v>
      </c>
      <c r="N427" s="1" t="s">
        <v>176</v>
      </c>
    </row>
    <row r="428" spans="1:14" ht="13">
      <c r="A428" s="1">
        <v>10674</v>
      </c>
      <c r="B428" s="1" t="s">
        <v>580</v>
      </c>
      <c r="C428" s="1">
        <v>4</v>
      </c>
      <c r="D428" s="2">
        <v>34991</v>
      </c>
      <c r="E428" s="2">
        <v>35019</v>
      </c>
      <c r="F428" s="2">
        <v>35003</v>
      </c>
      <c r="G428" s="1">
        <v>2</v>
      </c>
      <c r="H428" s="1">
        <v>0.9</v>
      </c>
      <c r="I428" s="1" t="s">
        <v>581</v>
      </c>
      <c r="J428" s="1" t="s">
        <v>582</v>
      </c>
      <c r="K428" s="1" t="s">
        <v>583</v>
      </c>
      <c r="L428" s="1" t="s">
        <v>584</v>
      </c>
      <c r="M428" s="3" t="s">
        <v>585</v>
      </c>
      <c r="N428" s="1" t="s">
        <v>18</v>
      </c>
    </row>
    <row r="429" spans="1:14" ht="13">
      <c r="A429" s="1">
        <v>10675</v>
      </c>
      <c r="B429" s="1" t="s">
        <v>475</v>
      </c>
      <c r="C429" s="1">
        <v>5</v>
      </c>
      <c r="D429" s="2">
        <v>34992</v>
      </c>
      <c r="E429" s="2">
        <v>35020</v>
      </c>
      <c r="F429" s="2">
        <v>34996</v>
      </c>
      <c r="G429" s="1">
        <v>2</v>
      </c>
      <c r="H429" s="1">
        <v>31.85</v>
      </c>
      <c r="I429" s="1" t="s">
        <v>476</v>
      </c>
      <c r="J429" s="1" t="s">
        <v>477</v>
      </c>
      <c r="K429" s="1" t="s">
        <v>478</v>
      </c>
      <c r="M429" s="3">
        <v>80805</v>
      </c>
      <c r="N429" s="1" t="s">
        <v>93</v>
      </c>
    </row>
    <row r="430" spans="1:14" ht="13">
      <c r="A430" s="1">
        <v>10676</v>
      </c>
      <c r="B430" s="1" t="s">
        <v>502</v>
      </c>
      <c r="C430" s="1">
        <v>2</v>
      </c>
      <c r="D430" s="2">
        <v>34995</v>
      </c>
      <c r="E430" s="2">
        <v>35023</v>
      </c>
      <c r="F430" s="2">
        <v>35002</v>
      </c>
      <c r="G430" s="1">
        <v>2</v>
      </c>
      <c r="H430" s="1">
        <v>2.0099999999999998</v>
      </c>
      <c r="I430" s="1" t="s">
        <v>503</v>
      </c>
      <c r="J430" s="1" t="s">
        <v>504</v>
      </c>
      <c r="K430" s="1" t="s">
        <v>447</v>
      </c>
      <c r="M430" s="3">
        <v>5033</v>
      </c>
      <c r="N430" s="1" t="s">
        <v>448</v>
      </c>
    </row>
    <row r="431" spans="1:14" ht="13">
      <c r="A431" s="1">
        <v>10677</v>
      </c>
      <c r="B431" s="1" t="s">
        <v>650</v>
      </c>
      <c r="C431" s="1">
        <v>1</v>
      </c>
      <c r="D431" s="2">
        <v>34995</v>
      </c>
      <c r="E431" s="2">
        <v>35023</v>
      </c>
      <c r="F431" s="2">
        <v>34999</v>
      </c>
      <c r="G431" s="1">
        <v>3</v>
      </c>
      <c r="H431" s="1">
        <v>4.03</v>
      </c>
      <c r="I431" s="1" t="s">
        <v>651</v>
      </c>
      <c r="J431" s="1" t="s">
        <v>652</v>
      </c>
      <c r="K431" s="1" t="s">
        <v>447</v>
      </c>
      <c r="M431" s="3">
        <v>5023</v>
      </c>
      <c r="N431" s="1" t="s">
        <v>448</v>
      </c>
    </row>
    <row r="432" spans="1:14" ht="13">
      <c r="A432" s="1">
        <v>10678</v>
      </c>
      <c r="B432" s="1" t="s">
        <v>593</v>
      </c>
      <c r="C432" s="1">
        <v>7</v>
      </c>
      <c r="D432" s="2">
        <v>34996</v>
      </c>
      <c r="E432" s="2">
        <v>35024</v>
      </c>
      <c r="F432" s="2">
        <v>35019</v>
      </c>
      <c r="G432" s="1">
        <v>3</v>
      </c>
      <c r="H432" s="1">
        <v>388.98</v>
      </c>
      <c r="I432" s="1" t="s">
        <v>594</v>
      </c>
      <c r="J432" s="1" t="s">
        <v>595</v>
      </c>
      <c r="K432" s="1" t="s">
        <v>596</v>
      </c>
      <c r="L432" s="1" t="s">
        <v>597</v>
      </c>
      <c r="M432" s="3">
        <v>83720</v>
      </c>
      <c r="N432" s="1" t="s">
        <v>26</v>
      </c>
    </row>
    <row r="433" spans="1:14" ht="13">
      <c r="A433" s="1">
        <v>10679</v>
      </c>
      <c r="B433" s="1" t="s">
        <v>467</v>
      </c>
      <c r="C433" s="1">
        <v>8</v>
      </c>
      <c r="D433" s="2">
        <v>34996</v>
      </c>
      <c r="E433" s="2">
        <v>35024</v>
      </c>
      <c r="F433" s="2">
        <v>35003</v>
      </c>
      <c r="G433" s="1">
        <v>3</v>
      </c>
      <c r="H433" s="1">
        <v>27.94</v>
      </c>
      <c r="I433" s="1" t="s">
        <v>468</v>
      </c>
      <c r="J433" s="1" t="s">
        <v>469</v>
      </c>
      <c r="K433" s="1" t="s">
        <v>470</v>
      </c>
      <c r="M433" s="3">
        <v>67000</v>
      </c>
      <c r="N433" s="1" t="s">
        <v>140</v>
      </c>
    </row>
    <row r="434" spans="1:14" ht="13">
      <c r="A434" s="1">
        <v>10680</v>
      </c>
      <c r="B434" s="1" t="s">
        <v>561</v>
      </c>
      <c r="C434" s="1">
        <v>1</v>
      </c>
      <c r="D434" s="2">
        <v>34997</v>
      </c>
      <c r="E434" s="2">
        <v>35025</v>
      </c>
      <c r="F434" s="2">
        <v>34999</v>
      </c>
      <c r="G434" s="1">
        <v>1</v>
      </c>
      <c r="H434" s="1">
        <v>26.61</v>
      </c>
      <c r="I434" s="1" t="s">
        <v>562</v>
      </c>
      <c r="J434" s="1" t="s">
        <v>563</v>
      </c>
      <c r="K434" s="1" t="s">
        <v>564</v>
      </c>
      <c r="L434" s="1" t="s">
        <v>565</v>
      </c>
      <c r="M434" s="3">
        <v>99508</v>
      </c>
      <c r="N434" s="1" t="s">
        <v>26</v>
      </c>
    </row>
    <row r="435" spans="1:14" ht="13">
      <c r="A435" s="1">
        <v>10681</v>
      </c>
      <c r="B435" s="1" t="s">
        <v>735</v>
      </c>
      <c r="C435" s="1">
        <v>3</v>
      </c>
      <c r="D435" s="2">
        <v>34998</v>
      </c>
      <c r="E435" s="2">
        <v>35026</v>
      </c>
      <c r="F435" s="2">
        <v>35003</v>
      </c>
      <c r="G435" s="1">
        <v>3</v>
      </c>
      <c r="H435" s="1">
        <v>76.13</v>
      </c>
      <c r="I435" s="1" t="s">
        <v>736</v>
      </c>
      <c r="J435" s="1" t="s">
        <v>737</v>
      </c>
      <c r="K435" s="1" t="s">
        <v>738</v>
      </c>
      <c r="L435" s="1" t="s">
        <v>128</v>
      </c>
      <c r="M435" s="3">
        <v>97403</v>
      </c>
      <c r="N435" s="1" t="s">
        <v>26</v>
      </c>
    </row>
    <row r="436" spans="1:14" ht="13">
      <c r="A436" s="1">
        <v>10682</v>
      </c>
      <c r="B436" s="1" t="s">
        <v>650</v>
      </c>
      <c r="C436" s="1">
        <v>3</v>
      </c>
      <c r="D436" s="2">
        <v>34998</v>
      </c>
      <c r="E436" s="2">
        <v>35026</v>
      </c>
      <c r="F436" s="2">
        <v>35004</v>
      </c>
      <c r="G436" s="1">
        <v>2</v>
      </c>
      <c r="H436" s="1">
        <v>36.130000000000003</v>
      </c>
      <c r="I436" s="1" t="s">
        <v>651</v>
      </c>
      <c r="J436" s="1" t="s">
        <v>652</v>
      </c>
      <c r="K436" s="1" t="s">
        <v>447</v>
      </c>
      <c r="M436" s="3">
        <v>5023</v>
      </c>
      <c r="N436" s="1" t="s">
        <v>448</v>
      </c>
    </row>
    <row r="437" spans="1:14" ht="13">
      <c r="A437" s="1">
        <v>10683</v>
      </c>
      <c r="B437" s="1" t="s">
        <v>576</v>
      </c>
      <c r="C437" s="1">
        <v>2</v>
      </c>
      <c r="D437" s="2">
        <v>34999</v>
      </c>
      <c r="E437" s="2">
        <v>35027</v>
      </c>
      <c r="F437" s="2">
        <v>35004</v>
      </c>
      <c r="G437" s="1">
        <v>1</v>
      </c>
      <c r="H437" s="1">
        <v>4.4000000000000004</v>
      </c>
      <c r="I437" s="1" t="s">
        <v>577</v>
      </c>
      <c r="J437" s="1" t="s">
        <v>578</v>
      </c>
      <c r="K437" s="1" t="s">
        <v>579</v>
      </c>
      <c r="M437" s="3">
        <v>44000</v>
      </c>
      <c r="N437" s="1" t="s">
        <v>140</v>
      </c>
    </row>
    <row r="438" spans="1:14" ht="13">
      <c r="A438" s="1">
        <v>10684</v>
      </c>
      <c r="B438" s="1" t="s">
        <v>449</v>
      </c>
      <c r="C438" s="1">
        <v>3</v>
      </c>
      <c r="D438" s="2">
        <v>34999</v>
      </c>
      <c r="E438" s="2">
        <v>35027</v>
      </c>
      <c r="F438" s="2">
        <v>35003</v>
      </c>
      <c r="G438" s="1">
        <v>1</v>
      </c>
      <c r="H438" s="1">
        <v>145.63</v>
      </c>
      <c r="I438" s="1" t="s">
        <v>450</v>
      </c>
      <c r="J438" s="1" t="s">
        <v>451</v>
      </c>
      <c r="K438" s="1" t="s">
        <v>452</v>
      </c>
      <c r="M438" s="3">
        <v>50739</v>
      </c>
      <c r="N438" s="1" t="s">
        <v>93</v>
      </c>
    </row>
    <row r="439" spans="1:14" ht="13">
      <c r="A439" s="1">
        <v>10685</v>
      </c>
      <c r="B439" s="1" t="s">
        <v>703</v>
      </c>
      <c r="C439" s="1">
        <v>4</v>
      </c>
      <c r="D439" s="2">
        <v>35002</v>
      </c>
      <c r="E439" s="2">
        <v>35016</v>
      </c>
      <c r="F439" s="2">
        <v>35006</v>
      </c>
      <c r="G439" s="1">
        <v>2</v>
      </c>
      <c r="H439" s="1">
        <v>33.75</v>
      </c>
      <c r="I439" s="1" t="s">
        <v>704</v>
      </c>
      <c r="J439" s="1" t="s">
        <v>705</v>
      </c>
      <c r="K439" s="1" t="s">
        <v>706</v>
      </c>
      <c r="L439" s="1" t="s">
        <v>431</v>
      </c>
      <c r="M439" s="3" t="s">
        <v>707</v>
      </c>
      <c r="N439" s="1" t="s">
        <v>86</v>
      </c>
    </row>
    <row r="440" spans="1:14" ht="13">
      <c r="A440" s="1">
        <v>10686</v>
      </c>
      <c r="B440" s="1" t="s">
        <v>628</v>
      </c>
      <c r="C440" s="1">
        <v>2</v>
      </c>
      <c r="D440" s="2">
        <v>35003</v>
      </c>
      <c r="E440" s="2">
        <v>35031</v>
      </c>
      <c r="F440" s="2">
        <v>35011</v>
      </c>
      <c r="G440" s="1">
        <v>1</v>
      </c>
      <c r="H440" s="1">
        <v>96.5</v>
      </c>
      <c r="I440" s="1" t="s">
        <v>629</v>
      </c>
      <c r="J440" s="1" t="s">
        <v>630</v>
      </c>
      <c r="K440" s="1" t="s">
        <v>631</v>
      </c>
      <c r="M440" s="3">
        <v>5020</v>
      </c>
      <c r="N440" s="1" t="s">
        <v>443</v>
      </c>
    </row>
    <row r="441" spans="1:14" ht="13">
      <c r="A441" s="1">
        <v>10687</v>
      </c>
      <c r="B441" s="1" t="s">
        <v>547</v>
      </c>
      <c r="C441" s="1">
        <v>9</v>
      </c>
      <c r="D441" s="2">
        <v>35003</v>
      </c>
      <c r="E441" s="2">
        <v>35031</v>
      </c>
      <c r="F441" s="2">
        <v>35033</v>
      </c>
      <c r="G441" s="1">
        <v>2</v>
      </c>
      <c r="H441" s="1">
        <v>296.43</v>
      </c>
      <c r="I441" s="1" t="s">
        <v>548</v>
      </c>
      <c r="J441" s="1" t="s">
        <v>549</v>
      </c>
      <c r="K441" s="1" t="s">
        <v>550</v>
      </c>
      <c r="L441" s="1" t="s">
        <v>551</v>
      </c>
      <c r="N441" s="1" t="s">
        <v>552</v>
      </c>
    </row>
    <row r="442" spans="1:14" ht="13">
      <c r="A442" s="1">
        <v>10688</v>
      </c>
      <c r="B442" s="1" t="s">
        <v>657</v>
      </c>
      <c r="C442" s="1">
        <v>4</v>
      </c>
      <c r="D442" s="2">
        <v>35004</v>
      </c>
      <c r="E442" s="2">
        <v>35018</v>
      </c>
      <c r="F442" s="2">
        <v>35010</v>
      </c>
      <c r="G442" s="1">
        <v>2</v>
      </c>
      <c r="H442" s="1">
        <v>299.08999999999997</v>
      </c>
      <c r="I442" s="1" t="s">
        <v>658</v>
      </c>
      <c r="J442" s="1" t="s">
        <v>659</v>
      </c>
      <c r="K442" s="1" t="s">
        <v>660</v>
      </c>
      <c r="M442" s="3">
        <v>8200</v>
      </c>
      <c r="N442" s="1" t="s">
        <v>161</v>
      </c>
    </row>
    <row r="443" spans="1:14" ht="13">
      <c r="A443" s="1">
        <v>10689</v>
      </c>
      <c r="B443" s="1" t="s">
        <v>509</v>
      </c>
      <c r="C443" s="1">
        <v>1</v>
      </c>
      <c r="D443" s="2">
        <v>35004</v>
      </c>
      <c r="E443" s="2">
        <v>35032</v>
      </c>
      <c r="F443" s="2">
        <v>35010</v>
      </c>
      <c r="G443" s="1">
        <v>2</v>
      </c>
      <c r="H443" s="1">
        <v>13.42</v>
      </c>
      <c r="I443" s="1" t="s">
        <v>510</v>
      </c>
      <c r="J443" s="1" t="s">
        <v>511</v>
      </c>
      <c r="K443" s="1" t="s">
        <v>512</v>
      </c>
      <c r="M443" s="3" t="s">
        <v>513</v>
      </c>
      <c r="N443" s="1" t="s">
        <v>79</v>
      </c>
    </row>
    <row r="444" spans="1:14" ht="13">
      <c r="A444" s="1">
        <v>10690</v>
      </c>
      <c r="B444" s="1" t="s">
        <v>402</v>
      </c>
      <c r="C444" s="1">
        <v>1</v>
      </c>
      <c r="D444" s="2">
        <v>35005</v>
      </c>
      <c r="E444" s="2">
        <v>35033</v>
      </c>
      <c r="F444" s="2">
        <v>35006</v>
      </c>
      <c r="G444" s="1">
        <v>1</v>
      </c>
      <c r="H444" s="1">
        <v>15.8</v>
      </c>
      <c r="I444" s="1" t="s">
        <v>403</v>
      </c>
      <c r="J444" s="1" t="s">
        <v>404</v>
      </c>
      <c r="K444" s="1" t="s">
        <v>405</v>
      </c>
      <c r="L444" s="1" t="s">
        <v>406</v>
      </c>
      <c r="M444" s="3" t="s">
        <v>407</v>
      </c>
      <c r="N444" s="1" t="s">
        <v>86</v>
      </c>
    </row>
    <row r="445" spans="1:14" ht="13">
      <c r="A445" s="1">
        <v>10691</v>
      </c>
      <c r="B445" s="1" t="s">
        <v>494</v>
      </c>
      <c r="C445" s="1">
        <v>2</v>
      </c>
      <c r="D445" s="2">
        <v>35006</v>
      </c>
      <c r="E445" s="2">
        <v>35048</v>
      </c>
      <c r="F445" s="2">
        <v>35025</v>
      </c>
      <c r="G445" s="1">
        <v>2</v>
      </c>
      <c r="H445" s="1">
        <v>810.05</v>
      </c>
      <c r="I445" s="1" t="s">
        <v>495</v>
      </c>
      <c r="J445" s="1" t="s">
        <v>496</v>
      </c>
      <c r="K445" s="1" t="s">
        <v>497</v>
      </c>
      <c r="M445" s="3">
        <v>1307</v>
      </c>
      <c r="N445" s="1" t="s">
        <v>93</v>
      </c>
    </row>
    <row r="446" spans="1:14" ht="13">
      <c r="A446" s="1">
        <v>10692</v>
      </c>
      <c r="B446" s="1" t="s">
        <v>762</v>
      </c>
      <c r="C446" s="1">
        <v>4</v>
      </c>
      <c r="D446" s="2">
        <v>35006</v>
      </c>
      <c r="E446" s="2">
        <v>35034</v>
      </c>
      <c r="F446" s="2">
        <v>35016</v>
      </c>
      <c r="G446" s="1">
        <v>2</v>
      </c>
      <c r="H446" s="1">
        <v>61.02</v>
      </c>
      <c r="I446" s="1" t="s">
        <v>768</v>
      </c>
      <c r="J446" s="1" t="s">
        <v>764</v>
      </c>
      <c r="K446" s="1" t="s">
        <v>92</v>
      </c>
      <c r="M446" s="3">
        <v>12209</v>
      </c>
      <c r="N446" s="1" t="s">
        <v>93</v>
      </c>
    </row>
    <row r="447" spans="1:14" ht="13">
      <c r="A447" s="1">
        <v>10693</v>
      </c>
      <c r="B447" s="1" t="s">
        <v>484</v>
      </c>
      <c r="C447" s="1">
        <v>3</v>
      </c>
      <c r="D447" s="2">
        <v>35009</v>
      </c>
      <c r="E447" s="2">
        <v>35023</v>
      </c>
      <c r="F447" s="2">
        <v>35013</v>
      </c>
      <c r="G447" s="1">
        <v>3</v>
      </c>
      <c r="H447" s="1">
        <v>139.34</v>
      </c>
      <c r="I447" s="1" t="s">
        <v>485</v>
      </c>
      <c r="J447" s="1" t="s">
        <v>486</v>
      </c>
      <c r="K447" s="1" t="s">
        <v>487</v>
      </c>
      <c r="L447" s="1" t="s">
        <v>488</v>
      </c>
      <c r="M447" s="3">
        <v>98124</v>
      </c>
      <c r="N447" s="1" t="s">
        <v>26</v>
      </c>
    </row>
    <row r="448" spans="1:14" ht="13">
      <c r="A448" s="1">
        <v>10694</v>
      </c>
      <c r="B448" s="1" t="s">
        <v>494</v>
      </c>
      <c r="C448" s="1">
        <v>8</v>
      </c>
      <c r="D448" s="2">
        <v>35009</v>
      </c>
      <c r="E448" s="2">
        <v>35037</v>
      </c>
      <c r="F448" s="2">
        <v>35012</v>
      </c>
      <c r="G448" s="1">
        <v>3</v>
      </c>
      <c r="H448" s="1">
        <v>398.36</v>
      </c>
      <c r="I448" s="1" t="s">
        <v>495</v>
      </c>
      <c r="J448" s="1" t="s">
        <v>496</v>
      </c>
      <c r="K448" s="1" t="s">
        <v>497</v>
      </c>
      <c r="M448" s="3">
        <v>1307</v>
      </c>
      <c r="N448" s="1" t="s">
        <v>93</v>
      </c>
    </row>
    <row r="449" spans="1:14" ht="13">
      <c r="A449" s="1">
        <v>10695</v>
      </c>
      <c r="B449" s="1" t="s">
        <v>753</v>
      </c>
      <c r="C449" s="1">
        <v>7</v>
      </c>
      <c r="D449" s="2">
        <v>35010</v>
      </c>
      <c r="E449" s="2">
        <v>35052</v>
      </c>
      <c r="F449" s="2">
        <v>35017</v>
      </c>
      <c r="G449" s="1">
        <v>1</v>
      </c>
      <c r="H449" s="1">
        <v>16.72</v>
      </c>
      <c r="I449" s="1" t="s">
        <v>754</v>
      </c>
      <c r="J449" s="1" t="s">
        <v>755</v>
      </c>
      <c r="K449" s="1" t="s">
        <v>756</v>
      </c>
      <c r="M449" s="3">
        <v>21240</v>
      </c>
      <c r="N449" s="1" t="s">
        <v>176</v>
      </c>
    </row>
    <row r="450" spans="1:14" ht="13">
      <c r="A450" s="1">
        <v>10696</v>
      </c>
      <c r="B450" s="1" t="s">
        <v>484</v>
      </c>
      <c r="C450" s="1">
        <v>8</v>
      </c>
      <c r="D450" s="2">
        <v>35011</v>
      </c>
      <c r="E450" s="2">
        <v>35053</v>
      </c>
      <c r="F450" s="2">
        <v>35017</v>
      </c>
      <c r="G450" s="1">
        <v>3</v>
      </c>
      <c r="H450" s="1">
        <v>102.55</v>
      </c>
      <c r="I450" s="1" t="s">
        <v>485</v>
      </c>
      <c r="J450" s="1" t="s">
        <v>486</v>
      </c>
      <c r="K450" s="1" t="s">
        <v>487</v>
      </c>
      <c r="L450" s="1" t="s">
        <v>488</v>
      </c>
      <c r="M450" s="3">
        <v>98124</v>
      </c>
      <c r="N450" s="1" t="s">
        <v>26</v>
      </c>
    </row>
    <row r="451" spans="1:14" ht="13">
      <c r="A451" s="1">
        <v>10697</v>
      </c>
      <c r="B451" s="1" t="s">
        <v>685</v>
      </c>
      <c r="C451" s="1">
        <v>3</v>
      </c>
      <c r="D451" s="2">
        <v>35011</v>
      </c>
      <c r="E451" s="2">
        <v>35039</v>
      </c>
      <c r="F451" s="2">
        <v>35017</v>
      </c>
      <c r="G451" s="1">
        <v>1</v>
      </c>
      <c r="H451" s="1">
        <v>45.52</v>
      </c>
      <c r="I451" s="1" t="s">
        <v>686</v>
      </c>
      <c r="J451" s="1" t="s">
        <v>687</v>
      </c>
      <c r="K451" s="1" t="s">
        <v>688</v>
      </c>
      <c r="L451" s="1" t="s">
        <v>689</v>
      </c>
      <c r="M451" s="3">
        <v>4980</v>
      </c>
      <c r="N451" s="1" t="s">
        <v>438</v>
      </c>
    </row>
    <row r="452" spans="1:14" ht="13">
      <c r="A452" s="1">
        <v>10698</v>
      </c>
      <c r="B452" s="1" t="s">
        <v>439</v>
      </c>
      <c r="C452" s="1">
        <v>4</v>
      </c>
      <c r="D452" s="2">
        <v>35012</v>
      </c>
      <c r="E452" s="2">
        <v>35040</v>
      </c>
      <c r="F452" s="2">
        <v>35020</v>
      </c>
      <c r="G452" s="1">
        <v>1</v>
      </c>
      <c r="H452" s="1">
        <v>272.47000000000003</v>
      </c>
      <c r="I452" s="1" t="s">
        <v>440</v>
      </c>
      <c r="J452" s="1" t="s">
        <v>441</v>
      </c>
      <c r="K452" s="1" t="s">
        <v>442</v>
      </c>
      <c r="M452" s="3">
        <v>8010</v>
      </c>
      <c r="N452" s="1" t="s">
        <v>443</v>
      </c>
    </row>
    <row r="453" spans="1:14" ht="13">
      <c r="A453" s="1">
        <v>10699</v>
      </c>
      <c r="B453" s="1" t="s">
        <v>505</v>
      </c>
      <c r="C453" s="1">
        <v>3</v>
      </c>
      <c r="D453" s="2">
        <v>35012</v>
      </c>
      <c r="E453" s="2">
        <v>35040</v>
      </c>
      <c r="F453" s="2">
        <v>35016</v>
      </c>
      <c r="G453" s="1">
        <v>3</v>
      </c>
      <c r="H453" s="1">
        <v>0.57999999999999996</v>
      </c>
      <c r="I453" s="1" t="s">
        <v>506</v>
      </c>
      <c r="J453" s="1" t="s">
        <v>507</v>
      </c>
      <c r="K453" s="1" t="s">
        <v>508</v>
      </c>
      <c r="M453" s="3">
        <v>4179</v>
      </c>
      <c r="N453" s="1" t="s">
        <v>93</v>
      </c>
    </row>
    <row r="454" spans="1:14" ht="13">
      <c r="A454" s="1">
        <v>10700</v>
      </c>
      <c r="B454" s="1" t="s">
        <v>593</v>
      </c>
      <c r="C454" s="1">
        <v>3</v>
      </c>
      <c r="D454" s="2">
        <v>35013</v>
      </c>
      <c r="E454" s="2">
        <v>35041</v>
      </c>
      <c r="F454" s="2">
        <v>35019</v>
      </c>
      <c r="G454" s="1">
        <v>1</v>
      </c>
      <c r="H454" s="1">
        <v>65.099999999999994</v>
      </c>
      <c r="I454" s="1" t="s">
        <v>594</v>
      </c>
      <c r="J454" s="1" t="s">
        <v>595</v>
      </c>
      <c r="K454" s="1" t="s">
        <v>596</v>
      </c>
      <c r="L454" s="1" t="s">
        <v>597</v>
      </c>
      <c r="M454" s="3">
        <v>83720</v>
      </c>
      <c r="N454" s="1" t="s">
        <v>26</v>
      </c>
    </row>
    <row r="455" spans="1:14" ht="13">
      <c r="A455" s="1">
        <v>10701</v>
      </c>
      <c r="B455" s="1" t="s">
        <v>547</v>
      </c>
      <c r="C455" s="1">
        <v>6</v>
      </c>
      <c r="D455" s="2">
        <v>35016</v>
      </c>
      <c r="E455" s="2">
        <v>35030</v>
      </c>
      <c r="F455" s="2">
        <v>35018</v>
      </c>
      <c r="G455" s="1">
        <v>3</v>
      </c>
      <c r="H455" s="1">
        <v>220.31</v>
      </c>
      <c r="I455" s="1" t="s">
        <v>548</v>
      </c>
      <c r="J455" s="1" t="s">
        <v>549</v>
      </c>
      <c r="K455" s="1" t="s">
        <v>550</v>
      </c>
      <c r="L455" s="1" t="s">
        <v>551</v>
      </c>
      <c r="N455" s="1" t="s">
        <v>552</v>
      </c>
    </row>
    <row r="456" spans="1:14" ht="13">
      <c r="A456" s="1">
        <v>10702</v>
      </c>
      <c r="B456" s="1" t="s">
        <v>762</v>
      </c>
      <c r="C456" s="1">
        <v>4</v>
      </c>
      <c r="D456" s="2">
        <v>35016</v>
      </c>
      <c r="E456" s="2">
        <v>35058</v>
      </c>
      <c r="F456" s="2">
        <v>35024</v>
      </c>
      <c r="G456" s="1">
        <v>1</v>
      </c>
      <c r="H456" s="1">
        <v>23.94</v>
      </c>
      <c r="I456" s="1" t="s">
        <v>768</v>
      </c>
      <c r="J456" s="1" t="s">
        <v>764</v>
      </c>
      <c r="K456" s="1" t="s">
        <v>92</v>
      </c>
      <c r="M456" s="3">
        <v>12209</v>
      </c>
      <c r="N456" s="1" t="s">
        <v>93</v>
      </c>
    </row>
    <row r="457" spans="1:14" ht="13">
      <c r="A457" s="1">
        <v>10703</v>
      </c>
      <c r="B457" s="1" t="s">
        <v>462</v>
      </c>
      <c r="C457" s="1">
        <v>6</v>
      </c>
      <c r="D457" s="2">
        <v>35017</v>
      </c>
      <c r="E457" s="2">
        <v>35045</v>
      </c>
      <c r="F457" s="2">
        <v>35023</v>
      </c>
      <c r="G457" s="1">
        <v>2</v>
      </c>
      <c r="H457" s="1">
        <v>152.30000000000001</v>
      </c>
      <c r="I457" s="1" t="s">
        <v>463</v>
      </c>
      <c r="J457" s="1" t="s">
        <v>464</v>
      </c>
      <c r="K457" s="1" t="s">
        <v>465</v>
      </c>
      <c r="M457" s="3" t="s">
        <v>466</v>
      </c>
      <c r="N457" s="1" t="s">
        <v>79</v>
      </c>
    </row>
    <row r="458" spans="1:14" ht="13">
      <c r="A458" s="1">
        <v>10704</v>
      </c>
      <c r="B458" s="1" t="s">
        <v>661</v>
      </c>
      <c r="C458" s="1">
        <v>6</v>
      </c>
      <c r="D458" s="2">
        <v>35017</v>
      </c>
      <c r="E458" s="2">
        <v>35045</v>
      </c>
      <c r="F458" s="2">
        <v>35041</v>
      </c>
      <c r="G458" s="1">
        <v>1</v>
      </c>
      <c r="H458" s="1">
        <v>4.78</v>
      </c>
      <c r="I458" s="1" t="s">
        <v>662</v>
      </c>
      <c r="J458" s="1" t="s">
        <v>663</v>
      </c>
      <c r="K458" s="1" t="s">
        <v>85</v>
      </c>
      <c r="L458" s="1" t="s">
        <v>431</v>
      </c>
      <c r="M458" s="3" t="s">
        <v>664</v>
      </c>
      <c r="N458" s="1" t="s">
        <v>86</v>
      </c>
    </row>
    <row r="459" spans="1:14" ht="13">
      <c r="A459" s="1">
        <v>10705</v>
      </c>
      <c r="B459" s="1" t="s">
        <v>433</v>
      </c>
      <c r="C459" s="1">
        <v>9</v>
      </c>
      <c r="D459" s="2">
        <v>35018</v>
      </c>
      <c r="E459" s="2">
        <v>35046</v>
      </c>
      <c r="F459" s="2">
        <v>35052</v>
      </c>
      <c r="G459" s="1">
        <v>2</v>
      </c>
      <c r="H459" s="1">
        <v>3.52</v>
      </c>
      <c r="I459" s="1" t="s">
        <v>434</v>
      </c>
      <c r="J459" s="1" t="s">
        <v>435</v>
      </c>
      <c r="K459" s="1" t="s">
        <v>436</v>
      </c>
      <c r="L459" s="1" t="s">
        <v>437</v>
      </c>
      <c r="M459" s="3">
        <v>5022</v>
      </c>
      <c r="N459" s="1" t="s">
        <v>438</v>
      </c>
    </row>
    <row r="460" spans="1:14" ht="13">
      <c r="A460" s="1">
        <v>10706</v>
      </c>
      <c r="B460" s="1" t="s">
        <v>561</v>
      </c>
      <c r="C460" s="1">
        <v>8</v>
      </c>
      <c r="D460" s="2">
        <v>35019</v>
      </c>
      <c r="E460" s="2">
        <v>35047</v>
      </c>
      <c r="F460" s="2">
        <v>35024</v>
      </c>
      <c r="G460" s="1">
        <v>3</v>
      </c>
      <c r="H460" s="1">
        <v>135.63</v>
      </c>
      <c r="I460" s="1" t="s">
        <v>562</v>
      </c>
      <c r="J460" s="1" t="s">
        <v>563</v>
      </c>
      <c r="K460" s="1" t="s">
        <v>564</v>
      </c>
      <c r="L460" s="1" t="s">
        <v>565</v>
      </c>
      <c r="M460" s="3">
        <v>99508</v>
      </c>
      <c r="N460" s="1" t="s">
        <v>26</v>
      </c>
    </row>
    <row r="461" spans="1:14" ht="13">
      <c r="A461" s="1">
        <v>10707</v>
      </c>
      <c r="B461" s="1" t="s">
        <v>632</v>
      </c>
      <c r="C461" s="1">
        <v>4</v>
      </c>
      <c r="D461" s="2">
        <v>35019</v>
      </c>
      <c r="E461" s="2">
        <v>35033</v>
      </c>
      <c r="F461" s="2">
        <v>35026</v>
      </c>
      <c r="G461" s="1">
        <v>3</v>
      </c>
      <c r="H461" s="1">
        <v>21.74</v>
      </c>
      <c r="I461" s="1" t="s">
        <v>633</v>
      </c>
      <c r="J461" s="1" t="s">
        <v>634</v>
      </c>
      <c r="K461" s="1" t="s">
        <v>635</v>
      </c>
      <c r="L461" s="1" t="s">
        <v>636</v>
      </c>
      <c r="M461" s="3" t="s">
        <v>637</v>
      </c>
      <c r="N461" s="1" t="s">
        <v>18</v>
      </c>
    </row>
    <row r="462" spans="1:14" ht="13">
      <c r="A462" s="1">
        <v>10708</v>
      </c>
      <c r="B462" s="1" t="s">
        <v>573</v>
      </c>
      <c r="C462" s="1">
        <v>6</v>
      </c>
      <c r="D462" s="2">
        <v>35020</v>
      </c>
      <c r="E462" s="2">
        <v>35062</v>
      </c>
      <c r="F462" s="2">
        <v>35039</v>
      </c>
      <c r="G462" s="1">
        <v>2</v>
      </c>
      <c r="H462" s="1">
        <v>2.96</v>
      </c>
      <c r="I462" s="1" t="s">
        <v>574</v>
      </c>
      <c r="J462" s="1" t="s">
        <v>575</v>
      </c>
      <c r="K462" s="1" t="s">
        <v>569</v>
      </c>
      <c r="L462" s="1" t="s">
        <v>128</v>
      </c>
      <c r="M462" s="3">
        <v>97201</v>
      </c>
      <c r="N462" s="1" t="s">
        <v>26</v>
      </c>
    </row>
    <row r="463" spans="1:14" ht="13">
      <c r="A463" s="1">
        <v>10709</v>
      </c>
      <c r="B463" s="1" t="s">
        <v>703</v>
      </c>
      <c r="C463" s="1">
        <v>1</v>
      </c>
      <c r="D463" s="2">
        <v>35020</v>
      </c>
      <c r="E463" s="2">
        <v>35048</v>
      </c>
      <c r="F463" s="2">
        <v>35054</v>
      </c>
      <c r="G463" s="1">
        <v>3</v>
      </c>
      <c r="H463" s="1">
        <v>210.8</v>
      </c>
      <c r="I463" s="1" t="s">
        <v>704</v>
      </c>
      <c r="J463" s="1" t="s">
        <v>705</v>
      </c>
      <c r="K463" s="1" t="s">
        <v>706</v>
      </c>
      <c r="L463" s="1" t="s">
        <v>431</v>
      </c>
      <c r="M463" s="3" t="s">
        <v>707</v>
      </c>
      <c r="N463" s="1" t="s">
        <v>86</v>
      </c>
    </row>
    <row r="464" spans="1:14" ht="13">
      <c r="A464" s="1">
        <v>10710</v>
      </c>
      <c r="B464" s="1" t="s">
        <v>699</v>
      </c>
      <c r="C464" s="1">
        <v>1</v>
      </c>
      <c r="D464" s="2">
        <v>35023</v>
      </c>
      <c r="E464" s="2">
        <v>35051</v>
      </c>
      <c r="F464" s="2">
        <v>35026</v>
      </c>
      <c r="G464" s="1">
        <v>1</v>
      </c>
      <c r="H464" s="1">
        <v>4.9800000000000004</v>
      </c>
      <c r="I464" s="1" t="s">
        <v>700</v>
      </c>
      <c r="J464" s="1" t="s">
        <v>701</v>
      </c>
      <c r="K464" s="1" t="s">
        <v>702</v>
      </c>
      <c r="M464" s="3">
        <v>10100</v>
      </c>
      <c r="N464" s="1" t="s">
        <v>113</v>
      </c>
    </row>
    <row r="465" spans="1:14" ht="13">
      <c r="A465" s="1">
        <v>10711</v>
      </c>
      <c r="B465" s="1" t="s">
        <v>593</v>
      </c>
      <c r="C465" s="1">
        <v>5</v>
      </c>
      <c r="D465" s="2">
        <v>35024</v>
      </c>
      <c r="E465" s="2">
        <v>35066</v>
      </c>
      <c r="F465" s="2">
        <v>35032</v>
      </c>
      <c r="G465" s="1">
        <v>2</v>
      </c>
      <c r="H465" s="1">
        <v>52.41</v>
      </c>
      <c r="I465" s="1" t="s">
        <v>594</v>
      </c>
      <c r="J465" s="1" t="s">
        <v>595</v>
      </c>
      <c r="K465" s="1" t="s">
        <v>596</v>
      </c>
      <c r="L465" s="1" t="s">
        <v>597</v>
      </c>
      <c r="M465" s="3">
        <v>83720</v>
      </c>
      <c r="N465" s="1" t="s">
        <v>26</v>
      </c>
    </row>
    <row r="466" spans="1:14" ht="13">
      <c r="A466" s="1">
        <v>10712</v>
      </c>
      <c r="B466" s="1" t="s">
        <v>547</v>
      </c>
      <c r="C466" s="1">
        <v>3</v>
      </c>
      <c r="D466" s="2">
        <v>35024</v>
      </c>
      <c r="E466" s="2">
        <v>35052</v>
      </c>
      <c r="F466" s="2">
        <v>35034</v>
      </c>
      <c r="G466" s="1">
        <v>1</v>
      </c>
      <c r="H466" s="1">
        <v>89.93</v>
      </c>
      <c r="I466" s="1" t="s">
        <v>548</v>
      </c>
      <c r="J466" s="1" t="s">
        <v>549</v>
      </c>
      <c r="K466" s="1" t="s">
        <v>550</v>
      </c>
      <c r="L466" s="1" t="s">
        <v>551</v>
      </c>
      <c r="N466" s="1" t="s">
        <v>552</v>
      </c>
    </row>
    <row r="467" spans="1:14" ht="13">
      <c r="A467" s="1">
        <v>10713</v>
      </c>
      <c r="B467" s="1" t="s">
        <v>593</v>
      </c>
      <c r="C467" s="1">
        <v>1</v>
      </c>
      <c r="D467" s="2">
        <v>35025</v>
      </c>
      <c r="E467" s="2">
        <v>35053</v>
      </c>
      <c r="F467" s="2">
        <v>35027</v>
      </c>
      <c r="G467" s="1">
        <v>1</v>
      </c>
      <c r="H467" s="1">
        <v>167.05</v>
      </c>
      <c r="I467" s="1" t="s">
        <v>594</v>
      </c>
      <c r="J467" s="1" t="s">
        <v>595</v>
      </c>
      <c r="K467" s="1" t="s">
        <v>596</v>
      </c>
      <c r="L467" s="1" t="s">
        <v>597</v>
      </c>
      <c r="M467" s="3">
        <v>83720</v>
      </c>
      <c r="N467" s="1" t="s">
        <v>26</v>
      </c>
    </row>
    <row r="468" spans="1:14" ht="13">
      <c r="A468" s="1">
        <v>10714</v>
      </c>
      <c r="B468" s="1" t="s">
        <v>593</v>
      </c>
      <c r="C468" s="1">
        <v>5</v>
      </c>
      <c r="D468" s="2">
        <v>35025</v>
      </c>
      <c r="E468" s="2">
        <v>35053</v>
      </c>
      <c r="F468" s="2">
        <v>35030</v>
      </c>
      <c r="G468" s="1">
        <v>3</v>
      </c>
      <c r="H468" s="1">
        <v>24.49</v>
      </c>
      <c r="I468" s="1" t="s">
        <v>594</v>
      </c>
      <c r="J468" s="1" t="s">
        <v>595</v>
      </c>
      <c r="K468" s="1" t="s">
        <v>596</v>
      </c>
      <c r="L468" s="1" t="s">
        <v>597</v>
      </c>
      <c r="M468" s="3">
        <v>83720</v>
      </c>
      <c r="N468" s="1" t="s">
        <v>26</v>
      </c>
    </row>
    <row r="469" spans="1:14" ht="13">
      <c r="A469" s="1">
        <v>10715</v>
      </c>
      <c r="B469" s="1" t="s">
        <v>606</v>
      </c>
      <c r="C469" s="1">
        <v>3</v>
      </c>
      <c r="D469" s="2">
        <v>35026</v>
      </c>
      <c r="E469" s="2">
        <v>35040</v>
      </c>
      <c r="F469" s="2">
        <v>35032</v>
      </c>
      <c r="G469" s="1">
        <v>1</v>
      </c>
      <c r="H469" s="1">
        <v>63.2</v>
      </c>
      <c r="I469" s="1" t="s">
        <v>607</v>
      </c>
      <c r="J469" s="1" t="s">
        <v>608</v>
      </c>
      <c r="K469" s="1" t="s">
        <v>609</v>
      </c>
      <c r="M469" s="3">
        <v>13008</v>
      </c>
      <c r="N469" s="1" t="s">
        <v>140</v>
      </c>
    </row>
    <row r="470" spans="1:14" ht="13">
      <c r="A470" s="1">
        <v>10716</v>
      </c>
      <c r="B470" s="1" t="s">
        <v>712</v>
      </c>
      <c r="C470" s="1">
        <v>4</v>
      </c>
      <c r="D470" s="2">
        <v>35027</v>
      </c>
      <c r="E470" s="2">
        <v>35055</v>
      </c>
      <c r="F470" s="2">
        <v>35030</v>
      </c>
      <c r="G470" s="1">
        <v>2</v>
      </c>
      <c r="H470" s="1">
        <v>22.57</v>
      </c>
      <c r="I470" s="1" t="s">
        <v>713</v>
      </c>
      <c r="J470" s="1" t="s">
        <v>714</v>
      </c>
      <c r="K470" s="1" t="s">
        <v>697</v>
      </c>
      <c r="M470" s="3">
        <v>1010</v>
      </c>
      <c r="N470" s="1" t="s">
        <v>698</v>
      </c>
    </row>
    <row r="471" spans="1:14" ht="13">
      <c r="A471" s="1">
        <v>10717</v>
      </c>
      <c r="B471" s="1" t="s">
        <v>475</v>
      </c>
      <c r="C471" s="1">
        <v>1</v>
      </c>
      <c r="D471" s="2">
        <v>35027</v>
      </c>
      <c r="E471" s="2">
        <v>35055</v>
      </c>
      <c r="F471" s="2">
        <v>35032</v>
      </c>
      <c r="G471" s="1">
        <v>2</v>
      </c>
      <c r="H471" s="1">
        <v>59.25</v>
      </c>
      <c r="I471" s="1" t="s">
        <v>476</v>
      </c>
      <c r="J471" s="1" t="s">
        <v>477</v>
      </c>
      <c r="K471" s="1" t="s">
        <v>478</v>
      </c>
      <c r="M471" s="3">
        <v>80805</v>
      </c>
      <c r="N471" s="1" t="s">
        <v>93</v>
      </c>
    </row>
    <row r="472" spans="1:14" ht="13">
      <c r="A472" s="1">
        <v>10718</v>
      </c>
      <c r="B472" s="1" t="s">
        <v>589</v>
      </c>
      <c r="C472" s="1">
        <v>1</v>
      </c>
      <c r="D472" s="2">
        <v>35030</v>
      </c>
      <c r="E472" s="2">
        <v>35058</v>
      </c>
      <c r="F472" s="2">
        <v>35032</v>
      </c>
      <c r="G472" s="1">
        <v>3</v>
      </c>
      <c r="H472" s="1">
        <v>170.88</v>
      </c>
      <c r="I472" s="1" t="s">
        <v>590</v>
      </c>
      <c r="J472" s="1" t="s">
        <v>591</v>
      </c>
      <c r="K472" s="1" t="s">
        <v>592</v>
      </c>
      <c r="M472" s="3">
        <v>14776</v>
      </c>
      <c r="N472" s="1" t="s">
        <v>93</v>
      </c>
    </row>
    <row r="473" spans="1:14" ht="13">
      <c r="A473" s="1">
        <v>10719</v>
      </c>
      <c r="B473" s="1" t="s">
        <v>748</v>
      </c>
      <c r="C473" s="1">
        <v>8</v>
      </c>
      <c r="D473" s="2">
        <v>35030</v>
      </c>
      <c r="E473" s="2">
        <v>35058</v>
      </c>
      <c r="F473" s="2">
        <v>35039</v>
      </c>
      <c r="G473" s="1">
        <v>2</v>
      </c>
      <c r="H473" s="1">
        <v>51.44</v>
      </c>
      <c r="I473" s="1" t="s">
        <v>749</v>
      </c>
      <c r="J473" s="1" t="s">
        <v>750</v>
      </c>
      <c r="K473" s="1" t="s">
        <v>751</v>
      </c>
      <c r="L473" s="1" t="s">
        <v>752</v>
      </c>
      <c r="M473" s="3">
        <v>94117</v>
      </c>
      <c r="N473" s="1" t="s">
        <v>26</v>
      </c>
    </row>
    <row r="474" spans="1:14" ht="13">
      <c r="A474" s="1">
        <v>10720</v>
      </c>
      <c r="B474" s="1" t="s">
        <v>453</v>
      </c>
      <c r="C474" s="1">
        <v>8</v>
      </c>
      <c r="D474" s="2">
        <v>35031</v>
      </c>
      <c r="E474" s="2">
        <v>35045</v>
      </c>
      <c r="F474" s="2">
        <v>35039</v>
      </c>
      <c r="G474" s="1">
        <v>2</v>
      </c>
      <c r="H474" s="1">
        <v>9.5299999999999994</v>
      </c>
      <c r="I474" s="1" t="s">
        <v>454</v>
      </c>
      <c r="J474" s="1" t="s">
        <v>455</v>
      </c>
      <c r="K474" s="1" t="s">
        <v>405</v>
      </c>
      <c r="L474" s="1" t="s">
        <v>406</v>
      </c>
      <c r="M474" s="3" t="s">
        <v>456</v>
      </c>
      <c r="N474" s="1" t="s">
        <v>86</v>
      </c>
    </row>
    <row r="475" spans="1:14" ht="13">
      <c r="A475" s="1">
        <v>10721</v>
      </c>
      <c r="B475" s="1" t="s">
        <v>494</v>
      </c>
      <c r="C475" s="1">
        <v>5</v>
      </c>
      <c r="D475" s="2">
        <v>35032</v>
      </c>
      <c r="E475" s="2">
        <v>35060</v>
      </c>
      <c r="F475" s="2">
        <v>35034</v>
      </c>
      <c r="G475" s="1">
        <v>3</v>
      </c>
      <c r="H475" s="1">
        <v>48.92</v>
      </c>
      <c r="I475" s="1" t="s">
        <v>495</v>
      </c>
      <c r="J475" s="1" t="s">
        <v>496</v>
      </c>
      <c r="K475" s="1" t="s">
        <v>497</v>
      </c>
      <c r="M475" s="3">
        <v>1307</v>
      </c>
      <c r="N475" s="1" t="s">
        <v>93</v>
      </c>
    </row>
    <row r="476" spans="1:14" ht="13">
      <c r="A476" s="1">
        <v>10722</v>
      </c>
      <c r="B476" s="1" t="s">
        <v>593</v>
      </c>
      <c r="C476" s="1">
        <v>8</v>
      </c>
      <c r="D476" s="2">
        <v>35032</v>
      </c>
      <c r="E476" s="2">
        <v>35074</v>
      </c>
      <c r="F476" s="2">
        <v>35038</v>
      </c>
      <c r="G476" s="1">
        <v>1</v>
      </c>
      <c r="H476" s="1">
        <v>74.58</v>
      </c>
      <c r="I476" s="1" t="s">
        <v>594</v>
      </c>
      <c r="J476" s="1" t="s">
        <v>595</v>
      </c>
      <c r="K476" s="1" t="s">
        <v>596</v>
      </c>
      <c r="L476" s="1" t="s">
        <v>597</v>
      </c>
      <c r="M476" s="3">
        <v>83720</v>
      </c>
      <c r="N476" s="1" t="s">
        <v>26</v>
      </c>
    </row>
    <row r="477" spans="1:14" ht="13">
      <c r="A477" s="1">
        <v>10723</v>
      </c>
      <c r="B477" s="1" t="s">
        <v>484</v>
      </c>
      <c r="C477" s="1">
        <v>3</v>
      </c>
      <c r="D477" s="2">
        <v>35033</v>
      </c>
      <c r="E477" s="2">
        <v>35061</v>
      </c>
      <c r="F477" s="2">
        <v>35059</v>
      </c>
      <c r="G477" s="1">
        <v>1</v>
      </c>
      <c r="H477" s="1">
        <v>21.72</v>
      </c>
      <c r="I477" s="1" t="s">
        <v>485</v>
      </c>
      <c r="J477" s="1" t="s">
        <v>486</v>
      </c>
      <c r="K477" s="1" t="s">
        <v>487</v>
      </c>
      <c r="L477" s="1" t="s">
        <v>488</v>
      </c>
      <c r="M477" s="3">
        <v>98124</v>
      </c>
      <c r="N477" s="1" t="s">
        <v>26</v>
      </c>
    </row>
    <row r="478" spans="1:14" ht="13">
      <c r="A478" s="1">
        <v>10724</v>
      </c>
      <c r="B478" s="1" t="s">
        <v>610</v>
      </c>
      <c r="C478" s="1">
        <v>8</v>
      </c>
      <c r="D478" s="2">
        <v>35033</v>
      </c>
      <c r="E478" s="2">
        <v>35075</v>
      </c>
      <c r="F478" s="2">
        <v>35039</v>
      </c>
      <c r="G478" s="1">
        <v>2</v>
      </c>
      <c r="H478" s="1">
        <v>57.75</v>
      </c>
      <c r="I478" s="1" t="s">
        <v>611</v>
      </c>
      <c r="J478" s="1" t="s">
        <v>612</v>
      </c>
      <c r="K478" s="1" t="s">
        <v>189</v>
      </c>
      <c r="L478" s="1" t="s">
        <v>190</v>
      </c>
      <c r="M478" s="3" t="s">
        <v>191</v>
      </c>
      <c r="N478" s="1" t="s">
        <v>192</v>
      </c>
    </row>
    <row r="479" spans="1:14" ht="13">
      <c r="A479" s="1">
        <v>10725</v>
      </c>
      <c r="B479" s="1" t="s">
        <v>620</v>
      </c>
      <c r="C479" s="1">
        <v>4</v>
      </c>
      <c r="D479" s="2">
        <v>35034</v>
      </c>
      <c r="E479" s="2">
        <v>35062</v>
      </c>
      <c r="F479" s="2">
        <v>35039</v>
      </c>
      <c r="G479" s="1">
        <v>3</v>
      </c>
      <c r="H479" s="1">
        <v>10.83</v>
      </c>
      <c r="I479" s="1" t="s">
        <v>621</v>
      </c>
      <c r="J479" s="1" t="s">
        <v>622</v>
      </c>
      <c r="K479" s="1" t="s">
        <v>85</v>
      </c>
      <c r="L479" s="1" t="s">
        <v>431</v>
      </c>
      <c r="M479" s="3" t="s">
        <v>623</v>
      </c>
      <c r="N479" s="1" t="s">
        <v>86</v>
      </c>
    </row>
    <row r="480" spans="1:14" ht="13">
      <c r="A480" s="1">
        <v>10726</v>
      </c>
      <c r="B480" s="1" t="s">
        <v>646</v>
      </c>
      <c r="C480" s="1">
        <v>4</v>
      </c>
      <c r="D480" s="2">
        <v>35037</v>
      </c>
      <c r="E480" s="2">
        <v>35051</v>
      </c>
      <c r="F480" s="2">
        <v>35069</v>
      </c>
      <c r="G480" s="1">
        <v>1</v>
      </c>
      <c r="H480" s="1">
        <v>16.559999999999999</v>
      </c>
      <c r="I480" s="1" t="s">
        <v>647</v>
      </c>
      <c r="J480" s="1" t="s">
        <v>648</v>
      </c>
      <c r="K480" s="1" t="s">
        <v>16</v>
      </c>
      <c r="M480" s="3" t="s">
        <v>649</v>
      </c>
      <c r="N480" s="1" t="s">
        <v>18</v>
      </c>
    </row>
    <row r="481" spans="1:14" ht="13">
      <c r="A481" s="1">
        <v>10727</v>
      </c>
      <c r="B481" s="1" t="s">
        <v>531</v>
      </c>
      <c r="C481" s="1">
        <v>2</v>
      </c>
      <c r="D481" s="2">
        <v>35037</v>
      </c>
      <c r="E481" s="2">
        <v>35065</v>
      </c>
      <c r="F481" s="2">
        <v>35069</v>
      </c>
      <c r="G481" s="1">
        <v>1</v>
      </c>
      <c r="H481" s="1">
        <v>89.9</v>
      </c>
      <c r="I481" s="1" t="s">
        <v>532</v>
      </c>
      <c r="J481" s="1" t="s">
        <v>533</v>
      </c>
      <c r="K481" s="1" t="s">
        <v>534</v>
      </c>
      <c r="M481" s="3">
        <v>42100</v>
      </c>
      <c r="N481" s="1" t="s">
        <v>113</v>
      </c>
    </row>
    <row r="482" spans="1:14" ht="13">
      <c r="A482" s="1">
        <v>10728</v>
      </c>
      <c r="B482" s="1" t="s">
        <v>661</v>
      </c>
      <c r="C482" s="1">
        <v>4</v>
      </c>
      <c r="D482" s="2">
        <v>35038</v>
      </c>
      <c r="E482" s="2">
        <v>35066</v>
      </c>
      <c r="F482" s="2">
        <v>35045</v>
      </c>
      <c r="G482" s="1">
        <v>2</v>
      </c>
      <c r="H482" s="1">
        <v>58.33</v>
      </c>
      <c r="I482" s="1" t="s">
        <v>662</v>
      </c>
      <c r="J482" s="1" t="s">
        <v>663</v>
      </c>
      <c r="K482" s="1" t="s">
        <v>85</v>
      </c>
      <c r="L482" s="1" t="s">
        <v>431</v>
      </c>
      <c r="M482" s="3" t="s">
        <v>664</v>
      </c>
      <c r="N482" s="1" t="s">
        <v>86</v>
      </c>
    </row>
    <row r="483" spans="1:14" ht="13">
      <c r="A483" s="1">
        <v>10729</v>
      </c>
      <c r="B483" s="1" t="s">
        <v>685</v>
      </c>
      <c r="C483" s="1">
        <v>8</v>
      </c>
      <c r="D483" s="2">
        <v>35038</v>
      </c>
      <c r="E483" s="2">
        <v>35080</v>
      </c>
      <c r="F483" s="2">
        <v>35048</v>
      </c>
      <c r="G483" s="1">
        <v>3</v>
      </c>
      <c r="H483" s="1">
        <v>141.06</v>
      </c>
      <c r="I483" s="1" t="s">
        <v>686</v>
      </c>
      <c r="J483" s="1" t="s">
        <v>687</v>
      </c>
      <c r="K483" s="1" t="s">
        <v>688</v>
      </c>
      <c r="L483" s="1" t="s">
        <v>689</v>
      </c>
      <c r="M483" s="3">
        <v>4980</v>
      </c>
      <c r="N483" s="1" t="s">
        <v>438</v>
      </c>
    </row>
    <row r="484" spans="1:14" ht="13">
      <c r="A484" s="1">
        <v>10730</v>
      </c>
      <c r="B484" s="1" t="s">
        <v>606</v>
      </c>
      <c r="C484" s="1">
        <v>5</v>
      </c>
      <c r="D484" s="2">
        <v>35039</v>
      </c>
      <c r="E484" s="2">
        <v>35067</v>
      </c>
      <c r="F484" s="2">
        <v>35048</v>
      </c>
      <c r="G484" s="1">
        <v>1</v>
      </c>
      <c r="H484" s="1">
        <v>20.12</v>
      </c>
      <c r="I484" s="1" t="s">
        <v>607</v>
      </c>
      <c r="J484" s="1" t="s">
        <v>608</v>
      </c>
      <c r="K484" s="1" t="s">
        <v>609</v>
      </c>
      <c r="M484" s="3">
        <v>13008</v>
      </c>
      <c r="N484" s="1" t="s">
        <v>140</v>
      </c>
    </row>
    <row r="485" spans="1:14" ht="13">
      <c r="A485" s="1">
        <v>10731</v>
      </c>
      <c r="B485" s="1" t="s">
        <v>418</v>
      </c>
      <c r="C485" s="1">
        <v>7</v>
      </c>
      <c r="D485" s="2">
        <v>35040</v>
      </c>
      <c r="E485" s="2">
        <v>35068</v>
      </c>
      <c r="F485" s="2">
        <v>35048</v>
      </c>
      <c r="G485" s="1">
        <v>1</v>
      </c>
      <c r="H485" s="1">
        <v>96.65</v>
      </c>
      <c r="I485" s="1" t="s">
        <v>419</v>
      </c>
      <c r="J485" s="1" t="s">
        <v>420</v>
      </c>
      <c r="K485" s="1" t="s">
        <v>421</v>
      </c>
      <c r="M485" s="3">
        <v>3012</v>
      </c>
      <c r="N485" s="1" t="s">
        <v>422</v>
      </c>
    </row>
    <row r="486" spans="1:14" ht="13">
      <c r="A486" s="1">
        <v>10732</v>
      </c>
      <c r="B486" s="1" t="s">
        <v>606</v>
      </c>
      <c r="C486" s="1">
        <v>3</v>
      </c>
      <c r="D486" s="2">
        <v>35040</v>
      </c>
      <c r="E486" s="2">
        <v>35068</v>
      </c>
      <c r="F486" s="2">
        <v>35041</v>
      </c>
      <c r="G486" s="1">
        <v>1</v>
      </c>
      <c r="H486" s="1">
        <v>16.97</v>
      </c>
      <c r="I486" s="1" t="s">
        <v>607</v>
      </c>
      <c r="J486" s="1" t="s">
        <v>608</v>
      </c>
      <c r="K486" s="1" t="s">
        <v>609</v>
      </c>
      <c r="M486" s="3">
        <v>13008</v>
      </c>
      <c r="N486" s="1" t="s">
        <v>140</v>
      </c>
    </row>
    <row r="487" spans="1:14" ht="13">
      <c r="A487" s="1">
        <v>10733</v>
      </c>
      <c r="B487" s="1" t="s">
        <v>509</v>
      </c>
      <c r="C487" s="1">
        <v>1</v>
      </c>
      <c r="D487" s="2">
        <v>35041</v>
      </c>
      <c r="E487" s="2">
        <v>35069</v>
      </c>
      <c r="F487" s="2">
        <v>35044</v>
      </c>
      <c r="G487" s="1">
        <v>3</v>
      </c>
      <c r="H487" s="1">
        <v>110.11</v>
      </c>
      <c r="I487" s="1" t="s">
        <v>510</v>
      </c>
      <c r="J487" s="1" t="s">
        <v>511</v>
      </c>
      <c r="K487" s="1" t="s">
        <v>512</v>
      </c>
      <c r="M487" s="3" t="s">
        <v>513</v>
      </c>
      <c r="N487" s="1" t="s">
        <v>79</v>
      </c>
    </row>
    <row r="488" spans="1:14" ht="13">
      <c r="A488" s="1">
        <v>10734</v>
      </c>
      <c r="B488" s="1" t="s">
        <v>703</v>
      </c>
      <c r="C488" s="1">
        <v>2</v>
      </c>
      <c r="D488" s="2">
        <v>35041</v>
      </c>
      <c r="E488" s="2">
        <v>35069</v>
      </c>
      <c r="F488" s="2">
        <v>35046</v>
      </c>
      <c r="G488" s="1">
        <v>3</v>
      </c>
      <c r="H488" s="1">
        <v>1.63</v>
      </c>
      <c r="I488" s="1" t="s">
        <v>704</v>
      </c>
      <c r="J488" s="1" t="s">
        <v>705</v>
      </c>
      <c r="K488" s="1" t="s">
        <v>706</v>
      </c>
      <c r="L488" s="1" t="s">
        <v>431</v>
      </c>
      <c r="M488" s="3" t="s">
        <v>707</v>
      </c>
      <c r="N488" s="1" t="s">
        <v>86</v>
      </c>
    </row>
    <row r="489" spans="1:14" ht="13">
      <c r="A489" s="1">
        <v>10735</v>
      </c>
      <c r="B489" s="1" t="s">
        <v>748</v>
      </c>
      <c r="C489" s="1">
        <v>6</v>
      </c>
      <c r="D489" s="2">
        <v>35044</v>
      </c>
      <c r="E489" s="2">
        <v>35072</v>
      </c>
      <c r="F489" s="2">
        <v>35055</v>
      </c>
      <c r="G489" s="1">
        <v>2</v>
      </c>
      <c r="H489" s="1">
        <v>45.97</v>
      </c>
      <c r="I489" s="1" t="s">
        <v>749</v>
      </c>
      <c r="J489" s="1" t="s">
        <v>750</v>
      </c>
      <c r="K489" s="1" t="s">
        <v>751</v>
      </c>
      <c r="L489" s="1" t="s">
        <v>752</v>
      </c>
      <c r="M489" s="3">
        <v>94117</v>
      </c>
      <c r="N489" s="1" t="s">
        <v>26</v>
      </c>
    </row>
    <row r="490" spans="1:14" ht="13">
      <c r="A490" s="1">
        <v>10736</v>
      </c>
      <c r="B490" s="1" t="s">
        <v>547</v>
      </c>
      <c r="C490" s="1">
        <v>9</v>
      </c>
      <c r="D490" s="2">
        <v>35045</v>
      </c>
      <c r="E490" s="2">
        <v>35073</v>
      </c>
      <c r="F490" s="2">
        <v>35055</v>
      </c>
      <c r="G490" s="1">
        <v>2</v>
      </c>
      <c r="H490" s="1">
        <v>44.1</v>
      </c>
      <c r="I490" s="1" t="s">
        <v>548</v>
      </c>
      <c r="J490" s="1" t="s">
        <v>549</v>
      </c>
      <c r="K490" s="1" t="s">
        <v>550</v>
      </c>
      <c r="L490" s="1" t="s">
        <v>551</v>
      </c>
      <c r="N490" s="1" t="s">
        <v>552</v>
      </c>
    </row>
    <row r="491" spans="1:14" ht="13">
      <c r="A491" s="1">
        <v>10737</v>
      </c>
      <c r="B491" s="1" t="s">
        <v>394</v>
      </c>
      <c r="C491" s="1">
        <v>2</v>
      </c>
      <c r="D491" s="2">
        <v>35045</v>
      </c>
      <c r="E491" s="2">
        <v>35073</v>
      </c>
      <c r="F491" s="2">
        <v>35052</v>
      </c>
      <c r="G491" s="1">
        <v>2</v>
      </c>
      <c r="H491" s="1">
        <v>7.79</v>
      </c>
      <c r="I491" s="1" t="s">
        <v>395</v>
      </c>
      <c r="J491" s="1" t="s">
        <v>396</v>
      </c>
      <c r="K491" s="1" t="s">
        <v>397</v>
      </c>
      <c r="M491" s="3">
        <v>51100</v>
      </c>
      <c r="N491" s="1" t="s">
        <v>140</v>
      </c>
    </row>
    <row r="492" spans="1:14" ht="13">
      <c r="A492" s="1">
        <v>10738</v>
      </c>
      <c r="B492" s="1" t="s">
        <v>769</v>
      </c>
      <c r="C492" s="1">
        <v>2</v>
      </c>
      <c r="D492" s="2">
        <v>35046</v>
      </c>
      <c r="E492" s="2">
        <v>35074</v>
      </c>
      <c r="F492" s="2">
        <v>35052</v>
      </c>
      <c r="G492" s="1">
        <v>1</v>
      </c>
      <c r="H492" s="1">
        <v>2.91</v>
      </c>
      <c r="I492" s="1" t="s">
        <v>770</v>
      </c>
      <c r="J492" s="1" t="s">
        <v>771</v>
      </c>
      <c r="K492" s="1" t="s">
        <v>139</v>
      </c>
      <c r="M492" s="3">
        <v>75016</v>
      </c>
      <c r="N492" s="1" t="s">
        <v>140</v>
      </c>
    </row>
    <row r="493" spans="1:14" ht="13">
      <c r="A493" s="1">
        <v>10739</v>
      </c>
      <c r="B493" s="1" t="s">
        <v>394</v>
      </c>
      <c r="C493" s="1">
        <v>3</v>
      </c>
      <c r="D493" s="2">
        <v>35046</v>
      </c>
      <c r="E493" s="2">
        <v>35074</v>
      </c>
      <c r="F493" s="2">
        <v>35051</v>
      </c>
      <c r="G493" s="1">
        <v>3</v>
      </c>
      <c r="H493" s="1">
        <v>11.08</v>
      </c>
      <c r="I493" s="1" t="s">
        <v>395</v>
      </c>
      <c r="J493" s="1" t="s">
        <v>396</v>
      </c>
      <c r="K493" s="1" t="s">
        <v>397</v>
      </c>
      <c r="M493" s="3">
        <v>51100</v>
      </c>
      <c r="N493" s="1" t="s">
        <v>140</v>
      </c>
    </row>
    <row r="494" spans="1:14" ht="13">
      <c r="A494" s="1">
        <v>10740</v>
      </c>
      <c r="B494" s="1" t="s">
        <v>484</v>
      </c>
      <c r="C494" s="1">
        <v>4</v>
      </c>
      <c r="D494" s="2">
        <v>35047</v>
      </c>
      <c r="E494" s="2">
        <v>35075</v>
      </c>
      <c r="F494" s="2">
        <v>35059</v>
      </c>
      <c r="G494" s="1">
        <v>2</v>
      </c>
      <c r="H494" s="1">
        <v>81.88</v>
      </c>
      <c r="I494" s="1" t="s">
        <v>485</v>
      </c>
      <c r="J494" s="1" t="s">
        <v>486</v>
      </c>
      <c r="K494" s="1" t="s">
        <v>487</v>
      </c>
      <c r="L494" s="1" t="s">
        <v>488</v>
      </c>
      <c r="M494" s="3">
        <v>98124</v>
      </c>
      <c r="N494" s="1" t="s">
        <v>26</v>
      </c>
    </row>
    <row r="495" spans="1:14" ht="13">
      <c r="A495" s="1">
        <v>10741</v>
      </c>
      <c r="B495" s="1" t="s">
        <v>632</v>
      </c>
      <c r="C495" s="1">
        <v>4</v>
      </c>
      <c r="D495" s="2">
        <v>35048</v>
      </c>
      <c r="E495" s="2">
        <v>35062</v>
      </c>
      <c r="F495" s="2">
        <v>35052</v>
      </c>
      <c r="G495" s="1">
        <v>3</v>
      </c>
      <c r="H495" s="1">
        <v>10.96</v>
      </c>
      <c r="I495" s="1" t="s">
        <v>633</v>
      </c>
      <c r="J495" s="1" t="s">
        <v>634</v>
      </c>
      <c r="K495" s="1" t="s">
        <v>635</v>
      </c>
      <c r="L495" s="1" t="s">
        <v>636</v>
      </c>
      <c r="M495" s="3" t="s">
        <v>637</v>
      </c>
      <c r="N495" s="1" t="s">
        <v>18</v>
      </c>
    </row>
    <row r="496" spans="1:14" ht="13">
      <c r="A496" s="1">
        <v>10742</v>
      </c>
      <c r="B496" s="1" t="s">
        <v>679</v>
      </c>
      <c r="C496" s="1">
        <v>3</v>
      </c>
      <c r="D496" s="2">
        <v>35048</v>
      </c>
      <c r="E496" s="2">
        <v>35076</v>
      </c>
      <c r="F496" s="2">
        <v>35052</v>
      </c>
      <c r="G496" s="1">
        <v>3</v>
      </c>
      <c r="H496" s="1">
        <v>243.73</v>
      </c>
      <c r="I496" s="1" t="s">
        <v>680</v>
      </c>
      <c r="J496" s="1" t="s">
        <v>681</v>
      </c>
      <c r="K496" s="1" t="s">
        <v>682</v>
      </c>
      <c r="L496" s="1" t="s">
        <v>683</v>
      </c>
      <c r="M496" s="3" t="s">
        <v>684</v>
      </c>
      <c r="N496" s="1" t="s">
        <v>192</v>
      </c>
    </row>
    <row r="497" spans="1:14" ht="13">
      <c r="A497" s="1">
        <v>10743</v>
      </c>
      <c r="B497" s="1" t="s">
        <v>632</v>
      </c>
      <c r="C497" s="1">
        <v>1</v>
      </c>
      <c r="D497" s="2">
        <v>35051</v>
      </c>
      <c r="E497" s="2">
        <v>35079</v>
      </c>
      <c r="F497" s="2">
        <v>35055</v>
      </c>
      <c r="G497" s="1">
        <v>2</v>
      </c>
      <c r="H497" s="1">
        <v>23.72</v>
      </c>
      <c r="I497" s="1" t="s">
        <v>633</v>
      </c>
      <c r="J497" s="1" t="s">
        <v>634</v>
      </c>
      <c r="K497" s="1" t="s">
        <v>635</v>
      </c>
      <c r="L497" s="1" t="s">
        <v>636</v>
      </c>
      <c r="M497" s="3" t="s">
        <v>637</v>
      </c>
      <c r="N497" s="1" t="s">
        <v>18</v>
      </c>
    </row>
    <row r="498" spans="1:14" ht="13">
      <c r="A498" s="1">
        <v>10744</v>
      </c>
      <c r="B498" s="1" t="s">
        <v>657</v>
      </c>
      <c r="C498" s="1">
        <v>6</v>
      </c>
      <c r="D498" s="2">
        <v>35051</v>
      </c>
      <c r="E498" s="2">
        <v>35079</v>
      </c>
      <c r="F498" s="2">
        <v>35058</v>
      </c>
      <c r="G498" s="1">
        <v>1</v>
      </c>
      <c r="H498" s="1">
        <v>69.19</v>
      </c>
      <c r="I498" s="1" t="s">
        <v>658</v>
      </c>
      <c r="J498" s="1" t="s">
        <v>659</v>
      </c>
      <c r="K498" s="1" t="s">
        <v>660</v>
      </c>
      <c r="M498" s="3">
        <v>8200</v>
      </c>
      <c r="N498" s="1" t="s">
        <v>161</v>
      </c>
    </row>
    <row r="499" spans="1:14" ht="13">
      <c r="A499" s="1">
        <v>10745</v>
      </c>
      <c r="B499" s="1" t="s">
        <v>494</v>
      </c>
      <c r="C499" s="1">
        <v>9</v>
      </c>
      <c r="D499" s="2">
        <v>35052</v>
      </c>
      <c r="E499" s="2">
        <v>35080</v>
      </c>
      <c r="F499" s="2">
        <v>35061</v>
      </c>
      <c r="G499" s="1">
        <v>1</v>
      </c>
      <c r="H499" s="1">
        <v>3.52</v>
      </c>
      <c r="I499" s="1" t="s">
        <v>495</v>
      </c>
      <c r="J499" s="1" t="s">
        <v>496</v>
      </c>
      <c r="K499" s="1" t="s">
        <v>497</v>
      </c>
      <c r="M499" s="3">
        <v>1307</v>
      </c>
      <c r="N499" s="1" t="s">
        <v>93</v>
      </c>
    </row>
    <row r="500" spans="1:14" ht="13">
      <c r="A500" s="1">
        <v>10746</v>
      </c>
      <c r="B500" s="1" t="s">
        <v>418</v>
      </c>
      <c r="C500" s="1">
        <v>1</v>
      </c>
      <c r="D500" s="2">
        <v>35053</v>
      </c>
      <c r="E500" s="2">
        <v>35081</v>
      </c>
      <c r="F500" s="2">
        <v>35055</v>
      </c>
      <c r="G500" s="1">
        <v>3</v>
      </c>
      <c r="H500" s="1">
        <v>31.43</v>
      </c>
      <c r="I500" s="1" t="s">
        <v>419</v>
      </c>
      <c r="J500" s="1" t="s">
        <v>420</v>
      </c>
      <c r="K500" s="1" t="s">
        <v>421</v>
      </c>
      <c r="M500" s="3">
        <v>3012</v>
      </c>
      <c r="N500" s="1" t="s">
        <v>422</v>
      </c>
    </row>
    <row r="501" spans="1:14" ht="13">
      <c r="A501" s="1">
        <v>10747</v>
      </c>
      <c r="B501" s="1" t="s">
        <v>628</v>
      </c>
      <c r="C501" s="1">
        <v>6</v>
      </c>
      <c r="D501" s="2">
        <v>35053</v>
      </c>
      <c r="E501" s="2">
        <v>35081</v>
      </c>
      <c r="F501" s="2">
        <v>35060</v>
      </c>
      <c r="G501" s="1">
        <v>1</v>
      </c>
      <c r="H501" s="1">
        <v>117.33</v>
      </c>
      <c r="I501" s="1" t="s">
        <v>629</v>
      </c>
      <c r="J501" s="1" t="s">
        <v>630</v>
      </c>
      <c r="K501" s="1" t="s">
        <v>631</v>
      </c>
      <c r="M501" s="3">
        <v>5020</v>
      </c>
      <c r="N501" s="1" t="s">
        <v>443</v>
      </c>
    </row>
    <row r="502" spans="1:14" ht="13">
      <c r="A502" s="1">
        <v>10748</v>
      </c>
      <c r="B502" s="1" t="s">
        <v>593</v>
      </c>
      <c r="C502" s="1">
        <v>3</v>
      </c>
      <c r="D502" s="2">
        <v>35054</v>
      </c>
      <c r="E502" s="2">
        <v>35082</v>
      </c>
      <c r="F502" s="2">
        <v>35062</v>
      </c>
      <c r="G502" s="1">
        <v>1</v>
      </c>
      <c r="H502" s="1">
        <v>232.55</v>
      </c>
      <c r="I502" s="1" t="s">
        <v>594</v>
      </c>
      <c r="J502" s="1" t="s">
        <v>595</v>
      </c>
      <c r="K502" s="1" t="s">
        <v>596</v>
      </c>
      <c r="L502" s="1" t="s">
        <v>597</v>
      </c>
      <c r="M502" s="3">
        <v>83720</v>
      </c>
      <c r="N502" s="1" t="s">
        <v>26</v>
      </c>
    </row>
    <row r="503" spans="1:14" ht="13">
      <c r="A503" s="1">
        <v>10749</v>
      </c>
      <c r="B503" s="1" t="s">
        <v>580</v>
      </c>
      <c r="C503" s="1">
        <v>4</v>
      </c>
      <c r="D503" s="2">
        <v>35054</v>
      </c>
      <c r="E503" s="2">
        <v>35082</v>
      </c>
      <c r="F503" s="2">
        <v>35083</v>
      </c>
      <c r="G503" s="1">
        <v>2</v>
      </c>
      <c r="H503" s="1">
        <v>61.53</v>
      </c>
      <c r="I503" s="1" t="s">
        <v>581</v>
      </c>
      <c r="J503" s="1" t="s">
        <v>582</v>
      </c>
      <c r="K503" s="1" t="s">
        <v>583</v>
      </c>
      <c r="L503" s="1" t="s">
        <v>584</v>
      </c>
      <c r="M503" s="3" t="s">
        <v>585</v>
      </c>
      <c r="N503" s="1" t="s">
        <v>18</v>
      </c>
    </row>
    <row r="504" spans="1:14" ht="13">
      <c r="A504" s="1">
        <v>10750</v>
      </c>
      <c r="B504" s="1" t="s">
        <v>471</v>
      </c>
      <c r="C504" s="1">
        <v>9</v>
      </c>
      <c r="D504" s="2">
        <v>35055</v>
      </c>
      <c r="E504" s="2">
        <v>35083</v>
      </c>
      <c r="F504" s="2">
        <v>35058</v>
      </c>
      <c r="G504" s="1">
        <v>1</v>
      </c>
      <c r="H504" s="1">
        <v>79.3</v>
      </c>
      <c r="I504" s="1" t="s">
        <v>472</v>
      </c>
      <c r="J504" s="1" t="s">
        <v>473</v>
      </c>
      <c r="K504" s="1" t="s">
        <v>474</v>
      </c>
      <c r="M504" s="3">
        <v>90110</v>
      </c>
      <c r="N504" s="1" t="s">
        <v>176</v>
      </c>
    </row>
    <row r="505" spans="1:14" ht="13">
      <c r="A505" s="1">
        <v>10751</v>
      </c>
      <c r="B505" s="1" t="s">
        <v>423</v>
      </c>
      <c r="C505" s="1">
        <v>3</v>
      </c>
      <c r="D505" s="2">
        <v>35058</v>
      </c>
      <c r="E505" s="2">
        <v>35086</v>
      </c>
      <c r="F505" s="2">
        <v>35067</v>
      </c>
      <c r="G505" s="1">
        <v>3</v>
      </c>
      <c r="H505" s="1">
        <v>130.79</v>
      </c>
      <c r="I505" s="1" t="s">
        <v>424</v>
      </c>
      <c r="J505" s="1" t="s">
        <v>425</v>
      </c>
      <c r="K505" s="1" t="s">
        <v>426</v>
      </c>
      <c r="M505" s="3">
        <v>1204</v>
      </c>
      <c r="N505" s="1" t="s">
        <v>422</v>
      </c>
    </row>
    <row r="506" spans="1:14" ht="13">
      <c r="A506" s="1">
        <v>10752</v>
      </c>
      <c r="B506" s="1" t="s">
        <v>728</v>
      </c>
      <c r="C506" s="1">
        <v>2</v>
      </c>
      <c r="D506" s="2">
        <v>35058</v>
      </c>
      <c r="E506" s="2">
        <v>35086</v>
      </c>
      <c r="F506" s="2">
        <v>35062</v>
      </c>
      <c r="G506" s="1">
        <v>3</v>
      </c>
      <c r="H506" s="1">
        <v>1.39</v>
      </c>
      <c r="I506" s="1" t="s">
        <v>729</v>
      </c>
      <c r="J506" s="1" t="s">
        <v>730</v>
      </c>
      <c r="K506" s="1" t="s">
        <v>16</v>
      </c>
      <c r="M506" s="3" t="s">
        <v>731</v>
      </c>
      <c r="N506" s="1" t="s">
        <v>18</v>
      </c>
    </row>
    <row r="507" spans="1:14" ht="13">
      <c r="A507" s="1">
        <v>10753</v>
      </c>
      <c r="B507" s="1" t="s">
        <v>699</v>
      </c>
      <c r="C507" s="1">
        <v>3</v>
      </c>
      <c r="D507" s="2">
        <v>35059</v>
      </c>
      <c r="E507" s="2">
        <v>35087</v>
      </c>
      <c r="F507" s="2">
        <v>35061</v>
      </c>
      <c r="G507" s="1">
        <v>1</v>
      </c>
      <c r="H507" s="1">
        <v>7.7</v>
      </c>
      <c r="I507" s="1" t="s">
        <v>700</v>
      </c>
      <c r="J507" s="1" t="s">
        <v>701</v>
      </c>
      <c r="K507" s="1" t="s">
        <v>702</v>
      </c>
      <c r="M507" s="3">
        <v>10100</v>
      </c>
      <c r="N507" s="1" t="s">
        <v>113</v>
      </c>
    </row>
    <row r="508" spans="1:14" ht="13">
      <c r="A508" s="1">
        <v>10754</v>
      </c>
      <c r="B508" s="1" t="s">
        <v>498</v>
      </c>
      <c r="C508" s="1">
        <v>6</v>
      </c>
      <c r="D508" s="2">
        <v>35059</v>
      </c>
      <c r="E508" s="2">
        <v>35087</v>
      </c>
      <c r="F508" s="2">
        <v>35061</v>
      </c>
      <c r="G508" s="1">
        <v>3</v>
      </c>
      <c r="H508" s="1">
        <v>2.38</v>
      </c>
      <c r="I508" s="1" t="s">
        <v>499</v>
      </c>
      <c r="J508" s="1" t="s">
        <v>500</v>
      </c>
      <c r="K508" s="1" t="s">
        <v>501</v>
      </c>
      <c r="M508" s="3">
        <v>24100</v>
      </c>
      <c r="N508" s="1" t="s">
        <v>113</v>
      </c>
    </row>
    <row r="509" spans="1:14" ht="13">
      <c r="A509" s="1">
        <v>10755</v>
      </c>
      <c r="B509" s="1" t="s">
        <v>606</v>
      </c>
      <c r="C509" s="1">
        <v>4</v>
      </c>
      <c r="D509" s="2">
        <v>35060</v>
      </c>
      <c r="E509" s="2">
        <v>35088</v>
      </c>
      <c r="F509" s="2">
        <v>35062</v>
      </c>
      <c r="G509" s="1">
        <v>2</v>
      </c>
      <c r="H509" s="1">
        <v>16.71</v>
      </c>
      <c r="I509" s="1" t="s">
        <v>607</v>
      </c>
      <c r="J509" s="1" t="s">
        <v>608</v>
      </c>
      <c r="K509" s="1" t="s">
        <v>609</v>
      </c>
      <c r="M509" s="3">
        <v>13008</v>
      </c>
      <c r="N509" s="1" t="s">
        <v>140</v>
      </c>
    </row>
    <row r="510" spans="1:14" ht="13">
      <c r="A510" s="1">
        <v>10756</v>
      </c>
      <c r="B510" s="1" t="s">
        <v>489</v>
      </c>
      <c r="C510" s="1">
        <v>8</v>
      </c>
      <c r="D510" s="2">
        <v>35061</v>
      </c>
      <c r="E510" s="2">
        <v>35089</v>
      </c>
      <c r="F510" s="2">
        <v>35066</v>
      </c>
      <c r="G510" s="1">
        <v>2</v>
      </c>
      <c r="H510" s="1">
        <v>73.209999999999994</v>
      </c>
      <c r="I510" s="1" t="s">
        <v>490</v>
      </c>
      <c r="J510" s="1" t="s">
        <v>491</v>
      </c>
      <c r="K510" s="1" t="s">
        <v>492</v>
      </c>
      <c r="L510" s="1" t="s">
        <v>493</v>
      </c>
      <c r="M510" s="3">
        <v>82520</v>
      </c>
      <c r="N510" s="1" t="s">
        <v>26</v>
      </c>
    </row>
    <row r="511" spans="1:14" ht="13">
      <c r="A511" s="1">
        <v>10757</v>
      </c>
      <c r="B511" s="1" t="s">
        <v>593</v>
      </c>
      <c r="C511" s="1">
        <v>6</v>
      </c>
      <c r="D511" s="2">
        <v>35061</v>
      </c>
      <c r="E511" s="2">
        <v>35089</v>
      </c>
      <c r="F511" s="2">
        <v>35079</v>
      </c>
      <c r="G511" s="1">
        <v>1</v>
      </c>
      <c r="H511" s="1">
        <v>8.19</v>
      </c>
      <c r="I511" s="1" t="s">
        <v>594</v>
      </c>
      <c r="J511" s="1" t="s">
        <v>595</v>
      </c>
      <c r="K511" s="1" t="s">
        <v>596</v>
      </c>
      <c r="L511" s="1" t="s">
        <v>597</v>
      </c>
      <c r="M511" s="3">
        <v>83720</v>
      </c>
      <c r="N511" s="1" t="s">
        <v>26</v>
      </c>
    </row>
    <row r="512" spans="1:14" ht="13">
      <c r="A512" s="1">
        <v>10758</v>
      </c>
      <c r="B512" s="1" t="s">
        <v>423</v>
      </c>
      <c r="C512" s="1">
        <v>3</v>
      </c>
      <c r="D512" s="2">
        <v>35062</v>
      </c>
      <c r="E512" s="2">
        <v>35090</v>
      </c>
      <c r="F512" s="2">
        <v>35068</v>
      </c>
      <c r="G512" s="1">
        <v>3</v>
      </c>
      <c r="H512" s="1">
        <v>138.16999999999999</v>
      </c>
      <c r="I512" s="1" t="s">
        <v>424</v>
      </c>
      <c r="J512" s="1" t="s">
        <v>425</v>
      </c>
      <c r="K512" s="1" t="s">
        <v>426</v>
      </c>
      <c r="M512" s="3">
        <v>1204</v>
      </c>
      <c r="N512" s="1" t="s">
        <v>422</v>
      </c>
    </row>
    <row r="513" spans="1:14" ht="13">
      <c r="A513" s="1">
        <v>10759</v>
      </c>
      <c r="B513" s="1" t="s">
        <v>570</v>
      </c>
      <c r="C513" s="1">
        <v>3</v>
      </c>
      <c r="D513" s="2">
        <v>35062</v>
      </c>
      <c r="E513" s="2">
        <v>35090</v>
      </c>
      <c r="F513" s="2">
        <v>35076</v>
      </c>
      <c r="G513" s="1">
        <v>3</v>
      </c>
      <c r="H513" s="1">
        <v>11.99</v>
      </c>
      <c r="I513" s="1" t="s">
        <v>571</v>
      </c>
      <c r="J513" s="1" t="s">
        <v>572</v>
      </c>
      <c r="K513" s="1" t="s">
        <v>447</v>
      </c>
      <c r="M513" s="3">
        <v>5021</v>
      </c>
      <c r="N513" s="1" t="s">
        <v>448</v>
      </c>
    </row>
    <row r="514" spans="1:14" ht="13">
      <c r="A514" s="1">
        <v>10760</v>
      </c>
      <c r="B514" s="1" t="s">
        <v>739</v>
      </c>
      <c r="C514" s="1">
        <v>4</v>
      </c>
      <c r="D514" s="2">
        <v>35065</v>
      </c>
      <c r="E514" s="2">
        <v>35093</v>
      </c>
      <c r="F514" s="2">
        <v>35074</v>
      </c>
      <c r="G514" s="1">
        <v>1</v>
      </c>
      <c r="H514" s="1">
        <v>155.63999999999999</v>
      </c>
      <c r="I514" s="1" t="s">
        <v>740</v>
      </c>
      <c r="J514" s="1" t="s">
        <v>741</v>
      </c>
      <c r="K514" s="1" t="s">
        <v>742</v>
      </c>
      <c r="M514" s="3" t="s">
        <v>743</v>
      </c>
      <c r="N514" s="1" t="s">
        <v>417</v>
      </c>
    </row>
    <row r="515" spans="1:14" ht="13">
      <c r="A515" s="1">
        <v>10761</v>
      </c>
      <c r="B515" s="1" t="s">
        <v>457</v>
      </c>
      <c r="C515" s="1">
        <v>5</v>
      </c>
      <c r="D515" s="2">
        <v>35066</v>
      </c>
      <c r="E515" s="2">
        <v>35094</v>
      </c>
      <c r="F515" s="2">
        <v>35072</v>
      </c>
      <c r="G515" s="1">
        <v>2</v>
      </c>
      <c r="H515" s="1">
        <v>18.66</v>
      </c>
      <c r="I515" s="1" t="s">
        <v>458</v>
      </c>
      <c r="J515" s="1" t="s">
        <v>459</v>
      </c>
      <c r="K515" s="1" t="s">
        <v>460</v>
      </c>
      <c r="L515" s="1" t="s">
        <v>461</v>
      </c>
      <c r="M515" s="3">
        <v>87110</v>
      </c>
      <c r="N515" s="1" t="s">
        <v>26</v>
      </c>
    </row>
    <row r="516" spans="1:14" ht="13">
      <c r="A516" s="1">
        <v>10762</v>
      </c>
      <c r="B516" s="1" t="s">
        <v>462</v>
      </c>
      <c r="C516" s="1">
        <v>3</v>
      </c>
      <c r="D516" s="2">
        <v>35066</v>
      </c>
      <c r="E516" s="2">
        <v>35094</v>
      </c>
      <c r="F516" s="2">
        <v>35073</v>
      </c>
      <c r="G516" s="1">
        <v>1</v>
      </c>
      <c r="H516" s="1">
        <v>328.74</v>
      </c>
      <c r="I516" s="1" t="s">
        <v>463</v>
      </c>
      <c r="J516" s="1" t="s">
        <v>464</v>
      </c>
      <c r="K516" s="1" t="s">
        <v>465</v>
      </c>
      <c r="M516" s="3" t="s">
        <v>466</v>
      </c>
      <c r="N516" s="1" t="s">
        <v>79</v>
      </c>
    </row>
    <row r="517" spans="1:14" ht="13">
      <c r="A517" s="1">
        <v>10763</v>
      </c>
      <c r="B517" s="1" t="s">
        <v>690</v>
      </c>
      <c r="C517" s="1">
        <v>3</v>
      </c>
      <c r="D517" s="2">
        <v>35067</v>
      </c>
      <c r="E517" s="2">
        <v>35095</v>
      </c>
      <c r="F517" s="2">
        <v>35072</v>
      </c>
      <c r="G517" s="1">
        <v>3</v>
      </c>
      <c r="H517" s="1">
        <v>37.35</v>
      </c>
      <c r="I517" s="1" t="s">
        <v>691</v>
      </c>
      <c r="J517" s="1" t="s">
        <v>692</v>
      </c>
      <c r="K517" s="1" t="s">
        <v>693</v>
      </c>
      <c r="M517" s="3">
        <v>59000</v>
      </c>
      <c r="N517" s="1" t="s">
        <v>140</v>
      </c>
    </row>
    <row r="518" spans="1:14" ht="13">
      <c r="A518" s="1">
        <v>10764</v>
      </c>
      <c r="B518" s="1" t="s">
        <v>439</v>
      </c>
      <c r="C518" s="1">
        <v>6</v>
      </c>
      <c r="D518" s="2">
        <v>35067</v>
      </c>
      <c r="E518" s="2">
        <v>35095</v>
      </c>
      <c r="F518" s="2">
        <v>35072</v>
      </c>
      <c r="G518" s="1">
        <v>3</v>
      </c>
      <c r="H518" s="1">
        <v>145.44999999999999</v>
      </c>
      <c r="I518" s="1" t="s">
        <v>440</v>
      </c>
      <c r="J518" s="1" t="s">
        <v>441</v>
      </c>
      <c r="K518" s="1" t="s">
        <v>442</v>
      </c>
      <c r="M518" s="3">
        <v>8010</v>
      </c>
      <c r="N518" s="1" t="s">
        <v>443</v>
      </c>
    </row>
    <row r="519" spans="1:14" ht="13">
      <c r="A519" s="1">
        <v>10765</v>
      </c>
      <c r="B519" s="1" t="s">
        <v>494</v>
      </c>
      <c r="C519" s="1">
        <v>3</v>
      </c>
      <c r="D519" s="2">
        <v>35068</v>
      </c>
      <c r="E519" s="2">
        <v>35096</v>
      </c>
      <c r="F519" s="2">
        <v>35073</v>
      </c>
      <c r="G519" s="1">
        <v>3</v>
      </c>
      <c r="H519" s="1">
        <v>42.74</v>
      </c>
      <c r="I519" s="1" t="s">
        <v>495</v>
      </c>
      <c r="J519" s="1" t="s">
        <v>496</v>
      </c>
      <c r="K519" s="1" t="s">
        <v>497</v>
      </c>
      <c r="M519" s="3">
        <v>1307</v>
      </c>
      <c r="N519" s="1" t="s">
        <v>93</v>
      </c>
    </row>
    <row r="520" spans="1:14" ht="13">
      <c r="A520" s="1">
        <v>10766</v>
      </c>
      <c r="B520" s="1" t="s">
        <v>449</v>
      </c>
      <c r="C520" s="1">
        <v>4</v>
      </c>
      <c r="D520" s="2">
        <v>35069</v>
      </c>
      <c r="E520" s="2">
        <v>35097</v>
      </c>
      <c r="F520" s="2">
        <v>35073</v>
      </c>
      <c r="G520" s="1">
        <v>1</v>
      </c>
      <c r="H520" s="1">
        <v>157.55000000000001</v>
      </c>
      <c r="I520" s="1" t="s">
        <v>450</v>
      </c>
      <c r="J520" s="1" t="s">
        <v>451</v>
      </c>
      <c r="K520" s="1" t="s">
        <v>452</v>
      </c>
      <c r="M520" s="3">
        <v>50739</v>
      </c>
      <c r="N520" s="1" t="s">
        <v>93</v>
      </c>
    </row>
    <row r="521" spans="1:14" ht="13">
      <c r="A521" s="1">
        <v>10767</v>
      </c>
      <c r="B521" s="1" t="s">
        <v>412</v>
      </c>
      <c r="C521" s="1">
        <v>4</v>
      </c>
      <c r="D521" s="2">
        <v>35069</v>
      </c>
      <c r="E521" s="2">
        <v>35097</v>
      </c>
      <c r="F521" s="2">
        <v>35079</v>
      </c>
      <c r="G521" s="1">
        <v>3</v>
      </c>
      <c r="H521" s="1">
        <v>1.59</v>
      </c>
      <c r="I521" s="1" t="s">
        <v>413</v>
      </c>
      <c r="J521" s="1" t="s">
        <v>414</v>
      </c>
      <c r="K521" s="1" t="s">
        <v>415</v>
      </c>
      <c r="M521" s="3" t="s">
        <v>416</v>
      </c>
      <c r="N521" s="1" t="s">
        <v>417</v>
      </c>
    </row>
    <row r="522" spans="1:14" ht="13">
      <c r="A522" s="1">
        <v>10768</v>
      </c>
      <c r="B522" s="1" t="s">
        <v>632</v>
      </c>
      <c r="C522" s="1">
        <v>3</v>
      </c>
      <c r="D522" s="2">
        <v>35072</v>
      </c>
      <c r="E522" s="2">
        <v>35100</v>
      </c>
      <c r="F522" s="2">
        <v>35079</v>
      </c>
      <c r="G522" s="1">
        <v>2</v>
      </c>
      <c r="H522" s="1">
        <v>146.32</v>
      </c>
      <c r="I522" s="1" t="s">
        <v>633</v>
      </c>
      <c r="J522" s="1" t="s">
        <v>634</v>
      </c>
      <c r="K522" s="1" t="s">
        <v>635</v>
      </c>
      <c r="L522" s="1" t="s">
        <v>636</v>
      </c>
      <c r="M522" s="3" t="s">
        <v>637</v>
      </c>
      <c r="N522" s="1" t="s">
        <v>18</v>
      </c>
    </row>
    <row r="523" spans="1:14" ht="13">
      <c r="A523" s="1">
        <v>10769</v>
      </c>
      <c r="B523" s="1" t="s">
        <v>657</v>
      </c>
      <c r="C523" s="1">
        <v>3</v>
      </c>
      <c r="D523" s="2">
        <v>35072</v>
      </c>
      <c r="E523" s="2">
        <v>35100</v>
      </c>
      <c r="F523" s="2">
        <v>35076</v>
      </c>
      <c r="G523" s="1">
        <v>1</v>
      </c>
      <c r="H523" s="1">
        <v>65.06</v>
      </c>
      <c r="I523" s="1" t="s">
        <v>658</v>
      </c>
      <c r="J523" s="1" t="s">
        <v>659</v>
      </c>
      <c r="K523" s="1" t="s">
        <v>660</v>
      </c>
      <c r="M523" s="3">
        <v>8200</v>
      </c>
      <c r="N523" s="1" t="s">
        <v>161</v>
      </c>
    </row>
    <row r="524" spans="1:14" ht="13">
      <c r="A524" s="1">
        <v>10770</v>
      </c>
      <c r="B524" s="1" t="s">
        <v>402</v>
      </c>
      <c r="C524" s="1">
        <v>8</v>
      </c>
      <c r="D524" s="2">
        <v>35073</v>
      </c>
      <c r="E524" s="2">
        <v>35101</v>
      </c>
      <c r="F524" s="2">
        <v>35081</v>
      </c>
      <c r="G524" s="1">
        <v>3</v>
      </c>
      <c r="H524" s="1">
        <v>5.32</v>
      </c>
      <c r="I524" s="1" t="s">
        <v>403</v>
      </c>
      <c r="J524" s="1" t="s">
        <v>404</v>
      </c>
      <c r="K524" s="1" t="s">
        <v>405</v>
      </c>
      <c r="L524" s="1" t="s">
        <v>406</v>
      </c>
      <c r="M524" s="3" t="s">
        <v>407</v>
      </c>
      <c r="N524" s="1" t="s">
        <v>86</v>
      </c>
    </row>
    <row r="525" spans="1:14" ht="13">
      <c r="A525" s="1">
        <v>10771</v>
      </c>
      <c r="B525" s="1" t="s">
        <v>439</v>
      </c>
      <c r="C525" s="1">
        <v>9</v>
      </c>
      <c r="D525" s="2">
        <v>35074</v>
      </c>
      <c r="E525" s="2">
        <v>35102</v>
      </c>
      <c r="F525" s="2">
        <v>35097</v>
      </c>
      <c r="G525" s="1">
        <v>2</v>
      </c>
      <c r="H525" s="1">
        <v>11.19</v>
      </c>
      <c r="I525" s="1" t="s">
        <v>440</v>
      </c>
      <c r="J525" s="1" t="s">
        <v>441</v>
      </c>
      <c r="K525" s="1" t="s">
        <v>442</v>
      </c>
      <c r="M525" s="3">
        <v>8010</v>
      </c>
      <c r="N525" s="1" t="s">
        <v>443</v>
      </c>
    </row>
    <row r="526" spans="1:14" ht="13">
      <c r="A526" s="1">
        <v>10772</v>
      </c>
      <c r="B526" s="1" t="s">
        <v>514</v>
      </c>
      <c r="C526" s="1">
        <v>3</v>
      </c>
      <c r="D526" s="2">
        <v>35074</v>
      </c>
      <c r="E526" s="2">
        <v>35102</v>
      </c>
      <c r="F526" s="2">
        <v>35083</v>
      </c>
      <c r="G526" s="1">
        <v>2</v>
      </c>
      <c r="H526" s="1">
        <v>91.28</v>
      </c>
      <c r="I526" s="1" t="s">
        <v>515</v>
      </c>
      <c r="J526" s="1" t="s">
        <v>516</v>
      </c>
      <c r="K526" s="1" t="s">
        <v>517</v>
      </c>
      <c r="M526" s="3">
        <v>60528</v>
      </c>
      <c r="N526" s="1" t="s">
        <v>93</v>
      </c>
    </row>
    <row r="527" spans="1:14" ht="13">
      <c r="A527" s="1">
        <v>10773</v>
      </c>
      <c r="B527" s="1" t="s">
        <v>439</v>
      </c>
      <c r="C527" s="1">
        <v>1</v>
      </c>
      <c r="D527" s="2">
        <v>35075</v>
      </c>
      <c r="E527" s="2">
        <v>35103</v>
      </c>
      <c r="F527" s="2">
        <v>35080</v>
      </c>
      <c r="G527" s="1">
        <v>3</v>
      </c>
      <c r="H527" s="1">
        <v>96.43</v>
      </c>
      <c r="I527" s="1" t="s">
        <v>440</v>
      </c>
      <c r="J527" s="1" t="s">
        <v>441</v>
      </c>
      <c r="K527" s="1" t="s">
        <v>442</v>
      </c>
      <c r="M527" s="3">
        <v>8010</v>
      </c>
      <c r="N527" s="1" t="s">
        <v>443</v>
      </c>
    </row>
    <row r="528" spans="1:14" ht="13">
      <c r="A528" s="1">
        <v>10774</v>
      </c>
      <c r="B528" s="1" t="s">
        <v>462</v>
      </c>
      <c r="C528" s="1">
        <v>4</v>
      </c>
      <c r="D528" s="2">
        <v>35075</v>
      </c>
      <c r="E528" s="2">
        <v>35089</v>
      </c>
      <c r="F528" s="2">
        <v>35076</v>
      </c>
      <c r="G528" s="1">
        <v>1</v>
      </c>
      <c r="H528" s="1">
        <v>48.2</v>
      </c>
      <c r="I528" s="1" t="s">
        <v>463</v>
      </c>
      <c r="J528" s="1" t="s">
        <v>464</v>
      </c>
      <c r="K528" s="1" t="s">
        <v>465</v>
      </c>
      <c r="M528" s="3" t="s">
        <v>466</v>
      </c>
      <c r="N528" s="1" t="s">
        <v>79</v>
      </c>
    </row>
    <row r="529" spans="1:14" ht="13">
      <c r="A529" s="1">
        <v>10775</v>
      </c>
      <c r="B529" s="1" t="s">
        <v>757</v>
      </c>
      <c r="C529" s="1">
        <v>7</v>
      </c>
      <c r="D529" s="2">
        <v>35076</v>
      </c>
      <c r="E529" s="2">
        <v>35104</v>
      </c>
      <c r="F529" s="2">
        <v>35090</v>
      </c>
      <c r="G529" s="1">
        <v>1</v>
      </c>
      <c r="H529" s="1">
        <v>20.25</v>
      </c>
      <c r="I529" s="1" t="s">
        <v>758</v>
      </c>
      <c r="J529" s="1" t="s">
        <v>759</v>
      </c>
      <c r="K529" s="1" t="s">
        <v>760</v>
      </c>
      <c r="L529" s="1" t="s">
        <v>761</v>
      </c>
      <c r="M529" s="3">
        <v>59801</v>
      </c>
      <c r="N529" s="1" t="s">
        <v>26</v>
      </c>
    </row>
    <row r="530" spans="1:14" ht="13">
      <c r="A530" s="1">
        <v>10776</v>
      </c>
      <c r="B530" s="1" t="s">
        <v>439</v>
      </c>
      <c r="C530" s="1">
        <v>1</v>
      </c>
      <c r="D530" s="2">
        <v>35079</v>
      </c>
      <c r="E530" s="2">
        <v>35107</v>
      </c>
      <c r="F530" s="2">
        <v>35082</v>
      </c>
      <c r="G530" s="1">
        <v>3</v>
      </c>
      <c r="H530" s="1">
        <v>351.53</v>
      </c>
      <c r="I530" s="1" t="s">
        <v>440</v>
      </c>
      <c r="J530" s="1" t="s">
        <v>441</v>
      </c>
      <c r="K530" s="1" t="s">
        <v>442</v>
      </c>
      <c r="M530" s="3">
        <v>8010</v>
      </c>
      <c r="N530" s="1" t="s">
        <v>443</v>
      </c>
    </row>
    <row r="531" spans="1:14" ht="13">
      <c r="A531" s="1">
        <v>10777</v>
      </c>
      <c r="B531" s="1" t="s">
        <v>703</v>
      </c>
      <c r="C531" s="1">
        <v>7</v>
      </c>
      <c r="D531" s="2">
        <v>35079</v>
      </c>
      <c r="E531" s="2">
        <v>35093</v>
      </c>
      <c r="F531" s="2">
        <v>35116</v>
      </c>
      <c r="G531" s="1">
        <v>2</v>
      </c>
      <c r="H531" s="1">
        <v>3.01</v>
      </c>
      <c r="I531" s="1" t="s">
        <v>704</v>
      </c>
      <c r="J531" s="1" t="s">
        <v>705</v>
      </c>
      <c r="K531" s="1" t="s">
        <v>706</v>
      </c>
      <c r="L531" s="1" t="s">
        <v>431</v>
      </c>
      <c r="M531" s="3" t="s">
        <v>707</v>
      </c>
      <c r="N531" s="1" t="s">
        <v>86</v>
      </c>
    </row>
    <row r="532" spans="1:14" ht="13">
      <c r="A532" s="1">
        <v>10778</v>
      </c>
      <c r="B532" s="1" t="s">
        <v>509</v>
      </c>
      <c r="C532" s="1">
        <v>3</v>
      </c>
      <c r="D532" s="2">
        <v>35080</v>
      </c>
      <c r="E532" s="2">
        <v>35108</v>
      </c>
      <c r="F532" s="2">
        <v>35088</v>
      </c>
      <c r="G532" s="1">
        <v>1</v>
      </c>
      <c r="H532" s="1">
        <v>6.79</v>
      </c>
      <c r="I532" s="1" t="s">
        <v>510</v>
      </c>
      <c r="J532" s="1" t="s">
        <v>511</v>
      </c>
      <c r="K532" s="1" t="s">
        <v>512</v>
      </c>
      <c r="M532" s="3" t="s">
        <v>513</v>
      </c>
      <c r="N532" s="1" t="s">
        <v>79</v>
      </c>
    </row>
    <row r="533" spans="1:14" ht="13">
      <c r="A533" s="1">
        <v>10779</v>
      </c>
      <c r="B533" s="1" t="s">
        <v>505</v>
      </c>
      <c r="C533" s="1">
        <v>3</v>
      </c>
      <c r="D533" s="2">
        <v>35080</v>
      </c>
      <c r="E533" s="2">
        <v>35108</v>
      </c>
      <c r="F533" s="2">
        <v>35109</v>
      </c>
      <c r="G533" s="1">
        <v>2</v>
      </c>
      <c r="H533" s="1">
        <v>58.13</v>
      </c>
      <c r="I533" s="1" t="s">
        <v>506</v>
      </c>
      <c r="J533" s="1" t="s">
        <v>507</v>
      </c>
      <c r="K533" s="1" t="s">
        <v>508</v>
      </c>
      <c r="M533" s="3">
        <v>4179</v>
      </c>
      <c r="N533" s="1" t="s">
        <v>93</v>
      </c>
    </row>
    <row r="534" spans="1:14" ht="13">
      <c r="A534" s="1">
        <v>10780</v>
      </c>
      <c r="B534" s="1" t="s">
        <v>522</v>
      </c>
      <c r="C534" s="1">
        <v>2</v>
      </c>
      <c r="D534" s="2">
        <v>35080</v>
      </c>
      <c r="E534" s="2">
        <v>35094</v>
      </c>
      <c r="F534" s="2">
        <v>35089</v>
      </c>
      <c r="G534" s="1">
        <v>1</v>
      </c>
      <c r="H534" s="1">
        <v>42.13</v>
      </c>
      <c r="I534" s="1" t="s">
        <v>523</v>
      </c>
      <c r="J534" s="1" t="s">
        <v>524</v>
      </c>
      <c r="K534" s="1" t="s">
        <v>525</v>
      </c>
      <c r="L534" s="1" t="s">
        <v>526</v>
      </c>
      <c r="M534" s="3">
        <v>3508</v>
      </c>
      <c r="N534" s="1" t="s">
        <v>438</v>
      </c>
    </row>
    <row r="535" spans="1:14" ht="13">
      <c r="A535" s="1">
        <v>10781</v>
      </c>
      <c r="B535" s="1" t="s">
        <v>471</v>
      </c>
      <c r="C535" s="1">
        <v>2</v>
      </c>
      <c r="D535" s="2">
        <v>35081</v>
      </c>
      <c r="E535" s="2">
        <v>35109</v>
      </c>
      <c r="F535" s="2">
        <v>35083</v>
      </c>
      <c r="G535" s="1">
        <v>3</v>
      </c>
      <c r="H535" s="1">
        <v>73.16</v>
      </c>
      <c r="I535" s="1" t="s">
        <v>472</v>
      </c>
      <c r="J535" s="1" t="s">
        <v>473</v>
      </c>
      <c r="K535" s="1" t="s">
        <v>474</v>
      </c>
      <c r="M535" s="3">
        <v>90110</v>
      </c>
      <c r="N535" s="1" t="s">
        <v>176</v>
      </c>
    </row>
    <row r="536" spans="1:14" ht="13">
      <c r="A536" s="1">
        <v>10782</v>
      </c>
      <c r="B536" s="1" t="s">
        <v>732</v>
      </c>
      <c r="C536" s="1">
        <v>9</v>
      </c>
      <c r="D536" s="2">
        <v>35081</v>
      </c>
      <c r="E536" s="2">
        <v>35109</v>
      </c>
      <c r="F536" s="2">
        <v>35086</v>
      </c>
      <c r="G536" s="1">
        <v>3</v>
      </c>
      <c r="H536" s="1">
        <v>1.1000000000000001</v>
      </c>
      <c r="I536" s="1" t="s">
        <v>733</v>
      </c>
      <c r="J536" s="1" t="s">
        <v>734</v>
      </c>
      <c r="K536" s="1" t="s">
        <v>697</v>
      </c>
      <c r="M536" s="3">
        <v>1010</v>
      </c>
      <c r="N536" s="1" t="s">
        <v>698</v>
      </c>
    </row>
    <row r="537" spans="1:14" ht="13">
      <c r="A537" s="1">
        <v>10783</v>
      </c>
      <c r="B537" s="1" t="s">
        <v>402</v>
      </c>
      <c r="C537" s="1">
        <v>4</v>
      </c>
      <c r="D537" s="2">
        <v>35082</v>
      </c>
      <c r="E537" s="2">
        <v>35110</v>
      </c>
      <c r="F537" s="2">
        <v>35083</v>
      </c>
      <c r="G537" s="1">
        <v>2</v>
      </c>
      <c r="H537" s="1">
        <v>124.98</v>
      </c>
      <c r="I537" s="1" t="s">
        <v>403</v>
      </c>
      <c r="J537" s="1" t="s">
        <v>404</v>
      </c>
      <c r="K537" s="1" t="s">
        <v>405</v>
      </c>
      <c r="L537" s="1" t="s">
        <v>406</v>
      </c>
      <c r="M537" s="3" t="s">
        <v>407</v>
      </c>
      <c r="N537" s="1" t="s">
        <v>86</v>
      </c>
    </row>
    <row r="538" spans="1:14" ht="13">
      <c r="A538" s="1">
        <v>10784</v>
      </c>
      <c r="B538" s="1" t="s">
        <v>498</v>
      </c>
      <c r="C538" s="1">
        <v>4</v>
      </c>
      <c r="D538" s="2">
        <v>35082</v>
      </c>
      <c r="E538" s="2">
        <v>35110</v>
      </c>
      <c r="F538" s="2">
        <v>35086</v>
      </c>
      <c r="G538" s="1">
        <v>3</v>
      </c>
      <c r="H538" s="1">
        <v>70.09</v>
      </c>
      <c r="I538" s="1" t="s">
        <v>499</v>
      </c>
      <c r="J538" s="1" t="s">
        <v>500</v>
      </c>
      <c r="K538" s="1" t="s">
        <v>501</v>
      </c>
      <c r="M538" s="3">
        <v>24100</v>
      </c>
      <c r="N538" s="1" t="s">
        <v>113</v>
      </c>
    </row>
    <row r="539" spans="1:14" ht="13">
      <c r="A539" s="1">
        <v>10785</v>
      </c>
      <c r="B539" s="1" t="s">
        <v>479</v>
      </c>
      <c r="C539" s="1">
        <v>1</v>
      </c>
      <c r="D539" s="2">
        <v>35082</v>
      </c>
      <c r="E539" s="2">
        <v>35110</v>
      </c>
      <c r="F539" s="2">
        <v>35088</v>
      </c>
      <c r="G539" s="1">
        <v>3</v>
      </c>
      <c r="H539" s="1">
        <v>1.51</v>
      </c>
      <c r="I539" s="1" t="s">
        <v>480</v>
      </c>
      <c r="J539" s="1" t="s">
        <v>481</v>
      </c>
      <c r="K539" s="1" t="s">
        <v>482</v>
      </c>
      <c r="L539" s="1" t="s">
        <v>483</v>
      </c>
      <c r="M539" s="3">
        <v>1081</v>
      </c>
      <c r="N539" s="1" t="s">
        <v>438</v>
      </c>
    </row>
    <row r="540" spans="1:14" ht="13">
      <c r="A540" s="1">
        <v>10786</v>
      </c>
      <c r="B540" s="1" t="s">
        <v>661</v>
      </c>
      <c r="C540" s="1">
        <v>8</v>
      </c>
      <c r="D540" s="2">
        <v>35083</v>
      </c>
      <c r="E540" s="2">
        <v>35111</v>
      </c>
      <c r="F540" s="2">
        <v>35087</v>
      </c>
      <c r="G540" s="1">
        <v>1</v>
      </c>
      <c r="H540" s="1">
        <v>110.87</v>
      </c>
      <c r="I540" s="1" t="s">
        <v>662</v>
      </c>
      <c r="J540" s="1" t="s">
        <v>663</v>
      </c>
      <c r="K540" s="1" t="s">
        <v>85</v>
      </c>
      <c r="L540" s="1" t="s">
        <v>431</v>
      </c>
      <c r="M540" s="3" t="s">
        <v>664</v>
      </c>
      <c r="N540" s="1" t="s">
        <v>86</v>
      </c>
    </row>
    <row r="541" spans="1:14" ht="13">
      <c r="A541" s="1">
        <v>10787</v>
      </c>
      <c r="B541" s="1" t="s">
        <v>624</v>
      </c>
      <c r="C541" s="1">
        <v>2</v>
      </c>
      <c r="D541" s="2">
        <v>35083</v>
      </c>
      <c r="E541" s="2">
        <v>35097</v>
      </c>
      <c r="F541" s="2">
        <v>35090</v>
      </c>
      <c r="G541" s="1">
        <v>1</v>
      </c>
      <c r="H541" s="1">
        <v>249.93</v>
      </c>
      <c r="I541" s="1" t="s">
        <v>625</v>
      </c>
      <c r="J541" s="1" t="s">
        <v>626</v>
      </c>
      <c r="K541" s="1" t="s">
        <v>627</v>
      </c>
      <c r="M541" s="3">
        <v>31000</v>
      </c>
      <c r="N541" s="1" t="s">
        <v>140</v>
      </c>
    </row>
    <row r="542" spans="1:14" ht="13">
      <c r="A542" s="1">
        <v>10788</v>
      </c>
      <c r="B542" s="1" t="s">
        <v>494</v>
      </c>
      <c r="C542" s="1">
        <v>1</v>
      </c>
      <c r="D542" s="2">
        <v>35086</v>
      </c>
      <c r="E542" s="2">
        <v>35114</v>
      </c>
      <c r="F542" s="2">
        <v>35114</v>
      </c>
      <c r="G542" s="1">
        <v>2</v>
      </c>
      <c r="H542" s="1">
        <v>42.7</v>
      </c>
      <c r="I542" s="1" t="s">
        <v>495</v>
      </c>
      <c r="J542" s="1" t="s">
        <v>496</v>
      </c>
      <c r="K542" s="1" t="s">
        <v>497</v>
      </c>
      <c r="M542" s="3">
        <v>1307</v>
      </c>
      <c r="N542" s="1" t="s">
        <v>93</v>
      </c>
    </row>
    <row r="543" spans="1:14" ht="13">
      <c r="A543" s="1">
        <v>10789</v>
      </c>
      <c r="B543" s="1" t="s">
        <v>690</v>
      </c>
      <c r="C543" s="1">
        <v>1</v>
      </c>
      <c r="D543" s="2">
        <v>35086</v>
      </c>
      <c r="E543" s="2">
        <v>35114</v>
      </c>
      <c r="F543" s="2">
        <v>35095</v>
      </c>
      <c r="G543" s="1">
        <v>2</v>
      </c>
      <c r="H543" s="1">
        <v>100.6</v>
      </c>
      <c r="I543" s="1" t="s">
        <v>691</v>
      </c>
      <c r="J543" s="1" t="s">
        <v>692</v>
      </c>
      <c r="K543" s="1" t="s">
        <v>693</v>
      </c>
      <c r="M543" s="3">
        <v>59000</v>
      </c>
      <c r="N543" s="1" t="s">
        <v>140</v>
      </c>
    </row>
    <row r="544" spans="1:14" ht="13">
      <c r="A544" s="1">
        <v>10790</v>
      </c>
      <c r="B544" s="1" t="s">
        <v>703</v>
      </c>
      <c r="C544" s="1">
        <v>6</v>
      </c>
      <c r="D544" s="2">
        <v>35086</v>
      </c>
      <c r="E544" s="2">
        <v>35114</v>
      </c>
      <c r="F544" s="2">
        <v>35090</v>
      </c>
      <c r="G544" s="1">
        <v>1</v>
      </c>
      <c r="H544" s="1">
        <v>28.23</v>
      </c>
      <c r="I544" s="1" t="s">
        <v>704</v>
      </c>
      <c r="J544" s="1" t="s">
        <v>705</v>
      </c>
      <c r="K544" s="1" t="s">
        <v>706</v>
      </c>
      <c r="L544" s="1" t="s">
        <v>431</v>
      </c>
      <c r="M544" s="3" t="s">
        <v>707</v>
      </c>
      <c r="N544" s="1" t="s">
        <v>86</v>
      </c>
    </row>
    <row r="545" spans="1:14" ht="13">
      <c r="A545" s="1">
        <v>10791</v>
      </c>
      <c r="B545" s="1" t="s">
        <v>475</v>
      </c>
      <c r="C545" s="1">
        <v>6</v>
      </c>
      <c r="D545" s="2">
        <v>35087</v>
      </c>
      <c r="E545" s="2">
        <v>35115</v>
      </c>
      <c r="F545" s="2">
        <v>35096</v>
      </c>
      <c r="G545" s="1">
        <v>2</v>
      </c>
      <c r="H545" s="1">
        <v>16.850000000000001</v>
      </c>
      <c r="I545" s="1" t="s">
        <v>476</v>
      </c>
      <c r="J545" s="1" t="s">
        <v>477</v>
      </c>
      <c r="K545" s="1" t="s">
        <v>478</v>
      </c>
      <c r="M545" s="3">
        <v>80805</v>
      </c>
      <c r="N545" s="1" t="s">
        <v>93</v>
      </c>
    </row>
    <row r="546" spans="1:14" ht="13">
      <c r="A546" s="1">
        <v>10792</v>
      </c>
      <c r="B546" s="1" t="s">
        <v>665</v>
      </c>
      <c r="C546" s="1">
        <v>1</v>
      </c>
      <c r="D546" s="2">
        <v>35087</v>
      </c>
      <c r="E546" s="2">
        <v>35115</v>
      </c>
      <c r="F546" s="2">
        <v>35095</v>
      </c>
      <c r="G546" s="1">
        <v>3</v>
      </c>
      <c r="H546" s="1">
        <v>23.79</v>
      </c>
      <c r="I546" s="1" t="s">
        <v>666</v>
      </c>
      <c r="J546" s="1" t="s">
        <v>667</v>
      </c>
      <c r="K546" s="1" t="s">
        <v>668</v>
      </c>
      <c r="M546" s="3" t="s">
        <v>669</v>
      </c>
      <c r="N546" s="1" t="s">
        <v>670</v>
      </c>
    </row>
    <row r="547" spans="1:14" ht="13">
      <c r="A547" s="1">
        <v>10793</v>
      </c>
      <c r="B547" s="1" t="s">
        <v>632</v>
      </c>
      <c r="C547" s="1">
        <v>3</v>
      </c>
      <c r="D547" s="2">
        <v>35088</v>
      </c>
      <c r="E547" s="2">
        <v>35116</v>
      </c>
      <c r="F547" s="2">
        <v>35103</v>
      </c>
      <c r="G547" s="1">
        <v>3</v>
      </c>
      <c r="H547" s="1">
        <v>4.5199999999999996</v>
      </c>
      <c r="I547" s="1" t="s">
        <v>633</v>
      </c>
      <c r="J547" s="1" t="s">
        <v>634</v>
      </c>
      <c r="K547" s="1" t="s">
        <v>635</v>
      </c>
      <c r="L547" s="1" t="s">
        <v>636</v>
      </c>
      <c r="M547" s="3" t="s">
        <v>637</v>
      </c>
      <c r="N547" s="1" t="s">
        <v>18</v>
      </c>
    </row>
    <row r="548" spans="1:14" ht="13">
      <c r="A548" s="1">
        <v>10794</v>
      </c>
      <c r="B548" s="1" t="s">
        <v>453</v>
      </c>
      <c r="C548" s="1">
        <v>6</v>
      </c>
      <c r="D548" s="2">
        <v>35088</v>
      </c>
      <c r="E548" s="2">
        <v>35116</v>
      </c>
      <c r="F548" s="2">
        <v>35097</v>
      </c>
      <c r="G548" s="1">
        <v>1</v>
      </c>
      <c r="H548" s="1">
        <v>21.49</v>
      </c>
      <c r="I548" s="1" t="s">
        <v>454</v>
      </c>
      <c r="J548" s="1" t="s">
        <v>455</v>
      </c>
      <c r="K548" s="1" t="s">
        <v>405</v>
      </c>
      <c r="L548" s="1" t="s">
        <v>406</v>
      </c>
      <c r="M548" s="3" t="s">
        <v>456</v>
      </c>
      <c r="N548" s="1" t="s">
        <v>86</v>
      </c>
    </row>
    <row r="549" spans="1:14" ht="13">
      <c r="A549" s="1">
        <v>10795</v>
      </c>
      <c r="B549" s="1" t="s">
        <v>439</v>
      </c>
      <c r="C549" s="1">
        <v>8</v>
      </c>
      <c r="D549" s="2">
        <v>35088</v>
      </c>
      <c r="E549" s="2">
        <v>35116</v>
      </c>
      <c r="F549" s="2">
        <v>35115</v>
      </c>
      <c r="G549" s="1">
        <v>2</v>
      </c>
      <c r="H549" s="1">
        <v>126.66</v>
      </c>
      <c r="I549" s="1" t="s">
        <v>440</v>
      </c>
      <c r="J549" s="1" t="s">
        <v>441</v>
      </c>
      <c r="K549" s="1" t="s">
        <v>442</v>
      </c>
      <c r="M549" s="3">
        <v>8010</v>
      </c>
      <c r="N549" s="1" t="s">
        <v>443</v>
      </c>
    </row>
    <row r="550" spans="1:14" ht="13">
      <c r="A550" s="1">
        <v>10796</v>
      </c>
      <c r="B550" s="1" t="s">
        <v>433</v>
      </c>
      <c r="C550" s="1">
        <v>3</v>
      </c>
      <c r="D550" s="2">
        <v>35089</v>
      </c>
      <c r="E550" s="2">
        <v>35117</v>
      </c>
      <c r="F550" s="2">
        <v>35109</v>
      </c>
      <c r="G550" s="1">
        <v>1</v>
      </c>
      <c r="H550" s="1">
        <v>26.52</v>
      </c>
      <c r="I550" s="1" t="s">
        <v>434</v>
      </c>
      <c r="J550" s="1" t="s">
        <v>435</v>
      </c>
      <c r="K550" s="1" t="s">
        <v>436</v>
      </c>
      <c r="L550" s="1" t="s">
        <v>437</v>
      </c>
      <c r="M550" s="3">
        <v>5022</v>
      </c>
      <c r="N550" s="1" t="s">
        <v>438</v>
      </c>
    </row>
    <row r="551" spans="1:14" ht="13">
      <c r="A551" s="1">
        <v>10797</v>
      </c>
      <c r="B551" s="1" t="s">
        <v>642</v>
      </c>
      <c r="C551" s="1">
        <v>7</v>
      </c>
      <c r="D551" s="2">
        <v>35089</v>
      </c>
      <c r="E551" s="2">
        <v>35117</v>
      </c>
      <c r="F551" s="2">
        <v>35100</v>
      </c>
      <c r="G551" s="1">
        <v>2</v>
      </c>
      <c r="H551" s="1">
        <v>33.35</v>
      </c>
      <c r="I551" s="1" t="s">
        <v>643</v>
      </c>
      <c r="J551" s="1" t="s">
        <v>644</v>
      </c>
      <c r="K551" s="1" t="s">
        <v>645</v>
      </c>
      <c r="M551" s="3">
        <v>52066</v>
      </c>
      <c r="N551" s="1" t="s">
        <v>93</v>
      </c>
    </row>
    <row r="552" spans="1:14" ht="13">
      <c r="A552" s="1">
        <v>10798</v>
      </c>
      <c r="B552" s="1" t="s">
        <v>580</v>
      </c>
      <c r="C552" s="1">
        <v>2</v>
      </c>
      <c r="D552" s="2">
        <v>35090</v>
      </c>
      <c r="E552" s="2">
        <v>35118</v>
      </c>
      <c r="F552" s="2">
        <v>35100</v>
      </c>
      <c r="G552" s="1">
        <v>1</v>
      </c>
      <c r="H552" s="1">
        <v>2.33</v>
      </c>
      <c r="I552" s="1" t="s">
        <v>581</v>
      </c>
      <c r="J552" s="1" t="s">
        <v>582</v>
      </c>
      <c r="K552" s="1" t="s">
        <v>583</v>
      </c>
      <c r="L552" s="1" t="s">
        <v>584</v>
      </c>
      <c r="M552" s="3" t="s">
        <v>585</v>
      </c>
      <c r="N552" s="1" t="s">
        <v>18</v>
      </c>
    </row>
    <row r="553" spans="1:14" ht="13">
      <c r="A553" s="1">
        <v>10799</v>
      </c>
      <c r="B553" s="1" t="s">
        <v>589</v>
      </c>
      <c r="C553" s="1">
        <v>9</v>
      </c>
      <c r="D553" s="2">
        <v>35090</v>
      </c>
      <c r="E553" s="2">
        <v>35132</v>
      </c>
      <c r="F553" s="2">
        <v>35100</v>
      </c>
      <c r="G553" s="1">
        <v>3</v>
      </c>
      <c r="H553" s="1">
        <v>30.76</v>
      </c>
      <c r="I553" s="1" t="s">
        <v>590</v>
      </c>
      <c r="J553" s="1" t="s">
        <v>591</v>
      </c>
      <c r="K553" s="1" t="s">
        <v>592</v>
      </c>
      <c r="M553" s="3">
        <v>14776</v>
      </c>
      <c r="N553" s="1" t="s">
        <v>93</v>
      </c>
    </row>
    <row r="554" spans="1:14" ht="13">
      <c r="A554" s="1">
        <v>10800</v>
      </c>
      <c r="B554" s="1" t="s">
        <v>638</v>
      </c>
      <c r="C554" s="1">
        <v>1</v>
      </c>
      <c r="D554" s="2">
        <v>35090</v>
      </c>
      <c r="E554" s="2">
        <v>35118</v>
      </c>
      <c r="F554" s="2">
        <v>35100</v>
      </c>
      <c r="G554" s="1">
        <v>3</v>
      </c>
      <c r="H554" s="1">
        <v>137.44</v>
      </c>
      <c r="I554" s="1" t="s">
        <v>639</v>
      </c>
      <c r="J554" s="1" t="s">
        <v>640</v>
      </c>
      <c r="K554" s="1" t="s">
        <v>16</v>
      </c>
      <c r="M554" s="3" t="s">
        <v>641</v>
      </c>
      <c r="N554" s="1" t="s">
        <v>18</v>
      </c>
    </row>
    <row r="555" spans="1:14" ht="13">
      <c r="A555" s="1">
        <v>10801</v>
      </c>
      <c r="B555" s="1" t="s">
        <v>598</v>
      </c>
      <c r="C555" s="1">
        <v>4</v>
      </c>
      <c r="D555" s="2">
        <v>35093</v>
      </c>
      <c r="E555" s="2">
        <v>35121</v>
      </c>
      <c r="F555" s="2">
        <v>35095</v>
      </c>
      <c r="G555" s="1">
        <v>2</v>
      </c>
      <c r="H555" s="1">
        <v>97.09</v>
      </c>
      <c r="I555" s="1" t="s">
        <v>599</v>
      </c>
      <c r="J555" s="1" t="s">
        <v>600</v>
      </c>
      <c r="K555" s="1" t="s">
        <v>521</v>
      </c>
      <c r="M555" s="3">
        <v>28023</v>
      </c>
      <c r="N555" s="1" t="s">
        <v>50</v>
      </c>
    </row>
    <row r="556" spans="1:14" ht="13">
      <c r="A556" s="1">
        <v>10802</v>
      </c>
      <c r="B556" s="1" t="s">
        <v>616</v>
      </c>
      <c r="C556" s="1">
        <v>4</v>
      </c>
      <c r="D556" s="2">
        <v>35093</v>
      </c>
      <c r="E556" s="2">
        <v>35121</v>
      </c>
      <c r="F556" s="2">
        <v>35097</v>
      </c>
      <c r="G556" s="1">
        <v>2</v>
      </c>
      <c r="H556" s="1">
        <v>257.26</v>
      </c>
      <c r="I556" s="1" t="s">
        <v>617</v>
      </c>
      <c r="J556" s="1" t="s">
        <v>618</v>
      </c>
      <c r="K556" s="1" t="s">
        <v>619</v>
      </c>
      <c r="M556" s="3">
        <v>1734</v>
      </c>
      <c r="N556" s="1" t="s">
        <v>161</v>
      </c>
    </row>
    <row r="557" spans="1:14" ht="13">
      <c r="A557" s="1">
        <v>10803</v>
      </c>
      <c r="B557" s="1" t="s">
        <v>427</v>
      </c>
      <c r="C557" s="1">
        <v>4</v>
      </c>
      <c r="D557" s="2">
        <v>35094</v>
      </c>
      <c r="E557" s="2">
        <v>35122</v>
      </c>
      <c r="F557" s="2">
        <v>35101</v>
      </c>
      <c r="G557" s="1">
        <v>1</v>
      </c>
      <c r="H557" s="1">
        <v>55.23</v>
      </c>
      <c r="I557" s="1" t="s">
        <v>428</v>
      </c>
      <c r="J557" s="1" t="s">
        <v>429</v>
      </c>
      <c r="K557" s="1" t="s">
        <v>430</v>
      </c>
      <c r="L557" s="1" t="s">
        <v>431</v>
      </c>
      <c r="M557" s="3" t="s">
        <v>432</v>
      </c>
      <c r="N557" s="1" t="s">
        <v>86</v>
      </c>
    </row>
    <row r="558" spans="1:14" ht="13">
      <c r="A558" s="1">
        <v>10804</v>
      </c>
      <c r="B558" s="1" t="s">
        <v>638</v>
      </c>
      <c r="C558" s="1">
        <v>6</v>
      </c>
      <c r="D558" s="2">
        <v>35094</v>
      </c>
      <c r="E558" s="2">
        <v>35122</v>
      </c>
      <c r="F558" s="2">
        <v>35102</v>
      </c>
      <c r="G558" s="1">
        <v>2</v>
      </c>
      <c r="H558" s="1">
        <v>27.33</v>
      </c>
      <c r="I558" s="1" t="s">
        <v>639</v>
      </c>
      <c r="J558" s="1" t="s">
        <v>640</v>
      </c>
      <c r="K558" s="1" t="s">
        <v>16</v>
      </c>
      <c r="M558" s="3" t="s">
        <v>641</v>
      </c>
      <c r="N558" s="1" t="s">
        <v>18</v>
      </c>
    </row>
    <row r="559" spans="1:14" ht="13">
      <c r="A559" s="1">
        <v>10805</v>
      </c>
      <c r="B559" s="1" t="s">
        <v>573</v>
      </c>
      <c r="C559" s="1">
        <v>2</v>
      </c>
      <c r="D559" s="2">
        <v>35094</v>
      </c>
      <c r="E559" s="2">
        <v>35122</v>
      </c>
      <c r="F559" s="2">
        <v>35104</v>
      </c>
      <c r="G559" s="1">
        <v>3</v>
      </c>
      <c r="H559" s="1">
        <v>237.34</v>
      </c>
      <c r="I559" s="1" t="s">
        <v>574</v>
      </c>
      <c r="J559" s="1" t="s">
        <v>575</v>
      </c>
      <c r="K559" s="1" t="s">
        <v>569</v>
      </c>
      <c r="L559" s="1" t="s">
        <v>128</v>
      </c>
      <c r="M559" s="3">
        <v>97201</v>
      </c>
      <c r="N559" s="1" t="s">
        <v>26</v>
      </c>
    </row>
    <row r="560" spans="1:14" ht="13">
      <c r="A560" s="1">
        <v>10806</v>
      </c>
      <c r="B560" s="1" t="s">
        <v>408</v>
      </c>
      <c r="C560" s="1">
        <v>3</v>
      </c>
      <c r="D560" s="2">
        <v>35095</v>
      </c>
      <c r="E560" s="2">
        <v>35123</v>
      </c>
      <c r="F560" s="2">
        <v>35100</v>
      </c>
      <c r="G560" s="1">
        <v>2</v>
      </c>
      <c r="H560" s="1">
        <v>22.11</v>
      </c>
      <c r="I560" s="1" t="s">
        <v>409</v>
      </c>
      <c r="J560" s="1" t="s">
        <v>410</v>
      </c>
      <c r="K560" s="1" t="s">
        <v>411</v>
      </c>
      <c r="M560" s="3">
        <v>69004</v>
      </c>
      <c r="N560" s="1" t="s">
        <v>140</v>
      </c>
    </row>
    <row r="561" spans="1:14" ht="13">
      <c r="A561" s="1">
        <v>10807</v>
      </c>
      <c r="B561" s="1" t="s">
        <v>699</v>
      </c>
      <c r="C561" s="1">
        <v>4</v>
      </c>
      <c r="D561" s="2">
        <v>35095</v>
      </c>
      <c r="E561" s="2">
        <v>35123</v>
      </c>
      <c r="F561" s="2">
        <v>35125</v>
      </c>
      <c r="G561" s="1">
        <v>1</v>
      </c>
      <c r="H561" s="1">
        <v>1.36</v>
      </c>
      <c r="I561" s="1" t="s">
        <v>700</v>
      </c>
      <c r="J561" s="1" t="s">
        <v>701</v>
      </c>
      <c r="K561" s="1" t="s">
        <v>702</v>
      </c>
      <c r="M561" s="3">
        <v>10100</v>
      </c>
      <c r="N561" s="1" t="s">
        <v>113</v>
      </c>
    </row>
    <row r="562" spans="1:14" ht="13">
      <c r="A562" s="1">
        <v>10808</v>
      </c>
      <c r="B562" s="1" t="s">
        <v>561</v>
      </c>
      <c r="C562" s="1">
        <v>2</v>
      </c>
      <c r="D562" s="2">
        <v>35096</v>
      </c>
      <c r="E562" s="2">
        <v>35124</v>
      </c>
      <c r="F562" s="2">
        <v>35104</v>
      </c>
      <c r="G562" s="1">
        <v>3</v>
      </c>
      <c r="H562" s="1">
        <v>45.53</v>
      </c>
      <c r="I562" s="1" t="s">
        <v>562</v>
      </c>
      <c r="J562" s="1" t="s">
        <v>563</v>
      </c>
      <c r="K562" s="1" t="s">
        <v>564</v>
      </c>
      <c r="L562" s="1" t="s">
        <v>565</v>
      </c>
      <c r="M562" s="3">
        <v>99508</v>
      </c>
      <c r="N562" s="1" t="s">
        <v>26</v>
      </c>
    </row>
    <row r="563" spans="1:14" ht="13">
      <c r="A563" s="1">
        <v>10809</v>
      </c>
      <c r="B563" s="1" t="s">
        <v>427</v>
      </c>
      <c r="C563" s="1">
        <v>7</v>
      </c>
      <c r="D563" s="2">
        <v>35096</v>
      </c>
      <c r="E563" s="2">
        <v>35124</v>
      </c>
      <c r="F563" s="2">
        <v>35102</v>
      </c>
      <c r="G563" s="1">
        <v>1</v>
      </c>
      <c r="H563" s="1">
        <v>4.87</v>
      </c>
      <c r="I563" s="1" t="s">
        <v>428</v>
      </c>
      <c r="J563" s="1" t="s">
        <v>429</v>
      </c>
      <c r="K563" s="1" t="s">
        <v>430</v>
      </c>
      <c r="L563" s="1" t="s">
        <v>431</v>
      </c>
      <c r="M563" s="3" t="s">
        <v>432</v>
      </c>
      <c r="N563" s="1" t="s">
        <v>86</v>
      </c>
    </row>
    <row r="564" spans="1:14" ht="13">
      <c r="A564" s="1">
        <v>10810</v>
      </c>
      <c r="B564" s="1" t="s">
        <v>719</v>
      </c>
      <c r="C564" s="1">
        <v>2</v>
      </c>
      <c r="D564" s="2">
        <v>35096</v>
      </c>
      <c r="E564" s="2">
        <v>35124</v>
      </c>
      <c r="F564" s="2">
        <v>35102</v>
      </c>
      <c r="G564" s="1">
        <v>3</v>
      </c>
      <c r="H564" s="1">
        <v>4.33</v>
      </c>
      <c r="I564" s="1" t="s">
        <v>720</v>
      </c>
      <c r="J564" s="1" t="s">
        <v>721</v>
      </c>
      <c r="K564" s="1" t="s">
        <v>722</v>
      </c>
      <c r="L564" s="1" t="s">
        <v>683</v>
      </c>
      <c r="M564" s="3" t="s">
        <v>723</v>
      </c>
      <c r="N564" s="1" t="s">
        <v>192</v>
      </c>
    </row>
    <row r="565" spans="1:14" ht="13">
      <c r="A565" s="1">
        <v>10811</v>
      </c>
      <c r="B565" s="1" t="s">
        <v>685</v>
      </c>
      <c r="C565" s="1">
        <v>8</v>
      </c>
      <c r="D565" s="2">
        <v>35097</v>
      </c>
      <c r="E565" s="2">
        <v>35125</v>
      </c>
      <c r="F565" s="2">
        <v>35103</v>
      </c>
      <c r="G565" s="1">
        <v>1</v>
      </c>
      <c r="H565" s="1">
        <v>31.22</v>
      </c>
      <c r="I565" s="1" t="s">
        <v>686</v>
      </c>
      <c r="J565" s="1" t="s">
        <v>687</v>
      </c>
      <c r="K565" s="1" t="s">
        <v>688</v>
      </c>
      <c r="L565" s="1" t="s">
        <v>689</v>
      </c>
      <c r="M565" s="3">
        <v>4980</v>
      </c>
      <c r="N565" s="1" t="s">
        <v>438</v>
      </c>
    </row>
    <row r="566" spans="1:14" ht="13">
      <c r="A566" s="1">
        <v>10812</v>
      </c>
      <c r="B566" s="1" t="s">
        <v>531</v>
      </c>
      <c r="C566" s="1">
        <v>5</v>
      </c>
      <c r="D566" s="2">
        <v>35097</v>
      </c>
      <c r="E566" s="2">
        <v>35125</v>
      </c>
      <c r="F566" s="2">
        <v>35107</v>
      </c>
      <c r="G566" s="1">
        <v>1</v>
      </c>
      <c r="H566" s="1">
        <v>59.78</v>
      </c>
      <c r="I566" s="1" t="s">
        <v>532</v>
      </c>
      <c r="J566" s="1" t="s">
        <v>533</v>
      </c>
      <c r="K566" s="1" t="s">
        <v>534</v>
      </c>
      <c r="M566" s="3">
        <v>42100</v>
      </c>
      <c r="N566" s="1" t="s">
        <v>113</v>
      </c>
    </row>
    <row r="567" spans="1:14" ht="13">
      <c r="A567" s="1">
        <v>10813</v>
      </c>
      <c r="B567" s="1" t="s">
        <v>527</v>
      </c>
      <c r="C567" s="1">
        <v>1</v>
      </c>
      <c r="D567" s="2">
        <v>35100</v>
      </c>
      <c r="E567" s="2">
        <v>35128</v>
      </c>
      <c r="F567" s="2">
        <v>35104</v>
      </c>
      <c r="G567" s="1">
        <v>1</v>
      </c>
      <c r="H567" s="1">
        <v>47.38</v>
      </c>
      <c r="I567" s="1" t="s">
        <v>528</v>
      </c>
      <c r="J567" s="1" t="s">
        <v>529</v>
      </c>
      <c r="K567" s="1" t="s">
        <v>405</v>
      </c>
      <c r="L567" s="1" t="s">
        <v>406</v>
      </c>
      <c r="M567" s="3" t="s">
        <v>530</v>
      </c>
      <c r="N567" s="1" t="s">
        <v>86</v>
      </c>
    </row>
    <row r="568" spans="1:14" ht="13">
      <c r="A568" s="1">
        <v>10814</v>
      </c>
      <c r="B568" s="1" t="s">
        <v>408</v>
      </c>
      <c r="C568" s="1">
        <v>3</v>
      </c>
      <c r="D568" s="2">
        <v>35100</v>
      </c>
      <c r="E568" s="2">
        <v>35128</v>
      </c>
      <c r="F568" s="2">
        <v>35109</v>
      </c>
      <c r="G568" s="1">
        <v>3</v>
      </c>
      <c r="H568" s="1">
        <v>130.94</v>
      </c>
      <c r="I568" s="1" t="s">
        <v>409</v>
      </c>
      <c r="J568" s="1" t="s">
        <v>410</v>
      </c>
      <c r="K568" s="1" t="s">
        <v>411</v>
      </c>
      <c r="M568" s="3">
        <v>69004</v>
      </c>
      <c r="N568" s="1" t="s">
        <v>140</v>
      </c>
    </row>
    <row r="569" spans="1:14" ht="13">
      <c r="A569" s="1">
        <v>10815</v>
      </c>
      <c r="B569" s="1" t="s">
        <v>593</v>
      </c>
      <c r="C569" s="1">
        <v>2</v>
      </c>
      <c r="D569" s="2">
        <v>35100</v>
      </c>
      <c r="E569" s="2">
        <v>35128</v>
      </c>
      <c r="F569" s="2">
        <v>35109</v>
      </c>
      <c r="G569" s="1">
        <v>3</v>
      </c>
      <c r="H569" s="1">
        <v>14.62</v>
      </c>
      <c r="I569" s="1" t="s">
        <v>594</v>
      </c>
      <c r="J569" s="1" t="s">
        <v>595</v>
      </c>
      <c r="K569" s="1" t="s">
        <v>596</v>
      </c>
      <c r="L569" s="1" t="s">
        <v>597</v>
      </c>
      <c r="M569" s="3">
        <v>83720</v>
      </c>
      <c r="N569" s="1" t="s">
        <v>26</v>
      </c>
    </row>
    <row r="570" spans="1:14" ht="13">
      <c r="A570" s="1">
        <v>10816</v>
      </c>
      <c r="B570" s="1" t="s">
        <v>735</v>
      </c>
      <c r="C570" s="1">
        <v>4</v>
      </c>
      <c r="D570" s="2">
        <v>35101</v>
      </c>
      <c r="E570" s="2">
        <v>35129</v>
      </c>
      <c r="F570" s="2">
        <v>35130</v>
      </c>
      <c r="G570" s="1">
        <v>2</v>
      </c>
      <c r="H570" s="1">
        <v>719.78</v>
      </c>
      <c r="I570" s="1" t="s">
        <v>736</v>
      </c>
      <c r="J570" s="1" t="s">
        <v>737</v>
      </c>
      <c r="K570" s="1" t="s">
        <v>738</v>
      </c>
      <c r="L570" s="1" t="s">
        <v>128</v>
      </c>
      <c r="M570" s="3">
        <v>97403</v>
      </c>
      <c r="N570" s="1" t="s">
        <v>26</v>
      </c>
    </row>
    <row r="571" spans="1:14" ht="13">
      <c r="A571" s="1">
        <v>10817</v>
      </c>
      <c r="B571" s="1" t="s">
        <v>589</v>
      </c>
      <c r="C571" s="1">
        <v>3</v>
      </c>
      <c r="D571" s="2">
        <v>35101</v>
      </c>
      <c r="E571" s="2">
        <v>35115</v>
      </c>
      <c r="F571" s="2">
        <v>35108</v>
      </c>
      <c r="G571" s="1">
        <v>2</v>
      </c>
      <c r="H571" s="1">
        <v>306.07</v>
      </c>
      <c r="I571" s="1" t="s">
        <v>590</v>
      </c>
      <c r="J571" s="1" t="s">
        <v>591</v>
      </c>
      <c r="K571" s="1" t="s">
        <v>592</v>
      </c>
      <c r="M571" s="3">
        <v>14776</v>
      </c>
      <c r="N571" s="1" t="s">
        <v>93</v>
      </c>
    </row>
    <row r="572" spans="1:14" ht="13">
      <c r="A572" s="1">
        <v>10818</v>
      </c>
      <c r="B572" s="1" t="s">
        <v>498</v>
      </c>
      <c r="C572" s="1">
        <v>7</v>
      </c>
      <c r="D572" s="2">
        <v>35102</v>
      </c>
      <c r="E572" s="2">
        <v>35130</v>
      </c>
      <c r="F572" s="2">
        <v>35107</v>
      </c>
      <c r="G572" s="1">
        <v>3</v>
      </c>
      <c r="H572" s="1">
        <v>65.48</v>
      </c>
      <c r="I572" s="1" t="s">
        <v>499</v>
      </c>
      <c r="J572" s="1" t="s">
        <v>500</v>
      </c>
      <c r="K572" s="1" t="s">
        <v>501</v>
      </c>
      <c r="M572" s="3">
        <v>24100</v>
      </c>
      <c r="N572" s="1" t="s">
        <v>113</v>
      </c>
    </row>
    <row r="573" spans="1:14" ht="13">
      <c r="A573" s="1">
        <v>10819</v>
      </c>
      <c r="B573" s="1" t="s">
        <v>732</v>
      </c>
      <c r="C573" s="1">
        <v>2</v>
      </c>
      <c r="D573" s="2">
        <v>35102</v>
      </c>
      <c r="E573" s="2">
        <v>35130</v>
      </c>
      <c r="F573" s="2">
        <v>35111</v>
      </c>
      <c r="G573" s="1">
        <v>3</v>
      </c>
      <c r="H573" s="1">
        <v>19.760000000000002</v>
      </c>
      <c r="I573" s="1" t="s">
        <v>733</v>
      </c>
      <c r="J573" s="1" t="s">
        <v>734</v>
      </c>
      <c r="K573" s="1" t="s">
        <v>697</v>
      </c>
      <c r="M573" s="3">
        <v>1010</v>
      </c>
      <c r="N573" s="1" t="s">
        <v>698</v>
      </c>
    </row>
    <row r="574" spans="1:14" ht="13">
      <c r="A574" s="1">
        <v>10820</v>
      </c>
      <c r="B574" s="1" t="s">
        <v>457</v>
      </c>
      <c r="C574" s="1">
        <v>3</v>
      </c>
      <c r="D574" s="2">
        <v>35102</v>
      </c>
      <c r="E574" s="2">
        <v>35130</v>
      </c>
      <c r="F574" s="2">
        <v>35108</v>
      </c>
      <c r="G574" s="1">
        <v>2</v>
      </c>
      <c r="H574" s="1">
        <v>37.520000000000003</v>
      </c>
      <c r="I574" s="1" t="s">
        <v>458</v>
      </c>
      <c r="J574" s="1" t="s">
        <v>459</v>
      </c>
      <c r="K574" s="1" t="s">
        <v>460</v>
      </c>
      <c r="L574" s="1" t="s">
        <v>461</v>
      </c>
      <c r="M574" s="3">
        <v>87110</v>
      </c>
      <c r="N574" s="1" t="s">
        <v>26</v>
      </c>
    </row>
    <row r="575" spans="1:14" ht="13">
      <c r="A575" s="1">
        <v>10821</v>
      </c>
      <c r="B575" s="1" t="s">
        <v>489</v>
      </c>
      <c r="C575" s="1">
        <v>1</v>
      </c>
      <c r="D575" s="2">
        <v>35103</v>
      </c>
      <c r="E575" s="2">
        <v>35131</v>
      </c>
      <c r="F575" s="2">
        <v>35110</v>
      </c>
      <c r="G575" s="1">
        <v>1</v>
      </c>
      <c r="H575" s="1">
        <v>36.68</v>
      </c>
      <c r="I575" s="1" t="s">
        <v>490</v>
      </c>
      <c r="J575" s="1" t="s">
        <v>491</v>
      </c>
      <c r="K575" s="1" t="s">
        <v>492</v>
      </c>
      <c r="L575" s="1" t="s">
        <v>493</v>
      </c>
      <c r="M575" s="3">
        <v>82520</v>
      </c>
      <c r="N575" s="1" t="s">
        <v>26</v>
      </c>
    </row>
    <row r="576" spans="1:14" ht="13">
      <c r="A576" s="1">
        <v>10822</v>
      </c>
      <c r="B576" s="1" t="s">
        <v>744</v>
      </c>
      <c r="C576" s="1">
        <v>6</v>
      </c>
      <c r="D576" s="2">
        <v>35103</v>
      </c>
      <c r="E576" s="2">
        <v>35131</v>
      </c>
      <c r="F576" s="2">
        <v>35111</v>
      </c>
      <c r="G576" s="1">
        <v>3</v>
      </c>
      <c r="H576" s="1">
        <v>7</v>
      </c>
      <c r="I576" s="1" t="s">
        <v>745</v>
      </c>
      <c r="J576" s="1" t="s">
        <v>746</v>
      </c>
      <c r="K576" s="1" t="s">
        <v>747</v>
      </c>
      <c r="L576" s="1" t="s">
        <v>488</v>
      </c>
      <c r="M576" s="3">
        <v>98034</v>
      </c>
      <c r="N576" s="1" t="s">
        <v>26</v>
      </c>
    </row>
    <row r="577" spans="1:14" ht="13">
      <c r="A577" s="1">
        <v>10823</v>
      </c>
      <c r="B577" s="1" t="s">
        <v>522</v>
      </c>
      <c r="C577" s="1">
        <v>5</v>
      </c>
      <c r="D577" s="2">
        <v>35104</v>
      </c>
      <c r="E577" s="2">
        <v>35132</v>
      </c>
      <c r="F577" s="2">
        <v>35108</v>
      </c>
      <c r="G577" s="1">
        <v>2</v>
      </c>
      <c r="H577" s="1">
        <v>163.97</v>
      </c>
      <c r="I577" s="1" t="s">
        <v>523</v>
      </c>
      <c r="J577" s="1" t="s">
        <v>524</v>
      </c>
      <c r="K577" s="1" t="s">
        <v>525</v>
      </c>
      <c r="L577" s="1" t="s">
        <v>526</v>
      </c>
      <c r="M577" s="3">
        <v>3508</v>
      </c>
      <c r="N577" s="1" t="s">
        <v>438</v>
      </c>
    </row>
    <row r="578" spans="1:14" ht="13">
      <c r="A578" s="1">
        <v>10824</v>
      </c>
      <c r="B578" s="1" t="s">
        <v>462</v>
      </c>
      <c r="C578" s="1">
        <v>8</v>
      </c>
      <c r="D578" s="2">
        <v>35104</v>
      </c>
      <c r="E578" s="2">
        <v>35132</v>
      </c>
      <c r="F578" s="2">
        <v>35125</v>
      </c>
      <c r="G578" s="1">
        <v>1</v>
      </c>
      <c r="H578" s="1">
        <v>1.23</v>
      </c>
      <c r="I578" s="1" t="s">
        <v>463</v>
      </c>
      <c r="J578" s="1" t="s">
        <v>464</v>
      </c>
      <c r="K578" s="1" t="s">
        <v>465</v>
      </c>
      <c r="M578" s="3" t="s">
        <v>466</v>
      </c>
      <c r="N578" s="1" t="s">
        <v>79</v>
      </c>
    </row>
    <row r="579" spans="1:14" ht="13">
      <c r="A579" s="1">
        <v>10825</v>
      </c>
      <c r="B579" s="1" t="s">
        <v>642</v>
      </c>
      <c r="C579" s="1">
        <v>1</v>
      </c>
      <c r="D579" s="2">
        <v>35104</v>
      </c>
      <c r="E579" s="2">
        <v>35132</v>
      </c>
      <c r="F579" s="2">
        <v>35109</v>
      </c>
      <c r="G579" s="1">
        <v>1</v>
      </c>
      <c r="H579" s="1">
        <v>79.25</v>
      </c>
      <c r="I579" s="1" t="s">
        <v>643</v>
      </c>
      <c r="J579" s="1" t="s">
        <v>644</v>
      </c>
      <c r="K579" s="1" t="s">
        <v>645</v>
      </c>
      <c r="M579" s="3">
        <v>52066</v>
      </c>
      <c r="N579" s="1" t="s">
        <v>93</v>
      </c>
    </row>
    <row r="580" spans="1:14" ht="13">
      <c r="A580" s="1">
        <v>10826</v>
      </c>
      <c r="B580" s="1" t="s">
        <v>467</v>
      </c>
      <c r="C580" s="1">
        <v>6</v>
      </c>
      <c r="D580" s="2">
        <v>35107</v>
      </c>
      <c r="E580" s="2">
        <v>35135</v>
      </c>
      <c r="F580" s="2">
        <v>35132</v>
      </c>
      <c r="G580" s="1">
        <v>1</v>
      </c>
      <c r="H580" s="1">
        <v>7.09</v>
      </c>
      <c r="I580" s="1" t="s">
        <v>468</v>
      </c>
      <c r="J580" s="1" t="s">
        <v>469</v>
      </c>
      <c r="K580" s="1" t="s">
        <v>470</v>
      </c>
      <c r="M580" s="3">
        <v>67000</v>
      </c>
      <c r="N580" s="1" t="s">
        <v>140</v>
      </c>
    </row>
    <row r="581" spans="1:14" ht="13">
      <c r="A581" s="1">
        <v>10827</v>
      </c>
      <c r="B581" s="1" t="s">
        <v>606</v>
      </c>
      <c r="C581" s="1">
        <v>1</v>
      </c>
      <c r="D581" s="2">
        <v>35107</v>
      </c>
      <c r="E581" s="2">
        <v>35121</v>
      </c>
      <c r="F581" s="2">
        <v>35132</v>
      </c>
      <c r="G581" s="1">
        <v>2</v>
      </c>
      <c r="H581" s="1">
        <v>63.54</v>
      </c>
      <c r="I581" s="1" t="s">
        <v>607</v>
      </c>
      <c r="J581" s="1" t="s">
        <v>608</v>
      </c>
      <c r="K581" s="1" t="s">
        <v>609</v>
      </c>
      <c r="M581" s="3">
        <v>13008</v>
      </c>
      <c r="N581" s="1" t="s">
        <v>140</v>
      </c>
    </row>
    <row r="582" spans="1:14" ht="13">
      <c r="A582" s="1">
        <v>10828</v>
      </c>
      <c r="B582" s="1" t="s">
        <v>712</v>
      </c>
      <c r="C582" s="1">
        <v>9</v>
      </c>
      <c r="D582" s="2">
        <v>35108</v>
      </c>
      <c r="E582" s="2">
        <v>35122</v>
      </c>
      <c r="F582" s="2">
        <v>35130</v>
      </c>
      <c r="G582" s="1">
        <v>1</v>
      </c>
      <c r="H582" s="1">
        <v>90.85</v>
      </c>
      <c r="I582" s="1" t="s">
        <v>713</v>
      </c>
      <c r="J582" s="1" t="s">
        <v>714</v>
      </c>
      <c r="K582" s="1" t="s">
        <v>697</v>
      </c>
      <c r="M582" s="3">
        <v>1010</v>
      </c>
      <c r="N582" s="1" t="s">
        <v>698</v>
      </c>
    </row>
    <row r="583" spans="1:14" ht="13">
      <c r="A583" s="1">
        <v>10829</v>
      </c>
      <c r="B583" s="1" t="s">
        <v>580</v>
      </c>
      <c r="C583" s="1">
        <v>9</v>
      </c>
      <c r="D583" s="2">
        <v>35108</v>
      </c>
      <c r="E583" s="2">
        <v>35136</v>
      </c>
      <c r="F583" s="2">
        <v>35118</v>
      </c>
      <c r="G583" s="1">
        <v>1</v>
      </c>
      <c r="H583" s="1">
        <v>154.72</v>
      </c>
      <c r="I583" s="1" t="s">
        <v>581</v>
      </c>
      <c r="J583" s="1" t="s">
        <v>582</v>
      </c>
      <c r="K583" s="1" t="s">
        <v>583</v>
      </c>
      <c r="L583" s="1" t="s">
        <v>584</v>
      </c>
      <c r="M583" s="3" t="s">
        <v>585</v>
      </c>
      <c r="N583" s="1" t="s">
        <v>18</v>
      </c>
    </row>
    <row r="584" spans="1:14" ht="13">
      <c r="A584" s="1">
        <v>10830</v>
      </c>
      <c r="B584" s="1" t="s">
        <v>543</v>
      </c>
      <c r="C584" s="1">
        <v>4</v>
      </c>
      <c r="D584" s="2">
        <v>35108</v>
      </c>
      <c r="E584" s="2">
        <v>35150</v>
      </c>
      <c r="F584" s="2">
        <v>35116</v>
      </c>
      <c r="G584" s="1">
        <v>2</v>
      </c>
      <c r="H584" s="1">
        <v>81.83</v>
      </c>
      <c r="I584" s="1" t="s">
        <v>544</v>
      </c>
      <c r="J584" s="1" t="s">
        <v>545</v>
      </c>
      <c r="K584" s="1" t="s">
        <v>85</v>
      </c>
      <c r="L584" s="1" t="s">
        <v>431</v>
      </c>
      <c r="M584" s="3" t="s">
        <v>546</v>
      </c>
      <c r="N584" s="1" t="s">
        <v>86</v>
      </c>
    </row>
    <row r="585" spans="1:14" ht="13">
      <c r="A585" s="1">
        <v>10831</v>
      </c>
      <c r="B585" s="1" t="s">
        <v>675</v>
      </c>
      <c r="C585" s="1">
        <v>3</v>
      </c>
      <c r="D585" s="2">
        <v>35109</v>
      </c>
      <c r="E585" s="2">
        <v>35137</v>
      </c>
      <c r="F585" s="2">
        <v>35118</v>
      </c>
      <c r="G585" s="1">
        <v>2</v>
      </c>
      <c r="H585" s="1">
        <v>72.19</v>
      </c>
      <c r="I585" s="1" t="s">
        <v>676</v>
      </c>
      <c r="J585" s="1" t="s">
        <v>677</v>
      </c>
      <c r="K585" s="1" t="s">
        <v>678</v>
      </c>
      <c r="M585" s="3">
        <v>4110</v>
      </c>
      <c r="N585" s="1" t="s">
        <v>121</v>
      </c>
    </row>
    <row r="586" spans="1:14" ht="13">
      <c r="A586" s="1">
        <v>10832</v>
      </c>
      <c r="B586" s="1" t="s">
        <v>624</v>
      </c>
      <c r="C586" s="1">
        <v>2</v>
      </c>
      <c r="D586" s="2">
        <v>35109</v>
      </c>
      <c r="E586" s="2">
        <v>35137</v>
      </c>
      <c r="F586" s="2">
        <v>35114</v>
      </c>
      <c r="G586" s="1">
        <v>2</v>
      </c>
      <c r="H586" s="1">
        <v>43.26</v>
      </c>
      <c r="I586" s="1" t="s">
        <v>625</v>
      </c>
      <c r="J586" s="1" t="s">
        <v>626</v>
      </c>
      <c r="K586" s="1" t="s">
        <v>627</v>
      </c>
      <c r="M586" s="3">
        <v>31000</v>
      </c>
      <c r="N586" s="1" t="s">
        <v>140</v>
      </c>
    </row>
    <row r="587" spans="1:14" ht="13">
      <c r="A587" s="1">
        <v>10833</v>
      </c>
      <c r="B587" s="1" t="s">
        <v>449</v>
      </c>
      <c r="C587" s="1">
        <v>6</v>
      </c>
      <c r="D587" s="2">
        <v>35110</v>
      </c>
      <c r="E587" s="2">
        <v>35138</v>
      </c>
      <c r="F587" s="2">
        <v>35118</v>
      </c>
      <c r="G587" s="1">
        <v>2</v>
      </c>
      <c r="H587" s="1">
        <v>71.489999999999995</v>
      </c>
      <c r="I587" s="1" t="s">
        <v>450</v>
      </c>
      <c r="J587" s="1" t="s">
        <v>451</v>
      </c>
      <c r="K587" s="1" t="s">
        <v>452</v>
      </c>
      <c r="M587" s="3">
        <v>50739</v>
      </c>
      <c r="N587" s="1" t="s">
        <v>93</v>
      </c>
    </row>
    <row r="588" spans="1:14" ht="13">
      <c r="A588" s="1">
        <v>10834</v>
      </c>
      <c r="B588" s="1" t="s">
        <v>543</v>
      </c>
      <c r="C588" s="1">
        <v>1</v>
      </c>
      <c r="D588" s="2">
        <v>35110</v>
      </c>
      <c r="E588" s="2">
        <v>35138</v>
      </c>
      <c r="F588" s="2">
        <v>35114</v>
      </c>
      <c r="G588" s="1">
        <v>3</v>
      </c>
      <c r="H588" s="1">
        <v>29.78</v>
      </c>
      <c r="I588" s="1" t="s">
        <v>544</v>
      </c>
      <c r="J588" s="1" t="s">
        <v>545</v>
      </c>
      <c r="K588" s="1" t="s">
        <v>85</v>
      </c>
      <c r="L588" s="1" t="s">
        <v>431</v>
      </c>
      <c r="M588" s="3" t="s">
        <v>546</v>
      </c>
      <c r="N588" s="1" t="s">
        <v>86</v>
      </c>
    </row>
    <row r="589" spans="1:14" ht="13">
      <c r="A589" s="1">
        <v>10835</v>
      </c>
      <c r="B589" s="1" t="s">
        <v>762</v>
      </c>
      <c r="C589" s="1">
        <v>1</v>
      </c>
      <c r="D589" s="2">
        <v>35110</v>
      </c>
      <c r="E589" s="2">
        <v>35138</v>
      </c>
      <c r="F589" s="2">
        <v>35116</v>
      </c>
      <c r="G589" s="1">
        <v>3</v>
      </c>
      <c r="H589" s="1">
        <v>69.53</v>
      </c>
      <c r="I589" s="1" t="s">
        <v>768</v>
      </c>
      <c r="J589" s="1" t="s">
        <v>764</v>
      </c>
      <c r="K589" s="1" t="s">
        <v>92</v>
      </c>
      <c r="M589" s="3">
        <v>12209</v>
      </c>
      <c r="N589" s="1" t="s">
        <v>93</v>
      </c>
    </row>
    <row r="590" spans="1:14" ht="13">
      <c r="A590" s="1">
        <v>10836</v>
      </c>
      <c r="B590" s="1" t="s">
        <v>439</v>
      </c>
      <c r="C590" s="1">
        <v>7</v>
      </c>
      <c r="D590" s="2">
        <v>35111</v>
      </c>
      <c r="E590" s="2">
        <v>35139</v>
      </c>
      <c r="F590" s="2">
        <v>35116</v>
      </c>
      <c r="G590" s="1">
        <v>1</v>
      </c>
      <c r="H590" s="1">
        <v>411.88</v>
      </c>
      <c r="I590" s="1" t="s">
        <v>440</v>
      </c>
      <c r="J590" s="1" t="s">
        <v>441</v>
      </c>
      <c r="K590" s="1" t="s">
        <v>442</v>
      </c>
      <c r="M590" s="3">
        <v>8010</v>
      </c>
      <c r="N590" s="1" t="s">
        <v>443</v>
      </c>
    </row>
    <row r="591" spans="1:14" ht="13">
      <c r="A591" s="1">
        <v>10837</v>
      </c>
      <c r="B591" s="1" t="s">
        <v>509</v>
      </c>
      <c r="C591" s="1">
        <v>9</v>
      </c>
      <c r="D591" s="2">
        <v>35111</v>
      </c>
      <c r="E591" s="2">
        <v>35139</v>
      </c>
      <c r="F591" s="2">
        <v>35118</v>
      </c>
      <c r="G591" s="1">
        <v>3</v>
      </c>
      <c r="H591" s="1">
        <v>13.32</v>
      </c>
      <c r="I591" s="1" t="s">
        <v>510</v>
      </c>
      <c r="J591" s="1" t="s">
        <v>511</v>
      </c>
      <c r="K591" s="1" t="s">
        <v>512</v>
      </c>
      <c r="M591" s="3" t="s">
        <v>513</v>
      </c>
      <c r="N591" s="1" t="s">
        <v>79</v>
      </c>
    </row>
    <row r="592" spans="1:14" ht="13">
      <c r="A592" s="1">
        <v>10838</v>
      </c>
      <c r="B592" s="1" t="s">
        <v>685</v>
      </c>
      <c r="C592" s="1">
        <v>3</v>
      </c>
      <c r="D592" s="2">
        <v>35114</v>
      </c>
      <c r="E592" s="2">
        <v>35142</v>
      </c>
      <c r="F592" s="2">
        <v>35118</v>
      </c>
      <c r="G592" s="1">
        <v>3</v>
      </c>
      <c r="H592" s="1">
        <v>59.28</v>
      </c>
      <c r="I592" s="1" t="s">
        <v>686</v>
      </c>
      <c r="J592" s="1" t="s">
        <v>687</v>
      </c>
      <c r="K592" s="1" t="s">
        <v>688</v>
      </c>
      <c r="L592" s="1" t="s">
        <v>689</v>
      </c>
      <c r="M592" s="3">
        <v>4980</v>
      </c>
      <c r="N592" s="1" t="s">
        <v>438</v>
      </c>
    </row>
    <row r="593" spans="1:14" ht="13">
      <c r="A593" s="1">
        <v>10839</v>
      </c>
      <c r="B593" s="1" t="s">
        <v>543</v>
      </c>
      <c r="C593" s="1">
        <v>3</v>
      </c>
      <c r="D593" s="2">
        <v>35114</v>
      </c>
      <c r="E593" s="2">
        <v>35142</v>
      </c>
      <c r="F593" s="2">
        <v>35117</v>
      </c>
      <c r="G593" s="1">
        <v>3</v>
      </c>
      <c r="H593" s="1">
        <v>35.43</v>
      </c>
      <c r="I593" s="1" t="s">
        <v>544</v>
      </c>
      <c r="J593" s="1" t="s">
        <v>545</v>
      </c>
      <c r="K593" s="1" t="s">
        <v>85</v>
      </c>
      <c r="L593" s="1" t="s">
        <v>431</v>
      </c>
      <c r="M593" s="3" t="s">
        <v>546</v>
      </c>
      <c r="N593" s="1" t="s">
        <v>86</v>
      </c>
    </row>
    <row r="594" spans="1:14" ht="13">
      <c r="A594" s="1">
        <v>10840</v>
      </c>
      <c r="B594" s="1" t="s">
        <v>685</v>
      </c>
      <c r="C594" s="1">
        <v>4</v>
      </c>
      <c r="D594" s="2">
        <v>35114</v>
      </c>
      <c r="E594" s="2">
        <v>35156</v>
      </c>
      <c r="F594" s="2">
        <v>35142</v>
      </c>
      <c r="G594" s="1">
        <v>2</v>
      </c>
      <c r="H594" s="1">
        <v>2.71</v>
      </c>
      <c r="I594" s="1" t="s">
        <v>686</v>
      </c>
      <c r="J594" s="1" t="s">
        <v>687</v>
      </c>
      <c r="K594" s="1" t="s">
        <v>688</v>
      </c>
      <c r="L594" s="1" t="s">
        <v>689</v>
      </c>
      <c r="M594" s="3">
        <v>4980</v>
      </c>
      <c r="N594" s="1" t="s">
        <v>438</v>
      </c>
    </row>
    <row r="595" spans="1:14" ht="13">
      <c r="A595" s="1">
        <v>10841</v>
      </c>
      <c r="B595" s="1" t="s">
        <v>412</v>
      </c>
      <c r="C595" s="1">
        <v>5</v>
      </c>
      <c r="D595" s="2">
        <v>35115</v>
      </c>
      <c r="E595" s="2">
        <v>35143</v>
      </c>
      <c r="F595" s="2">
        <v>35124</v>
      </c>
      <c r="G595" s="1">
        <v>2</v>
      </c>
      <c r="H595" s="1">
        <v>424.3</v>
      </c>
      <c r="I595" s="1" t="s">
        <v>413</v>
      </c>
      <c r="J595" s="1" t="s">
        <v>414</v>
      </c>
      <c r="K595" s="1" t="s">
        <v>415</v>
      </c>
      <c r="M595" s="3" t="s">
        <v>416</v>
      </c>
      <c r="N595" s="1" t="s">
        <v>417</v>
      </c>
    </row>
    <row r="596" spans="1:14" ht="13">
      <c r="A596" s="1">
        <v>10842</v>
      </c>
      <c r="B596" s="1" t="s">
        <v>502</v>
      </c>
      <c r="C596" s="1">
        <v>1</v>
      </c>
      <c r="D596" s="2">
        <v>35115</v>
      </c>
      <c r="E596" s="2">
        <v>35143</v>
      </c>
      <c r="F596" s="2">
        <v>35124</v>
      </c>
      <c r="G596" s="1">
        <v>3</v>
      </c>
      <c r="H596" s="1">
        <v>54.42</v>
      </c>
      <c r="I596" s="1" t="s">
        <v>503</v>
      </c>
      <c r="J596" s="1" t="s">
        <v>504</v>
      </c>
      <c r="K596" s="1" t="s">
        <v>447</v>
      </c>
      <c r="M596" s="3">
        <v>5033</v>
      </c>
      <c r="N596" s="1" t="s">
        <v>448</v>
      </c>
    </row>
    <row r="597" spans="1:14" ht="13">
      <c r="A597" s="1">
        <v>10843</v>
      </c>
      <c r="B597" s="1" t="s">
        <v>408</v>
      </c>
      <c r="C597" s="1">
        <v>4</v>
      </c>
      <c r="D597" s="2">
        <v>35116</v>
      </c>
      <c r="E597" s="2">
        <v>35144</v>
      </c>
      <c r="F597" s="2">
        <v>35121</v>
      </c>
      <c r="G597" s="1">
        <v>2</v>
      </c>
      <c r="H597" s="1">
        <v>9.26</v>
      </c>
      <c r="I597" s="1" t="s">
        <v>409</v>
      </c>
      <c r="J597" s="1" t="s">
        <v>410</v>
      </c>
      <c r="K597" s="1" t="s">
        <v>411</v>
      </c>
      <c r="M597" s="3">
        <v>69004</v>
      </c>
      <c r="N597" s="1" t="s">
        <v>140</v>
      </c>
    </row>
    <row r="598" spans="1:14" ht="13">
      <c r="A598" s="1">
        <v>10844</v>
      </c>
      <c r="B598" s="1" t="s">
        <v>628</v>
      </c>
      <c r="C598" s="1">
        <v>8</v>
      </c>
      <c r="D598" s="2">
        <v>35116</v>
      </c>
      <c r="E598" s="2">
        <v>35144</v>
      </c>
      <c r="F598" s="2">
        <v>35121</v>
      </c>
      <c r="G598" s="1">
        <v>2</v>
      </c>
      <c r="H598" s="1">
        <v>25.22</v>
      </c>
      <c r="I598" s="1" t="s">
        <v>629</v>
      </c>
      <c r="J598" s="1" t="s">
        <v>630</v>
      </c>
      <c r="K598" s="1" t="s">
        <v>631</v>
      </c>
      <c r="M598" s="3">
        <v>5020</v>
      </c>
      <c r="N598" s="1" t="s">
        <v>443</v>
      </c>
    </row>
    <row r="599" spans="1:14" ht="13">
      <c r="A599" s="1">
        <v>10845</v>
      </c>
      <c r="B599" s="1" t="s">
        <v>494</v>
      </c>
      <c r="C599" s="1">
        <v>8</v>
      </c>
      <c r="D599" s="2">
        <v>35116</v>
      </c>
      <c r="E599" s="2">
        <v>35130</v>
      </c>
      <c r="F599" s="2">
        <v>35125</v>
      </c>
      <c r="G599" s="1">
        <v>1</v>
      </c>
      <c r="H599" s="1">
        <v>212.98</v>
      </c>
      <c r="I599" s="1" t="s">
        <v>495</v>
      </c>
      <c r="J599" s="1" t="s">
        <v>496</v>
      </c>
      <c r="K599" s="1" t="s">
        <v>497</v>
      </c>
      <c r="M599" s="3">
        <v>1307</v>
      </c>
      <c r="N599" s="1" t="s">
        <v>93</v>
      </c>
    </row>
    <row r="600" spans="1:14" ht="13">
      <c r="A600" s="1">
        <v>10846</v>
      </c>
      <c r="B600" s="1" t="s">
        <v>412</v>
      </c>
      <c r="C600" s="1">
        <v>2</v>
      </c>
      <c r="D600" s="2">
        <v>35117</v>
      </c>
      <c r="E600" s="2">
        <v>35159</v>
      </c>
      <c r="F600" s="2">
        <v>35118</v>
      </c>
      <c r="G600" s="1">
        <v>3</v>
      </c>
      <c r="H600" s="1">
        <v>56.46</v>
      </c>
      <c r="I600" s="1" t="s">
        <v>413</v>
      </c>
      <c r="J600" s="1" t="s">
        <v>414</v>
      </c>
      <c r="K600" s="1" t="s">
        <v>415</v>
      </c>
      <c r="M600" s="3" t="s">
        <v>416</v>
      </c>
      <c r="N600" s="1" t="s">
        <v>417</v>
      </c>
    </row>
    <row r="601" spans="1:14" ht="13">
      <c r="A601" s="1">
        <v>10847</v>
      </c>
      <c r="B601" s="1" t="s">
        <v>593</v>
      </c>
      <c r="C601" s="1">
        <v>4</v>
      </c>
      <c r="D601" s="2">
        <v>35117</v>
      </c>
      <c r="E601" s="2">
        <v>35131</v>
      </c>
      <c r="F601" s="2">
        <v>35136</v>
      </c>
      <c r="G601" s="1">
        <v>3</v>
      </c>
      <c r="H601" s="1">
        <v>487.57</v>
      </c>
      <c r="I601" s="1" t="s">
        <v>594</v>
      </c>
      <c r="J601" s="1" t="s">
        <v>595</v>
      </c>
      <c r="K601" s="1" t="s">
        <v>596</v>
      </c>
      <c r="L601" s="1" t="s">
        <v>597</v>
      </c>
      <c r="M601" s="3">
        <v>83720</v>
      </c>
      <c r="N601" s="1" t="s">
        <v>26</v>
      </c>
    </row>
    <row r="602" spans="1:14" ht="13">
      <c r="A602" s="1">
        <v>10848</v>
      </c>
      <c r="B602" s="1" t="s">
        <v>708</v>
      </c>
      <c r="C602" s="1">
        <v>7</v>
      </c>
      <c r="D602" s="2">
        <v>35118</v>
      </c>
      <c r="E602" s="2">
        <v>35146</v>
      </c>
      <c r="F602" s="2">
        <v>35124</v>
      </c>
      <c r="G602" s="1">
        <v>2</v>
      </c>
      <c r="H602" s="1">
        <v>38.24</v>
      </c>
      <c r="I602" s="1" t="s">
        <v>709</v>
      </c>
      <c r="J602" s="1" t="s">
        <v>710</v>
      </c>
      <c r="K602" s="1" t="s">
        <v>16</v>
      </c>
      <c r="M602" s="3" t="s">
        <v>711</v>
      </c>
      <c r="N602" s="1" t="s">
        <v>18</v>
      </c>
    </row>
    <row r="603" spans="1:14" ht="13">
      <c r="A603" s="1">
        <v>10849</v>
      </c>
      <c r="B603" s="1" t="s">
        <v>589</v>
      </c>
      <c r="C603" s="1">
        <v>9</v>
      </c>
      <c r="D603" s="2">
        <v>35118</v>
      </c>
      <c r="E603" s="2">
        <v>35146</v>
      </c>
      <c r="F603" s="2">
        <v>35125</v>
      </c>
      <c r="G603" s="1">
        <v>2</v>
      </c>
      <c r="H603" s="1">
        <v>0.56000000000000005</v>
      </c>
      <c r="I603" s="1" t="s">
        <v>590</v>
      </c>
      <c r="J603" s="1" t="s">
        <v>591</v>
      </c>
      <c r="K603" s="1" t="s">
        <v>592</v>
      </c>
      <c r="M603" s="3">
        <v>14776</v>
      </c>
      <c r="N603" s="1" t="s">
        <v>93</v>
      </c>
    </row>
    <row r="604" spans="1:14" ht="13">
      <c r="A604" s="1">
        <v>10850</v>
      </c>
      <c r="B604" s="1" t="s">
        <v>408</v>
      </c>
      <c r="C604" s="1">
        <v>1</v>
      </c>
      <c r="D604" s="2">
        <v>35118</v>
      </c>
      <c r="E604" s="2">
        <v>35160</v>
      </c>
      <c r="F604" s="2">
        <v>35125</v>
      </c>
      <c r="G604" s="1">
        <v>1</v>
      </c>
      <c r="H604" s="1">
        <v>49.19</v>
      </c>
      <c r="I604" s="1" t="s">
        <v>409</v>
      </c>
      <c r="J604" s="1" t="s">
        <v>410</v>
      </c>
      <c r="K604" s="1" t="s">
        <v>411</v>
      </c>
      <c r="M604" s="3">
        <v>69004</v>
      </c>
      <c r="N604" s="1" t="s">
        <v>140</v>
      </c>
    </row>
    <row r="605" spans="1:14" ht="13">
      <c r="A605" s="1">
        <v>10851</v>
      </c>
      <c r="B605" s="1" t="s">
        <v>527</v>
      </c>
      <c r="C605" s="1">
        <v>5</v>
      </c>
      <c r="D605" s="2">
        <v>35121</v>
      </c>
      <c r="E605" s="2">
        <v>35149</v>
      </c>
      <c r="F605" s="2">
        <v>35128</v>
      </c>
      <c r="G605" s="1">
        <v>1</v>
      </c>
      <c r="H605" s="1">
        <v>160.55000000000001</v>
      </c>
      <c r="I605" s="1" t="s">
        <v>528</v>
      </c>
      <c r="J605" s="1" t="s">
        <v>529</v>
      </c>
      <c r="K605" s="1" t="s">
        <v>405</v>
      </c>
      <c r="L605" s="1" t="s">
        <v>406</v>
      </c>
      <c r="M605" s="3" t="s">
        <v>530</v>
      </c>
      <c r="N605" s="1" t="s">
        <v>86</v>
      </c>
    </row>
    <row r="606" spans="1:14" ht="13">
      <c r="A606" s="1">
        <v>10852</v>
      </c>
      <c r="B606" s="1" t="s">
        <v>457</v>
      </c>
      <c r="C606" s="1">
        <v>8</v>
      </c>
      <c r="D606" s="2">
        <v>35121</v>
      </c>
      <c r="E606" s="2">
        <v>35135</v>
      </c>
      <c r="F606" s="2">
        <v>35125</v>
      </c>
      <c r="G606" s="1">
        <v>1</v>
      </c>
      <c r="H606" s="1">
        <v>174.05</v>
      </c>
      <c r="I606" s="1" t="s">
        <v>458</v>
      </c>
      <c r="J606" s="1" t="s">
        <v>459</v>
      </c>
      <c r="K606" s="1" t="s">
        <v>460</v>
      </c>
      <c r="L606" s="1" t="s">
        <v>461</v>
      </c>
      <c r="M606" s="3">
        <v>87110</v>
      </c>
      <c r="N606" s="1" t="s">
        <v>26</v>
      </c>
    </row>
    <row r="607" spans="1:14" ht="13">
      <c r="A607" s="1">
        <v>10853</v>
      </c>
      <c r="B607" s="1" t="s">
        <v>724</v>
      </c>
      <c r="C607" s="1">
        <v>9</v>
      </c>
      <c r="D607" s="2">
        <v>35122</v>
      </c>
      <c r="E607" s="2">
        <v>35150</v>
      </c>
      <c r="F607" s="2">
        <v>35129</v>
      </c>
      <c r="G607" s="1">
        <v>2</v>
      </c>
      <c r="H607" s="1">
        <v>53.83</v>
      </c>
      <c r="I607" s="1" t="s">
        <v>725</v>
      </c>
      <c r="J607" s="1" t="s">
        <v>726</v>
      </c>
      <c r="K607" s="1" t="s">
        <v>727</v>
      </c>
      <c r="M607" s="3">
        <v>68306</v>
      </c>
      <c r="N607" s="1" t="s">
        <v>93</v>
      </c>
    </row>
    <row r="608" spans="1:14" ht="13">
      <c r="A608" s="1">
        <v>10854</v>
      </c>
      <c r="B608" s="1" t="s">
        <v>439</v>
      </c>
      <c r="C608" s="1">
        <v>3</v>
      </c>
      <c r="D608" s="2">
        <v>35122</v>
      </c>
      <c r="E608" s="2">
        <v>35150</v>
      </c>
      <c r="F608" s="2">
        <v>35131</v>
      </c>
      <c r="G608" s="1">
        <v>2</v>
      </c>
      <c r="H608" s="1">
        <v>100.22</v>
      </c>
      <c r="I608" s="1" t="s">
        <v>440</v>
      </c>
      <c r="J608" s="1" t="s">
        <v>441</v>
      </c>
      <c r="K608" s="1" t="s">
        <v>442</v>
      </c>
      <c r="M608" s="3">
        <v>8010</v>
      </c>
      <c r="N608" s="1" t="s">
        <v>443</v>
      </c>
    </row>
    <row r="609" spans="1:14" ht="13">
      <c r="A609" s="1">
        <v>10855</v>
      </c>
      <c r="B609" s="1" t="s">
        <v>561</v>
      </c>
      <c r="C609" s="1">
        <v>3</v>
      </c>
      <c r="D609" s="2">
        <v>35122</v>
      </c>
      <c r="E609" s="2">
        <v>35150</v>
      </c>
      <c r="F609" s="2">
        <v>35130</v>
      </c>
      <c r="G609" s="1">
        <v>1</v>
      </c>
      <c r="H609" s="1">
        <v>170.97</v>
      </c>
      <c r="I609" s="1" t="s">
        <v>562</v>
      </c>
      <c r="J609" s="1" t="s">
        <v>563</v>
      </c>
      <c r="K609" s="1" t="s">
        <v>564</v>
      </c>
      <c r="L609" s="1" t="s">
        <v>565</v>
      </c>
      <c r="M609" s="3">
        <v>99508</v>
      </c>
      <c r="N609" s="1" t="s">
        <v>26</v>
      </c>
    </row>
    <row r="610" spans="1:14" ht="13">
      <c r="A610" s="1">
        <v>10856</v>
      </c>
      <c r="B610" s="1" t="s">
        <v>650</v>
      </c>
      <c r="C610" s="1">
        <v>3</v>
      </c>
      <c r="D610" s="2">
        <v>35123</v>
      </c>
      <c r="E610" s="2">
        <v>35151</v>
      </c>
      <c r="F610" s="2">
        <v>35136</v>
      </c>
      <c r="G610" s="1">
        <v>2</v>
      </c>
      <c r="H610" s="1">
        <v>58.43</v>
      </c>
      <c r="I610" s="1" t="s">
        <v>651</v>
      </c>
      <c r="J610" s="1" t="s">
        <v>652</v>
      </c>
      <c r="K610" s="1" t="s">
        <v>447</v>
      </c>
      <c r="M610" s="3">
        <v>5023</v>
      </c>
      <c r="N610" s="1" t="s">
        <v>448</v>
      </c>
    </row>
    <row r="611" spans="1:14" ht="13">
      <c r="A611" s="1">
        <v>10857</v>
      </c>
      <c r="B611" s="1" t="s">
        <v>509</v>
      </c>
      <c r="C611" s="1">
        <v>8</v>
      </c>
      <c r="D611" s="2">
        <v>35123</v>
      </c>
      <c r="E611" s="2">
        <v>35151</v>
      </c>
      <c r="F611" s="2">
        <v>35132</v>
      </c>
      <c r="G611" s="1">
        <v>2</v>
      </c>
      <c r="H611" s="1">
        <v>188.85</v>
      </c>
      <c r="I611" s="1" t="s">
        <v>510</v>
      </c>
      <c r="J611" s="1" t="s">
        <v>511</v>
      </c>
      <c r="K611" s="1" t="s">
        <v>512</v>
      </c>
      <c r="M611" s="3" t="s">
        <v>513</v>
      </c>
      <c r="N611" s="1" t="s">
        <v>79</v>
      </c>
    </row>
    <row r="612" spans="1:14" ht="13">
      <c r="A612" s="1">
        <v>10858</v>
      </c>
      <c r="B612" s="1" t="s">
        <v>772</v>
      </c>
      <c r="C612" s="1">
        <v>2</v>
      </c>
      <c r="D612" s="2">
        <v>35124</v>
      </c>
      <c r="E612" s="2">
        <v>35152</v>
      </c>
      <c r="F612" s="2">
        <v>35129</v>
      </c>
      <c r="G612" s="1">
        <v>1</v>
      </c>
      <c r="H612" s="1">
        <v>52.51</v>
      </c>
      <c r="I612" s="1" t="s">
        <v>773</v>
      </c>
      <c r="J612" s="1" t="s">
        <v>774</v>
      </c>
      <c r="K612" s="1" t="s">
        <v>775</v>
      </c>
      <c r="M612" s="3">
        <v>78000</v>
      </c>
      <c r="N612" s="1" t="s">
        <v>140</v>
      </c>
    </row>
    <row r="613" spans="1:14" ht="13">
      <c r="A613" s="1">
        <v>10859</v>
      </c>
      <c r="B613" s="1" t="s">
        <v>475</v>
      </c>
      <c r="C613" s="1">
        <v>1</v>
      </c>
      <c r="D613" s="2">
        <v>35124</v>
      </c>
      <c r="E613" s="2">
        <v>35152</v>
      </c>
      <c r="F613" s="2">
        <v>35128</v>
      </c>
      <c r="G613" s="1">
        <v>2</v>
      </c>
      <c r="H613" s="1">
        <v>76.099999999999994</v>
      </c>
      <c r="I613" s="1" t="s">
        <v>476</v>
      </c>
      <c r="J613" s="1" t="s">
        <v>477</v>
      </c>
      <c r="K613" s="1" t="s">
        <v>478</v>
      </c>
      <c r="M613" s="3">
        <v>80805</v>
      </c>
      <c r="N613" s="1" t="s">
        <v>93</v>
      </c>
    </row>
    <row r="614" spans="1:14" ht="13">
      <c r="A614" s="1">
        <v>10860</v>
      </c>
      <c r="B614" s="1" t="s">
        <v>765</v>
      </c>
      <c r="C614" s="1">
        <v>3</v>
      </c>
      <c r="D614" s="2">
        <v>35124</v>
      </c>
      <c r="E614" s="2">
        <v>35152</v>
      </c>
      <c r="F614" s="2">
        <v>35130</v>
      </c>
      <c r="G614" s="1">
        <v>3</v>
      </c>
      <c r="H614" s="1">
        <v>19.260000000000002</v>
      </c>
      <c r="I614" s="1" t="s">
        <v>766</v>
      </c>
      <c r="J614" s="1" t="s">
        <v>767</v>
      </c>
      <c r="K614" s="1" t="s">
        <v>579</v>
      </c>
      <c r="M614" s="3">
        <v>44000</v>
      </c>
      <c r="N614" s="1" t="s">
        <v>140</v>
      </c>
    </row>
    <row r="615" spans="1:14" ht="13">
      <c r="A615" s="1">
        <v>10861</v>
      </c>
      <c r="B615" s="1" t="s">
        <v>484</v>
      </c>
      <c r="C615" s="1">
        <v>4</v>
      </c>
      <c r="D615" s="2">
        <v>35125</v>
      </c>
      <c r="E615" s="2">
        <v>35153</v>
      </c>
      <c r="F615" s="2">
        <v>35143</v>
      </c>
      <c r="G615" s="1">
        <v>2</v>
      </c>
      <c r="H615" s="1">
        <v>14.93</v>
      </c>
      <c r="I615" s="1" t="s">
        <v>485</v>
      </c>
      <c r="J615" s="1" t="s">
        <v>486</v>
      </c>
      <c r="K615" s="1" t="s">
        <v>487</v>
      </c>
      <c r="L615" s="1" t="s">
        <v>488</v>
      </c>
      <c r="M615" s="3">
        <v>98124</v>
      </c>
      <c r="N615" s="1" t="s">
        <v>26</v>
      </c>
    </row>
    <row r="616" spans="1:14" ht="13">
      <c r="A616" s="1">
        <v>10862</v>
      </c>
      <c r="B616" s="1" t="s">
        <v>514</v>
      </c>
      <c r="C616" s="1">
        <v>8</v>
      </c>
      <c r="D616" s="2">
        <v>35125</v>
      </c>
      <c r="E616" s="2">
        <v>35167</v>
      </c>
      <c r="F616" s="2">
        <v>35128</v>
      </c>
      <c r="G616" s="1">
        <v>2</v>
      </c>
      <c r="H616" s="1">
        <v>53.23</v>
      </c>
      <c r="I616" s="1" t="s">
        <v>515</v>
      </c>
      <c r="J616" s="1" t="s">
        <v>516</v>
      </c>
      <c r="K616" s="1" t="s">
        <v>517</v>
      </c>
      <c r="M616" s="3">
        <v>60528</v>
      </c>
      <c r="N616" s="1" t="s">
        <v>93</v>
      </c>
    </row>
    <row r="617" spans="1:14" ht="13">
      <c r="A617" s="1">
        <v>10863</v>
      </c>
      <c r="B617" s="1" t="s">
        <v>433</v>
      </c>
      <c r="C617" s="1">
        <v>4</v>
      </c>
      <c r="D617" s="2">
        <v>35128</v>
      </c>
      <c r="E617" s="2">
        <v>35156</v>
      </c>
      <c r="F617" s="2">
        <v>35143</v>
      </c>
      <c r="G617" s="1">
        <v>2</v>
      </c>
      <c r="H617" s="1">
        <v>30.26</v>
      </c>
      <c r="I617" s="1" t="s">
        <v>434</v>
      </c>
      <c r="J617" s="1" t="s">
        <v>435</v>
      </c>
      <c r="K617" s="1" t="s">
        <v>436</v>
      </c>
      <c r="L617" s="1" t="s">
        <v>437</v>
      </c>
      <c r="M617" s="3">
        <v>5022</v>
      </c>
      <c r="N617" s="1" t="s">
        <v>438</v>
      </c>
    </row>
    <row r="618" spans="1:14" ht="13">
      <c r="A618" s="1">
        <v>10864</v>
      </c>
      <c r="B618" s="1" t="s">
        <v>632</v>
      </c>
      <c r="C618" s="1">
        <v>4</v>
      </c>
      <c r="D618" s="2">
        <v>35128</v>
      </c>
      <c r="E618" s="2">
        <v>35156</v>
      </c>
      <c r="F618" s="2">
        <v>35135</v>
      </c>
      <c r="G618" s="1">
        <v>2</v>
      </c>
      <c r="H618" s="1">
        <v>3.04</v>
      </c>
      <c r="I618" s="1" t="s">
        <v>633</v>
      </c>
      <c r="J618" s="1" t="s">
        <v>634</v>
      </c>
      <c r="K618" s="1" t="s">
        <v>635</v>
      </c>
      <c r="L618" s="1" t="s">
        <v>636</v>
      </c>
      <c r="M618" s="3" t="s">
        <v>637</v>
      </c>
      <c r="N618" s="1" t="s">
        <v>18</v>
      </c>
    </row>
    <row r="619" spans="1:14" ht="13">
      <c r="A619" s="1">
        <v>10865</v>
      </c>
      <c r="B619" s="1" t="s">
        <v>494</v>
      </c>
      <c r="C619" s="1">
        <v>2</v>
      </c>
      <c r="D619" s="2">
        <v>35128</v>
      </c>
      <c r="E619" s="2">
        <v>35142</v>
      </c>
      <c r="F619" s="2">
        <v>35138</v>
      </c>
      <c r="G619" s="1">
        <v>1</v>
      </c>
      <c r="H619" s="1">
        <v>348.14</v>
      </c>
      <c r="I619" s="1" t="s">
        <v>495</v>
      </c>
      <c r="J619" s="1" t="s">
        <v>496</v>
      </c>
      <c r="K619" s="1" t="s">
        <v>497</v>
      </c>
      <c r="M619" s="3">
        <v>1307</v>
      </c>
      <c r="N619" s="1" t="s">
        <v>93</v>
      </c>
    </row>
    <row r="620" spans="1:14" ht="13">
      <c r="A620" s="1">
        <v>10866</v>
      </c>
      <c r="B620" s="1" t="s">
        <v>509</v>
      </c>
      <c r="C620" s="1">
        <v>5</v>
      </c>
      <c r="D620" s="2">
        <v>35129</v>
      </c>
      <c r="E620" s="2">
        <v>35157</v>
      </c>
      <c r="F620" s="2">
        <v>35138</v>
      </c>
      <c r="G620" s="1">
        <v>1</v>
      </c>
      <c r="H620" s="1">
        <v>109.11</v>
      </c>
      <c r="I620" s="1" t="s">
        <v>510</v>
      </c>
      <c r="J620" s="1" t="s">
        <v>511</v>
      </c>
      <c r="K620" s="1" t="s">
        <v>512</v>
      </c>
      <c r="M620" s="3" t="s">
        <v>513</v>
      </c>
      <c r="N620" s="1" t="s">
        <v>79</v>
      </c>
    </row>
    <row r="621" spans="1:14" ht="13">
      <c r="A621" s="1">
        <v>10867</v>
      </c>
      <c r="B621" s="1" t="s">
        <v>566</v>
      </c>
      <c r="C621" s="1">
        <v>6</v>
      </c>
      <c r="D621" s="2">
        <v>35129</v>
      </c>
      <c r="E621" s="2">
        <v>35171</v>
      </c>
      <c r="F621" s="2">
        <v>35137</v>
      </c>
      <c r="G621" s="1">
        <v>1</v>
      </c>
      <c r="H621" s="1">
        <v>1.93</v>
      </c>
      <c r="I621" s="1" t="s">
        <v>567</v>
      </c>
      <c r="J621" s="1" t="s">
        <v>568</v>
      </c>
      <c r="K621" s="1" t="s">
        <v>569</v>
      </c>
      <c r="L621" s="1" t="s">
        <v>128</v>
      </c>
      <c r="M621" s="3">
        <v>97219</v>
      </c>
      <c r="N621" s="1" t="s">
        <v>26</v>
      </c>
    </row>
    <row r="622" spans="1:14" ht="13">
      <c r="A622" s="1">
        <v>10868</v>
      </c>
      <c r="B622" s="1" t="s">
        <v>661</v>
      </c>
      <c r="C622" s="1">
        <v>7</v>
      </c>
      <c r="D622" s="2">
        <v>35130</v>
      </c>
      <c r="E622" s="2">
        <v>35158</v>
      </c>
      <c r="F622" s="2">
        <v>35149</v>
      </c>
      <c r="G622" s="1">
        <v>2</v>
      </c>
      <c r="H622" s="1">
        <v>191.27</v>
      </c>
      <c r="I622" s="1" t="s">
        <v>662</v>
      </c>
      <c r="J622" s="1" t="s">
        <v>663</v>
      </c>
      <c r="K622" s="1" t="s">
        <v>85</v>
      </c>
      <c r="L622" s="1" t="s">
        <v>431</v>
      </c>
      <c r="M622" s="3" t="s">
        <v>664</v>
      </c>
      <c r="N622" s="1" t="s">
        <v>86</v>
      </c>
    </row>
    <row r="623" spans="1:14" ht="13">
      <c r="A623" s="1">
        <v>10869</v>
      </c>
      <c r="B623" s="1" t="s">
        <v>638</v>
      </c>
      <c r="C623" s="1">
        <v>5</v>
      </c>
      <c r="D623" s="2">
        <v>35130</v>
      </c>
      <c r="E623" s="2">
        <v>35158</v>
      </c>
      <c r="F623" s="2">
        <v>35135</v>
      </c>
      <c r="G623" s="1">
        <v>1</v>
      </c>
      <c r="H623" s="1">
        <v>143.28</v>
      </c>
      <c r="I623" s="1" t="s">
        <v>639</v>
      </c>
      <c r="J623" s="1" t="s">
        <v>640</v>
      </c>
      <c r="K623" s="1" t="s">
        <v>16</v>
      </c>
      <c r="M623" s="3" t="s">
        <v>641</v>
      </c>
      <c r="N623" s="1" t="s">
        <v>18</v>
      </c>
    </row>
    <row r="624" spans="1:14" ht="13">
      <c r="A624" s="1">
        <v>10870</v>
      </c>
      <c r="B624" s="1" t="s">
        <v>665</v>
      </c>
      <c r="C624" s="1">
        <v>5</v>
      </c>
      <c r="D624" s="2">
        <v>35130</v>
      </c>
      <c r="E624" s="2">
        <v>35158</v>
      </c>
      <c r="F624" s="2">
        <v>35139</v>
      </c>
      <c r="G624" s="1">
        <v>3</v>
      </c>
      <c r="H624" s="1">
        <v>12.04</v>
      </c>
      <c r="I624" s="1" t="s">
        <v>666</v>
      </c>
      <c r="J624" s="1" t="s">
        <v>667</v>
      </c>
      <c r="K624" s="1" t="s">
        <v>668</v>
      </c>
      <c r="M624" s="3" t="s">
        <v>669</v>
      </c>
      <c r="N624" s="1" t="s">
        <v>670</v>
      </c>
    </row>
    <row r="625" spans="1:14" ht="13">
      <c r="A625" s="1">
        <v>10871</v>
      </c>
      <c r="B625" s="1" t="s">
        <v>606</v>
      </c>
      <c r="C625" s="1">
        <v>9</v>
      </c>
      <c r="D625" s="2">
        <v>35131</v>
      </c>
      <c r="E625" s="2">
        <v>35159</v>
      </c>
      <c r="F625" s="2">
        <v>35136</v>
      </c>
      <c r="G625" s="1">
        <v>2</v>
      </c>
      <c r="H625" s="1">
        <v>112.27</v>
      </c>
      <c r="I625" s="1" t="s">
        <v>607</v>
      </c>
      <c r="J625" s="1" t="s">
        <v>608</v>
      </c>
      <c r="K625" s="1" t="s">
        <v>609</v>
      </c>
      <c r="M625" s="3">
        <v>13008</v>
      </c>
      <c r="N625" s="1" t="s">
        <v>140</v>
      </c>
    </row>
    <row r="626" spans="1:14" ht="13">
      <c r="A626" s="1">
        <v>10872</v>
      </c>
      <c r="B626" s="1" t="s">
        <v>557</v>
      </c>
      <c r="C626" s="1">
        <v>5</v>
      </c>
      <c r="D626" s="2">
        <v>35131</v>
      </c>
      <c r="E626" s="2">
        <v>35159</v>
      </c>
      <c r="F626" s="2">
        <v>35135</v>
      </c>
      <c r="G626" s="1">
        <v>2</v>
      </c>
      <c r="H626" s="1">
        <v>175.32</v>
      </c>
      <c r="I626" s="1" t="s">
        <v>558</v>
      </c>
      <c r="J626" s="1" t="s">
        <v>559</v>
      </c>
      <c r="K626" s="1" t="s">
        <v>560</v>
      </c>
      <c r="M626" s="3">
        <v>41101</v>
      </c>
      <c r="N626" s="1" t="s">
        <v>50</v>
      </c>
    </row>
    <row r="627" spans="1:14" ht="13">
      <c r="A627" s="1">
        <v>10873</v>
      </c>
      <c r="B627" s="1" t="s">
        <v>753</v>
      </c>
      <c r="C627" s="1">
        <v>4</v>
      </c>
      <c r="D627" s="2">
        <v>35132</v>
      </c>
      <c r="E627" s="2">
        <v>35160</v>
      </c>
      <c r="F627" s="2">
        <v>35135</v>
      </c>
      <c r="G627" s="1">
        <v>1</v>
      </c>
      <c r="H627" s="1">
        <v>0.82</v>
      </c>
      <c r="I627" s="1" t="s">
        <v>754</v>
      </c>
      <c r="J627" s="1" t="s">
        <v>755</v>
      </c>
      <c r="K627" s="1" t="s">
        <v>756</v>
      </c>
      <c r="M627" s="3">
        <v>21240</v>
      </c>
      <c r="N627" s="1" t="s">
        <v>176</v>
      </c>
    </row>
    <row r="628" spans="1:14" ht="13">
      <c r="A628" s="1">
        <v>10874</v>
      </c>
      <c r="B628" s="1" t="s">
        <v>557</v>
      </c>
      <c r="C628" s="1">
        <v>5</v>
      </c>
      <c r="D628" s="2">
        <v>35132</v>
      </c>
      <c r="E628" s="2">
        <v>35160</v>
      </c>
      <c r="F628" s="2">
        <v>35137</v>
      </c>
      <c r="G628" s="1">
        <v>2</v>
      </c>
      <c r="H628" s="1">
        <v>19.579999999999998</v>
      </c>
      <c r="I628" s="1" t="s">
        <v>558</v>
      </c>
      <c r="J628" s="1" t="s">
        <v>559</v>
      </c>
      <c r="K628" s="1" t="s">
        <v>560</v>
      </c>
      <c r="M628" s="3">
        <v>41101</v>
      </c>
      <c r="N628" s="1" t="s">
        <v>50</v>
      </c>
    </row>
    <row r="629" spans="1:14" ht="13">
      <c r="A629" s="1">
        <v>10875</v>
      </c>
      <c r="B629" s="1" t="s">
        <v>509</v>
      </c>
      <c r="C629" s="1">
        <v>4</v>
      </c>
      <c r="D629" s="2">
        <v>35132</v>
      </c>
      <c r="E629" s="2">
        <v>35160</v>
      </c>
      <c r="F629" s="2">
        <v>35157</v>
      </c>
      <c r="G629" s="1">
        <v>2</v>
      </c>
      <c r="H629" s="1">
        <v>32.369999999999997</v>
      </c>
      <c r="I629" s="1" t="s">
        <v>510</v>
      </c>
      <c r="J629" s="1" t="s">
        <v>511</v>
      </c>
      <c r="K629" s="1" t="s">
        <v>512</v>
      </c>
      <c r="M629" s="3" t="s">
        <v>513</v>
      </c>
      <c r="N629" s="1" t="s">
        <v>79</v>
      </c>
    </row>
    <row r="630" spans="1:14" ht="13">
      <c r="A630" s="1">
        <v>10876</v>
      </c>
      <c r="B630" s="1" t="s">
        <v>606</v>
      </c>
      <c r="C630" s="1">
        <v>7</v>
      </c>
      <c r="D630" s="2">
        <v>35135</v>
      </c>
      <c r="E630" s="2">
        <v>35163</v>
      </c>
      <c r="F630" s="2">
        <v>35138</v>
      </c>
      <c r="G630" s="1">
        <v>3</v>
      </c>
      <c r="H630" s="1">
        <v>60.42</v>
      </c>
      <c r="I630" s="1" t="s">
        <v>607</v>
      </c>
      <c r="J630" s="1" t="s">
        <v>608</v>
      </c>
      <c r="K630" s="1" t="s">
        <v>609</v>
      </c>
      <c r="M630" s="3">
        <v>13008</v>
      </c>
      <c r="N630" s="1" t="s">
        <v>140</v>
      </c>
    </row>
    <row r="631" spans="1:14" ht="13">
      <c r="A631" s="1">
        <v>10877</v>
      </c>
      <c r="B631" s="1" t="s">
        <v>527</v>
      </c>
      <c r="C631" s="1">
        <v>1</v>
      </c>
      <c r="D631" s="2">
        <v>35135</v>
      </c>
      <c r="E631" s="2">
        <v>35163</v>
      </c>
      <c r="F631" s="2">
        <v>35145</v>
      </c>
      <c r="G631" s="1">
        <v>1</v>
      </c>
      <c r="H631" s="1">
        <v>38.06</v>
      </c>
      <c r="I631" s="1" t="s">
        <v>528</v>
      </c>
      <c r="J631" s="1" t="s">
        <v>529</v>
      </c>
      <c r="K631" s="1" t="s">
        <v>405</v>
      </c>
      <c r="L631" s="1" t="s">
        <v>406</v>
      </c>
      <c r="M631" s="3" t="s">
        <v>530</v>
      </c>
      <c r="N631" s="1" t="s">
        <v>86</v>
      </c>
    </row>
    <row r="632" spans="1:14" ht="13">
      <c r="A632" s="1">
        <v>10878</v>
      </c>
      <c r="B632" s="1" t="s">
        <v>494</v>
      </c>
      <c r="C632" s="1">
        <v>4</v>
      </c>
      <c r="D632" s="2">
        <v>35136</v>
      </c>
      <c r="E632" s="2">
        <v>35164</v>
      </c>
      <c r="F632" s="2">
        <v>35138</v>
      </c>
      <c r="G632" s="1">
        <v>1</v>
      </c>
      <c r="H632" s="1">
        <v>46.69</v>
      </c>
      <c r="I632" s="1" t="s">
        <v>495</v>
      </c>
      <c r="J632" s="1" t="s">
        <v>496</v>
      </c>
      <c r="K632" s="1" t="s">
        <v>497</v>
      </c>
      <c r="M632" s="3">
        <v>1307</v>
      </c>
      <c r="N632" s="1" t="s">
        <v>93</v>
      </c>
    </row>
    <row r="633" spans="1:14" ht="13">
      <c r="A633" s="1">
        <v>10879</v>
      </c>
      <c r="B633" s="1" t="s">
        <v>753</v>
      </c>
      <c r="C633" s="1">
        <v>3</v>
      </c>
      <c r="D633" s="2">
        <v>35136</v>
      </c>
      <c r="E633" s="2">
        <v>35164</v>
      </c>
      <c r="F633" s="2">
        <v>35138</v>
      </c>
      <c r="G633" s="1">
        <v>3</v>
      </c>
      <c r="H633" s="1">
        <v>8.5</v>
      </c>
      <c r="I633" s="1" t="s">
        <v>754</v>
      </c>
      <c r="J633" s="1" t="s">
        <v>755</v>
      </c>
      <c r="K633" s="1" t="s">
        <v>756</v>
      </c>
      <c r="M633" s="3">
        <v>21240</v>
      </c>
      <c r="N633" s="1" t="s">
        <v>176</v>
      </c>
    </row>
    <row r="634" spans="1:14" ht="13">
      <c r="A634" s="1">
        <v>10880</v>
      </c>
      <c r="B634" s="1" t="s">
        <v>462</v>
      </c>
      <c r="C634" s="1">
        <v>7</v>
      </c>
      <c r="D634" s="2">
        <v>35136</v>
      </c>
      <c r="E634" s="2">
        <v>35178</v>
      </c>
      <c r="F634" s="2">
        <v>35144</v>
      </c>
      <c r="G634" s="1">
        <v>1</v>
      </c>
      <c r="H634" s="1">
        <v>88.01</v>
      </c>
      <c r="I634" s="1" t="s">
        <v>463</v>
      </c>
      <c r="J634" s="1" t="s">
        <v>464</v>
      </c>
      <c r="K634" s="1" t="s">
        <v>465</v>
      </c>
      <c r="M634" s="3" t="s">
        <v>466</v>
      </c>
      <c r="N634" s="1" t="s">
        <v>79</v>
      </c>
    </row>
    <row r="635" spans="1:14" ht="13">
      <c r="A635" s="1">
        <v>10881</v>
      </c>
      <c r="B635" s="1" t="s">
        <v>732</v>
      </c>
      <c r="C635" s="1">
        <v>4</v>
      </c>
      <c r="D635" s="2">
        <v>35137</v>
      </c>
      <c r="E635" s="2">
        <v>35165</v>
      </c>
      <c r="F635" s="2">
        <v>35144</v>
      </c>
      <c r="G635" s="1">
        <v>1</v>
      </c>
      <c r="H635" s="1">
        <v>2.84</v>
      </c>
      <c r="I635" s="1" t="s">
        <v>733</v>
      </c>
      <c r="J635" s="1" t="s">
        <v>734</v>
      </c>
      <c r="K635" s="1" t="s">
        <v>697</v>
      </c>
      <c r="M635" s="3">
        <v>1010</v>
      </c>
      <c r="N635" s="1" t="s">
        <v>698</v>
      </c>
    </row>
    <row r="636" spans="1:14" ht="13">
      <c r="A636" s="1">
        <v>10882</v>
      </c>
      <c r="B636" s="1" t="s">
        <v>593</v>
      </c>
      <c r="C636" s="1">
        <v>4</v>
      </c>
      <c r="D636" s="2">
        <v>35137</v>
      </c>
      <c r="E636" s="2">
        <v>35165</v>
      </c>
      <c r="F636" s="2">
        <v>35146</v>
      </c>
      <c r="G636" s="1">
        <v>3</v>
      </c>
      <c r="H636" s="1">
        <v>23.1</v>
      </c>
      <c r="I636" s="1" t="s">
        <v>594</v>
      </c>
      <c r="J636" s="1" t="s">
        <v>595</v>
      </c>
      <c r="K636" s="1" t="s">
        <v>596</v>
      </c>
      <c r="L636" s="1" t="s">
        <v>597</v>
      </c>
      <c r="M636" s="3">
        <v>83720</v>
      </c>
      <c r="N636" s="1" t="s">
        <v>26</v>
      </c>
    </row>
    <row r="637" spans="1:14" ht="13">
      <c r="A637" s="1">
        <v>10883</v>
      </c>
      <c r="B637" s="1" t="s">
        <v>566</v>
      </c>
      <c r="C637" s="1">
        <v>8</v>
      </c>
      <c r="D637" s="2">
        <v>35138</v>
      </c>
      <c r="E637" s="2">
        <v>35166</v>
      </c>
      <c r="F637" s="2">
        <v>35146</v>
      </c>
      <c r="G637" s="1">
        <v>3</v>
      </c>
      <c r="H637" s="1">
        <v>0.53</v>
      </c>
      <c r="I637" s="1" t="s">
        <v>567</v>
      </c>
      <c r="J637" s="1" t="s">
        <v>568</v>
      </c>
      <c r="K637" s="1" t="s">
        <v>569</v>
      </c>
      <c r="L637" s="1" t="s">
        <v>128</v>
      </c>
      <c r="M637" s="3">
        <v>97219</v>
      </c>
      <c r="N637" s="1" t="s">
        <v>26</v>
      </c>
    </row>
    <row r="638" spans="1:14" ht="13">
      <c r="A638" s="1">
        <v>10884</v>
      </c>
      <c r="B638" s="1" t="s">
        <v>748</v>
      </c>
      <c r="C638" s="1">
        <v>4</v>
      </c>
      <c r="D638" s="2">
        <v>35138</v>
      </c>
      <c r="E638" s="2">
        <v>35166</v>
      </c>
      <c r="F638" s="2">
        <v>35139</v>
      </c>
      <c r="G638" s="1">
        <v>2</v>
      </c>
      <c r="H638" s="1">
        <v>90.97</v>
      </c>
      <c r="I638" s="1" t="s">
        <v>749</v>
      </c>
      <c r="J638" s="1" t="s">
        <v>750</v>
      </c>
      <c r="K638" s="1" t="s">
        <v>751</v>
      </c>
      <c r="L638" s="1" t="s">
        <v>752</v>
      </c>
      <c r="M638" s="3">
        <v>94117</v>
      </c>
      <c r="N638" s="1" t="s">
        <v>26</v>
      </c>
    </row>
    <row r="639" spans="1:14" ht="13">
      <c r="A639" s="1">
        <v>10885</v>
      </c>
      <c r="B639" s="1" t="s">
        <v>412</v>
      </c>
      <c r="C639" s="1">
        <v>6</v>
      </c>
      <c r="D639" s="2">
        <v>35138</v>
      </c>
      <c r="E639" s="2">
        <v>35166</v>
      </c>
      <c r="F639" s="2">
        <v>35144</v>
      </c>
      <c r="G639" s="1">
        <v>3</v>
      </c>
      <c r="H639" s="1">
        <v>5.64</v>
      </c>
      <c r="I639" s="1" t="s">
        <v>413</v>
      </c>
      <c r="J639" s="1" t="s">
        <v>414</v>
      </c>
      <c r="K639" s="1" t="s">
        <v>415</v>
      </c>
      <c r="M639" s="3" t="s">
        <v>416</v>
      </c>
      <c r="N639" s="1" t="s">
        <v>417</v>
      </c>
    </row>
    <row r="640" spans="1:14" ht="13">
      <c r="A640" s="1">
        <v>10886</v>
      </c>
      <c r="B640" s="1" t="s">
        <v>402</v>
      </c>
      <c r="C640" s="1">
        <v>1</v>
      </c>
      <c r="D640" s="2">
        <v>35139</v>
      </c>
      <c r="E640" s="2">
        <v>35167</v>
      </c>
      <c r="F640" s="2">
        <v>35156</v>
      </c>
      <c r="G640" s="1">
        <v>1</v>
      </c>
      <c r="H640" s="1">
        <v>4.99</v>
      </c>
      <c r="I640" s="1" t="s">
        <v>403</v>
      </c>
      <c r="J640" s="1" t="s">
        <v>404</v>
      </c>
      <c r="K640" s="1" t="s">
        <v>405</v>
      </c>
      <c r="L640" s="1" t="s">
        <v>406</v>
      </c>
      <c r="M640" s="3" t="s">
        <v>407</v>
      </c>
      <c r="N640" s="1" t="s">
        <v>86</v>
      </c>
    </row>
    <row r="641" spans="1:14" ht="13">
      <c r="A641" s="1">
        <v>10887</v>
      </c>
      <c r="B641" s="1" t="s">
        <v>653</v>
      </c>
      <c r="C641" s="1">
        <v>8</v>
      </c>
      <c r="D641" s="2">
        <v>35139</v>
      </c>
      <c r="E641" s="2">
        <v>35167</v>
      </c>
      <c r="F641" s="2">
        <v>35142</v>
      </c>
      <c r="G641" s="1">
        <v>3</v>
      </c>
      <c r="H641" s="1">
        <v>1.25</v>
      </c>
      <c r="I641" s="1" t="s">
        <v>654</v>
      </c>
      <c r="J641" s="1" t="s">
        <v>655</v>
      </c>
      <c r="K641" s="1" t="s">
        <v>656</v>
      </c>
      <c r="M641" s="3">
        <v>8022</v>
      </c>
      <c r="N641" s="1" t="s">
        <v>50</v>
      </c>
    </row>
    <row r="642" spans="1:14" ht="13">
      <c r="A642" s="1">
        <v>10888</v>
      </c>
      <c r="B642" s="1" t="s">
        <v>557</v>
      </c>
      <c r="C642" s="1">
        <v>1</v>
      </c>
      <c r="D642" s="2">
        <v>35142</v>
      </c>
      <c r="E642" s="2">
        <v>35170</v>
      </c>
      <c r="F642" s="2">
        <v>35149</v>
      </c>
      <c r="G642" s="1">
        <v>2</v>
      </c>
      <c r="H642" s="1">
        <v>51.87</v>
      </c>
      <c r="I642" s="1" t="s">
        <v>558</v>
      </c>
      <c r="J642" s="1" t="s">
        <v>559</v>
      </c>
      <c r="K642" s="1" t="s">
        <v>560</v>
      </c>
      <c r="M642" s="3">
        <v>41101</v>
      </c>
      <c r="N642" s="1" t="s">
        <v>50</v>
      </c>
    </row>
    <row r="643" spans="1:14" ht="13">
      <c r="A643" s="1">
        <v>10889</v>
      </c>
      <c r="B643" s="1" t="s">
        <v>457</v>
      </c>
      <c r="C643" s="1">
        <v>9</v>
      </c>
      <c r="D643" s="2">
        <v>35142</v>
      </c>
      <c r="E643" s="2">
        <v>35170</v>
      </c>
      <c r="F643" s="2">
        <v>35149</v>
      </c>
      <c r="G643" s="1">
        <v>3</v>
      </c>
      <c r="H643" s="1">
        <v>280.61</v>
      </c>
      <c r="I643" s="1" t="s">
        <v>458</v>
      </c>
      <c r="J643" s="1" t="s">
        <v>459</v>
      </c>
      <c r="K643" s="1" t="s">
        <v>460</v>
      </c>
      <c r="L643" s="1" t="s">
        <v>461</v>
      </c>
      <c r="M643" s="3">
        <v>87110</v>
      </c>
      <c r="N643" s="1" t="s">
        <v>26</v>
      </c>
    </row>
    <row r="644" spans="1:14" ht="13">
      <c r="A644" s="1">
        <v>10890</v>
      </c>
      <c r="B644" s="1" t="s">
        <v>576</v>
      </c>
      <c r="C644" s="1">
        <v>7</v>
      </c>
      <c r="D644" s="2">
        <v>35142</v>
      </c>
      <c r="E644" s="2">
        <v>35170</v>
      </c>
      <c r="F644" s="2">
        <v>35144</v>
      </c>
      <c r="G644" s="1">
        <v>1</v>
      </c>
      <c r="H644" s="1">
        <v>32.76</v>
      </c>
      <c r="I644" s="1" t="s">
        <v>577</v>
      </c>
      <c r="J644" s="1" t="s">
        <v>578</v>
      </c>
      <c r="K644" s="1" t="s">
        <v>579</v>
      </c>
      <c r="M644" s="3">
        <v>44000</v>
      </c>
      <c r="N644" s="1" t="s">
        <v>140</v>
      </c>
    </row>
    <row r="645" spans="1:14" ht="13">
      <c r="A645" s="1">
        <v>10891</v>
      </c>
      <c r="B645" s="1" t="s">
        <v>514</v>
      </c>
      <c r="C645" s="1">
        <v>7</v>
      </c>
      <c r="D645" s="2">
        <v>35143</v>
      </c>
      <c r="E645" s="2">
        <v>35171</v>
      </c>
      <c r="F645" s="2">
        <v>35145</v>
      </c>
      <c r="G645" s="1">
        <v>2</v>
      </c>
      <c r="H645" s="1">
        <v>20.37</v>
      </c>
      <c r="I645" s="1" t="s">
        <v>515</v>
      </c>
      <c r="J645" s="1" t="s">
        <v>516</v>
      </c>
      <c r="K645" s="1" t="s">
        <v>517</v>
      </c>
      <c r="M645" s="3">
        <v>60528</v>
      </c>
      <c r="N645" s="1" t="s">
        <v>93</v>
      </c>
    </row>
    <row r="646" spans="1:14" ht="13">
      <c r="A646" s="1">
        <v>10892</v>
      </c>
      <c r="B646" s="1" t="s">
        <v>739</v>
      </c>
      <c r="C646" s="1">
        <v>4</v>
      </c>
      <c r="D646" s="2">
        <v>35143</v>
      </c>
      <c r="E646" s="2">
        <v>35171</v>
      </c>
      <c r="F646" s="2">
        <v>35145</v>
      </c>
      <c r="G646" s="1">
        <v>2</v>
      </c>
      <c r="H646" s="1">
        <v>120.27</v>
      </c>
      <c r="I646" s="1" t="s">
        <v>740</v>
      </c>
      <c r="J646" s="1" t="s">
        <v>741</v>
      </c>
      <c r="K646" s="1" t="s">
        <v>742</v>
      </c>
      <c r="M646" s="3" t="s">
        <v>743</v>
      </c>
      <c r="N646" s="1" t="s">
        <v>417</v>
      </c>
    </row>
    <row r="647" spans="1:14" ht="13">
      <c r="A647" s="1">
        <v>10893</v>
      </c>
      <c r="B647" s="1" t="s">
        <v>589</v>
      </c>
      <c r="C647" s="1">
        <v>9</v>
      </c>
      <c r="D647" s="2">
        <v>35144</v>
      </c>
      <c r="E647" s="2">
        <v>35172</v>
      </c>
      <c r="F647" s="2">
        <v>35146</v>
      </c>
      <c r="G647" s="1">
        <v>2</v>
      </c>
      <c r="H647" s="1">
        <v>77.78</v>
      </c>
      <c r="I647" s="1" t="s">
        <v>590</v>
      </c>
      <c r="J647" s="1" t="s">
        <v>591</v>
      </c>
      <c r="K647" s="1" t="s">
        <v>592</v>
      </c>
      <c r="M647" s="3">
        <v>14776</v>
      </c>
      <c r="N647" s="1" t="s">
        <v>93</v>
      </c>
    </row>
    <row r="648" spans="1:14" ht="13">
      <c r="A648" s="1">
        <v>10894</v>
      </c>
      <c r="B648" s="1" t="s">
        <v>593</v>
      </c>
      <c r="C648" s="1">
        <v>1</v>
      </c>
      <c r="D648" s="2">
        <v>35144</v>
      </c>
      <c r="E648" s="2">
        <v>35172</v>
      </c>
      <c r="F648" s="2">
        <v>35146</v>
      </c>
      <c r="G648" s="1">
        <v>1</v>
      </c>
      <c r="H648" s="1">
        <v>116.13</v>
      </c>
      <c r="I648" s="1" t="s">
        <v>594</v>
      </c>
      <c r="J648" s="1" t="s">
        <v>595</v>
      </c>
      <c r="K648" s="1" t="s">
        <v>596</v>
      </c>
      <c r="L648" s="1" t="s">
        <v>597</v>
      </c>
      <c r="M648" s="3">
        <v>83720</v>
      </c>
      <c r="N648" s="1" t="s">
        <v>26</v>
      </c>
    </row>
    <row r="649" spans="1:14" ht="13">
      <c r="A649" s="1">
        <v>10895</v>
      </c>
      <c r="B649" s="1" t="s">
        <v>439</v>
      </c>
      <c r="C649" s="1">
        <v>3</v>
      </c>
      <c r="D649" s="2">
        <v>35144</v>
      </c>
      <c r="E649" s="2">
        <v>35172</v>
      </c>
      <c r="F649" s="2">
        <v>35149</v>
      </c>
      <c r="G649" s="1">
        <v>1</v>
      </c>
      <c r="H649" s="1">
        <v>162.75</v>
      </c>
      <c r="I649" s="1" t="s">
        <v>440</v>
      </c>
      <c r="J649" s="1" t="s">
        <v>441</v>
      </c>
      <c r="K649" s="1" t="s">
        <v>442</v>
      </c>
      <c r="M649" s="3">
        <v>8010</v>
      </c>
      <c r="N649" s="1" t="s">
        <v>443</v>
      </c>
    </row>
    <row r="650" spans="1:14" ht="13">
      <c r="A650" s="1">
        <v>10896</v>
      </c>
      <c r="B650" s="1" t="s">
        <v>739</v>
      </c>
      <c r="C650" s="1">
        <v>7</v>
      </c>
      <c r="D650" s="2">
        <v>35145</v>
      </c>
      <c r="E650" s="2">
        <v>35173</v>
      </c>
      <c r="F650" s="2">
        <v>35153</v>
      </c>
      <c r="G650" s="1">
        <v>3</v>
      </c>
      <c r="H650" s="1">
        <v>32.450000000000003</v>
      </c>
      <c r="I650" s="1" t="s">
        <v>740</v>
      </c>
      <c r="J650" s="1" t="s">
        <v>741</v>
      </c>
      <c r="K650" s="1" t="s">
        <v>742</v>
      </c>
      <c r="M650" s="3" t="s">
        <v>743</v>
      </c>
      <c r="N650" s="1" t="s">
        <v>417</v>
      </c>
    </row>
    <row r="651" spans="1:14" ht="13">
      <c r="A651" s="1">
        <v>10897</v>
      </c>
      <c r="B651" s="1" t="s">
        <v>547</v>
      </c>
      <c r="C651" s="1">
        <v>3</v>
      </c>
      <c r="D651" s="2">
        <v>35145</v>
      </c>
      <c r="E651" s="2">
        <v>35173</v>
      </c>
      <c r="F651" s="2">
        <v>35151</v>
      </c>
      <c r="G651" s="1">
        <v>2</v>
      </c>
      <c r="H651" s="1">
        <v>603.54</v>
      </c>
      <c r="I651" s="1" t="s">
        <v>548</v>
      </c>
      <c r="J651" s="1" t="s">
        <v>549</v>
      </c>
      <c r="K651" s="1" t="s">
        <v>550</v>
      </c>
      <c r="L651" s="1" t="s">
        <v>551</v>
      </c>
      <c r="N651" s="1" t="s">
        <v>552</v>
      </c>
    </row>
    <row r="652" spans="1:14" ht="13">
      <c r="A652" s="1">
        <v>10898</v>
      </c>
      <c r="B652" s="1" t="s">
        <v>694</v>
      </c>
      <c r="C652" s="1">
        <v>4</v>
      </c>
      <c r="D652" s="2">
        <v>35146</v>
      </c>
      <c r="E652" s="2">
        <v>35174</v>
      </c>
      <c r="F652" s="2">
        <v>35160</v>
      </c>
      <c r="G652" s="1">
        <v>2</v>
      </c>
      <c r="H652" s="1">
        <v>1.27</v>
      </c>
      <c r="I652" s="1" t="s">
        <v>695</v>
      </c>
      <c r="J652" s="1" t="s">
        <v>696</v>
      </c>
      <c r="K652" s="1" t="s">
        <v>697</v>
      </c>
      <c r="M652" s="3">
        <v>1010</v>
      </c>
      <c r="N652" s="1" t="s">
        <v>698</v>
      </c>
    </row>
    <row r="653" spans="1:14" ht="13">
      <c r="A653" s="1">
        <v>10899</v>
      </c>
      <c r="B653" s="1" t="s">
        <v>522</v>
      </c>
      <c r="C653" s="1">
        <v>5</v>
      </c>
      <c r="D653" s="2">
        <v>35146</v>
      </c>
      <c r="E653" s="2">
        <v>35174</v>
      </c>
      <c r="F653" s="2">
        <v>35152</v>
      </c>
      <c r="G653" s="1">
        <v>3</v>
      </c>
      <c r="H653" s="1">
        <v>1.21</v>
      </c>
      <c r="I653" s="1" t="s">
        <v>523</v>
      </c>
      <c r="J653" s="1" t="s">
        <v>524</v>
      </c>
      <c r="K653" s="1" t="s">
        <v>525</v>
      </c>
      <c r="L653" s="1" t="s">
        <v>526</v>
      </c>
      <c r="M653" s="3">
        <v>3508</v>
      </c>
      <c r="N653" s="1" t="s">
        <v>438</v>
      </c>
    </row>
    <row r="654" spans="1:14" ht="13">
      <c r="A654" s="1">
        <v>10900</v>
      </c>
      <c r="B654" s="1" t="s">
        <v>427</v>
      </c>
      <c r="C654" s="1">
        <v>1</v>
      </c>
      <c r="D654" s="2">
        <v>35146</v>
      </c>
      <c r="E654" s="2">
        <v>35174</v>
      </c>
      <c r="F654" s="2">
        <v>35158</v>
      </c>
      <c r="G654" s="1">
        <v>2</v>
      </c>
      <c r="H654" s="1">
        <v>1.66</v>
      </c>
      <c r="I654" s="1" t="s">
        <v>428</v>
      </c>
      <c r="J654" s="1" t="s">
        <v>429</v>
      </c>
      <c r="K654" s="1" t="s">
        <v>430</v>
      </c>
      <c r="L654" s="1" t="s">
        <v>431</v>
      </c>
      <c r="M654" s="3" t="s">
        <v>432</v>
      </c>
      <c r="N654" s="1" t="s">
        <v>86</v>
      </c>
    </row>
    <row r="655" spans="1:14" ht="13">
      <c r="A655" s="1">
        <v>10901</v>
      </c>
      <c r="B655" s="1" t="s">
        <v>433</v>
      </c>
      <c r="C655" s="1">
        <v>4</v>
      </c>
      <c r="D655" s="2">
        <v>35149</v>
      </c>
      <c r="E655" s="2">
        <v>35177</v>
      </c>
      <c r="F655" s="2">
        <v>35152</v>
      </c>
      <c r="G655" s="1">
        <v>1</v>
      </c>
      <c r="H655" s="1">
        <v>62.09</v>
      </c>
      <c r="I655" s="1" t="s">
        <v>434</v>
      </c>
      <c r="J655" s="1" t="s">
        <v>435</v>
      </c>
      <c r="K655" s="1" t="s">
        <v>436</v>
      </c>
      <c r="L655" s="1" t="s">
        <v>437</v>
      </c>
      <c r="M655" s="3">
        <v>5022</v>
      </c>
      <c r="N655" s="1" t="s">
        <v>438</v>
      </c>
    </row>
    <row r="656" spans="1:14" ht="13">
      <c r="A656" s="1">
        <v>10902</v>
      </c>
      <c r="B656" s="1" t="s">
        <v>462</v>
      </c>
      <c r="C656" s="1">
        <v>1</v>
      </c>
      <c r="D656" s="2">
        <v>35149</v>
      </c>
      <c r="E656" s="2">
        <v>35177</v>
      </c>
      <c r="F656" s="2">
        <v>35157</v>
      </c>
      <c r="G656" s="1">
        <v>1</v>
      </c>
      <c r="H656" s="1">
        <v>44.15</v>
      </c>
      <c r="I656" s="1" t="s">
        <v>463</v>
      </c>
      <c r="J656" s="1" t="s">
        <v>464</v>
      </c>
      <c r="K656" s="1" t="s">
        <v>465</v>
      </c>
      <c r="M656" s="3" t="s">
        <v>466</v>
      </c>
      <c r="N656" s="1" t="s">
        <v>79</v>
      </c>
    </row>
    <row r="657" spans="1:14" ht="13">
      <c r="A657" s="1">
        <v>10903</v>
      </c>
      <c r="B657" s="1" t="s">
        <v>402</v>
      </c>
      <c r="C657" s="1">
        <v>3</v>
      </c>
      <c r="D657" s="2">
        <v>35150</v>
      </c>
      <c r="E657" s="2">
        <v>35178</v>
      </c>
      <c r="F657" s="2">
        <v>35158</v>
      </c>
      <c r="G657" s="1">
        <v>3</v>
      </c>
      <c r="H657" s="1">
        <v>36.71</v>
      </c>
      <c r="I657" s="1" t="s">
        <v>403</v>
      </c>
      <c r="J657" s="1" t="s">
        <v>404</v>
      </c>
      <c r="K657" s="1" t="s">
        <v>405</v>
      </c>
      <c r="L657" s="1" t="s">
        <v>406</v>
      </c>
      <c r="M657" s="3" t="s">
        <v>407</v>
      </c>
      <c r="N657" s="1" t="s">
        <v>86</v>
      </c>
    </row>
    <row r="658" spans="1:14" ht="13">
      <c r="A658" s="1">
        <v>10904</v>
      </c>
      <c r="B658" s="1" t="s">
        <v>484</v>
      </c>
      <c r="C658" s="1">
        <v>3</v>
      </c>
      <c r="D658" s="2">
        <v>35150</v>
      </c>
      <c r="E658" s="2">
        <v>35178</v>
      </c>
      <c r="F658" s="2">
        <v>35153</v>
      </c>
      <c r="G658" s="1">
        <v>3</v>
      </c>
      <c r="H658" s="1">
        <v>162.94999999999999</v>
      </c>
      <c r="I658" s="1" t="s">
        <v>485</v>
      </c>
      <c r="J658" s="1" t="s">
        <v>486</v>
      </c>
      <c r="K658" s="1" t="s">
        <v>487</v>
      </c>
      <c r="L658" s="1" t="s">
        <v>488</v>
      </c>
      <c r="M658" s="3">
        <v>98124</v>
      </c>
      <c r="N658" s="1" t="s">
        <v>26</v>
      </c>
    </row>
    <row r="659" spans="1:14" ht="13">
      <c r="A659" s="1">
        <v>10905</v>
      </c>
      <c r="B659" s="1" t="s">
        <v>427</v>
      </c>
      <c r="C659" s="1">
        <v>9</v>
      </c>
      <c r="D659" s="2">
        <v>35150</v>
      </c>
      <c r="E659" s="2">
        <v>35178</v>
      </c>
      <c r="F659" s="2">
        <v>35160</v>
      </c>
      <c r="G659" s="1">
        <v>2</v>
      </c>
      <c r="H659" s="1">
        <v>13.72</v>
      </c>
      <c r="I659" s="1" t="s">
        <v>428</v>
      </c>
      <c r="J659" s="1" t="s">
        <v>429</v>
      </c>
      <c r="K659" s="1" t="s">
        <v>430</v>
      </c>
      <c r="L659" s="1" t="s">
        <v>431</v>
      </c>
      <c r="M659" s="3" t="s">
        <v>432</v>
      </c>
      <c r="N659" s="1" t="s">
        <v>86</v>
      </c>
    </row>
    <row r="660" spans="1:14" ht="13">
      <c r="A660" s="1">
        <v>10906</v>
      </c>
      <c r="B660" s="1" t="s">
        <v>665</v>
      </c>
      <c r="C660" s="1">
        <v>4</v>
      </c>
      <c r="D660" s="2">
        <v>35151</v>
      </c>
      <c r="E660" s="2">
        <v>35165</v>
      </c>
      <c r="F660" s="2">
        <v>35157</v>
      </c>
      <c r="G660" s="1">
        <v>3</v>
      </c>
      <c r="H660" s="1">
        <v>26.29</v>
      </c>
      <c r="I660" s="1" t="s">
        <v>666</v>
      </c>
      <c r="J660" s="1" t="s">
        <v>667</v>
      </c>
      <c r="K660" s="1" t="s">
        <v>668</v>
      </c>
      <c r="M660" s="3" t="s">
        <v>669</v>
      </c>
      <c r="N660" s="1" t="s">
        <v>670</v>
      </c>
    </row>
    <row r="661" spans="1:14" ht="13">
      <c r="A661" s="1">
        <v>10907</v>
      </c>
      <c r="B661" s="1" t="s">
        <v>769</v>
      </c>
      <c r="C661" s="1">
        <v>6</v>
      </c>
      <c r="D661" s="2">
        <v>35151</v>
      </c>
      <c r="E661" s="2">
        <v>35179</v>
      </c>
      <c r="F661" s="2">
        <v>35153</v>
      </c>
      <c r="G661" s="1">
        <v>3</v>
      </c>
      <c r="H661" s="1">
        <v>9.19</v>
      </c>
      <c r="I661" s="1" t="s">
        <v>770</v>
      </c>
      <c r="J661" s="1" t="s">
        <v>771</v>
      </c>
      <c r="K661" s="1" t="s">
        <v>139</v>
      </c>
      <c r="M661" s="3">
        <v>75016</v>
      </c>
      <c r="N661" s="1" t="s">
        <v>140</v>
      </c>
    </row>
    <row r="662" spans="1:14" ht="13">
      <c r="A662" s="1">
        <v>10908</v>
      </c>
      <c r="B662" s="1" t="s">
        <v>531</v>
      </c>
      <c r="C662" s="1">
        <v>4</v>
      </c>
      <c r="D662" s="2">
        <v>35152</v>
      </c>
      <c r="E662" s="2">
        <v>35180</v>
      </c>
      <c r="F662" s="2">
        <v>35160</v>
      </c>
      <c r="G662" s="1">
        <v>2</v>
      </c>
      <c r="H662" s="1">
        <v>32.96</v>
      </c>
      <c r="I662" s="1" t="s">
        <v>532</v>
      </c>
      <c r="J662" s="1" t="s">
        <v>533</v>
      </c>
      <c r="K662" s="1" t="s">
        <v>534</v>
      </c>
      <c r="M662" s="3">
        <v>42100</v>
      </c>
      <c r="N662" s="1" t="s">
        <v>113</v>
      </c>
    </row>
    <row r="663" spans="1:14" ht="13">
      <c r="A663" s="1">
        <v>10909</v>
      </c>
      <c r="B663" s="1" t="s">
        <v>675</v>
      </c>
      <c r="C663" s="1">
        <v>1</v>
      </c>
      <c r="D663" s="2">
        <v>35152</v>
      </c>
      <c r="E663" s="2">
        <v>35180</v>
      </c>
      <c r="F663" s="2">
        <v>35164</v>
      </c>
      <c r="G663" s="1">
        <v>2</v>
      </c>
      <c r="H663" s="1">
        <v>53.05</v>
      </c>
      <c r="I663" s="1" t="s">
        <v>676</v>
      </c>
      <c r="J663" s="1" t="s">
        <v>677</v>
      </c>
      <c r="K663" s="1" t="s">
        <v>678</v>
      </c>
      <c r="M663" s="3">
        <v>4110</v>
      </c>
      <c r="N663" s="1" t="s">
        <v>121</v>
      </c>
    </row>
    <row r="664" spans="1:14" ht="13">
      <c r="A664" s="1">
        <v>10910</v>
      </c>
      <c r="B664" s="1" t="s">
        <v>753</v>
      </c>
      <c r="C664" s="1">
        <v>1</v>
      </c>
      <c r="D664" s="2">
        <v>35152</v>
      </c>
      <c r="E664" s="2">
        <v>35180</v>
      </c>
      <c r="F664" s="2">
        <v>35158</v>
      </c>
      <c r="G664" s="1">
        <v>3</v>
      </c>
      <c r="H664" s="1">
        <v>38.11</v>
      </c>
      <c r="I664" s="1" t="s">
        <v>754</v>
      </c>
      <c r="J664" s="1" t="s">
        <v>755</v>
      </c>
      <c r="K664" s="1" t="s">
        <v>756</v>
      </c>
      <c r="M664" s="3">
        <v>21240</v>
      </c>
      <c r="N664" s="1" t="s">
        <v>176</v>
      </c>
    </row>
    <row r="665" spans="1:14" ht="13">
      <c r="A665" s="1">
        <v>10911</v>
      </c>
      <c r="B665" s="1" t="s">
        <v>557</v>
      </c>
      <c r="C665" s="1">
        <v>3</v>
      </c>
      <c r="D665" s="2">
        <v>35152</v>
      </c>
      <c r="E665" s="2">
        <v>35180</v>
      </c>
      <c r="F665" s="2">
        <v>35159</v>
      </c>
      <c r="G665" s="1">
        <v>1</v>
      </c>
      <c r="H665" s="1">
        <v>38.19</v>
      </c>
      <c r="I665" s="1" t="s">
        <v>558</v>
      </c>
      <c r="J665" s="1" t="s">
        <v>559</v>
      </c>
      <c r="K665" s="1" t="s">
        <v>560</v>
      </c>
      <c r="M665" s="3">
        <v>41101</v>
      </c>
      <c r="N665" s="1" t="s">
        <v>50</v>
      </c>
    </row>
    <row r="666" spans="1:14" ht="13">
      <c r="A666" s="1">
        <v>10912</v>
      </c>
      <c r="B666" s="1" t="s">
        <v>547</v>
      </c>
      <c r="C666" s="1">
        <v>2</v>
      </c>
      <c r="D666" s="2">
        <v>35152</v>
      </c>
      <c r="E666" s="2">
        <v>35180</v>
      </c>
      <c r="F666" s="2">
        <v>35172</v>
      </c>
      <c r="G666" s="1">
        <v>2</v>
      </c>
      <c r="H666" s="1">
        <v>580.91</v>
      </c>
      <c r="I666" s="1" t="s">
        <v>548</v>
      </c>
      <c r="J666" s="1" t="s">
        <v>549</v>
      </c>
      <c r="K666" s="1" t="s">
        <v>550</v>
      </c>
      <c r="L666" s="1" t="s">
        <v>551</v>
      </c>
      <c r="N666" s="1" t="s">
        <v>552</v>
      </c>
    </row>
    <row r="667" spans="1:14" ht="13">
      <c r="A667" s="1">
        <v>10913</v>
      </c>
      <c r="B667" s="1" t="s">
        <v>661</v>
      </c>
      <c r="C667" s="1">
        <v>4</v>
      </c>
      <c r="D667" s="2">
        <v>35152</v>
      </c>
      <c r="E667" s="2">
        <v>35180</v>
      </c>
      <c r="F667" s="2">
        <v>35158</v>
      </c>
      <c r="G667" s="1">
        <v>1</v>
      </c>
      <c r="H667" s="1">
        <v>33.049999999999997</v>
      </c>
      <c r="I667" s="1" t="s">
        <v>662</v>
      </c>
      <c r="J667" s="1" t="s">
        <v>663</v>
      </c>
      <c r="K667" s="1" t="s">
        <v>85</v>
      </c>
      <c r="L667" s="1" t="s">
        <v>431</v>
      </c>
      <c r="M667" s="3" t="s">
        <v>664</v>
      </c>
      <c r="N667" s="1" t="s">
        <v>86</v>
      </c>
    </row>
    <row r="668" spans="1:14" ht="13">
      <c r="A668" s="1">
        <v>10914</v>
      </c>
      <c r="B668" s="1" t="s">
        <v>661</v>
      </c>
      <c r="C668" s="1">
        <v>6</v>
      </c>
      <c r="D668" s="2">
        <v>35153</v>
      </c>
      <c r="E668" s="2">
        <v>35181</v>
      </c>
      <c r="F668" s="2">
        <v>35156</v>
      </c>
      <c r="G668" s="1">
        <v>1</v>
      </c>
      <c r="H668" s="1">
        <v>21.19</v>
      </c>
      <c r="I668" s="1" t="s">
        <v>662</v>
      </c>
      <c r="J668" s="1" t="s">
        <v>663</v>
      </c>
      <c r="K668" s="1" t="s">
        <v>85</v>
      </c>
      <c r="L668" s="1" t="s">
        <v>431</v>
      </c>
      <c r="M668" s="3" t="s">
        <v>664</v>
      </c>
      <c r="N668" s="1" t="s">
        <v>86</v>
      </c>
    </row>
    <row r="669" spans="1:14" ht="13">
      <c r="A669" s="1">
        <v>10915</v>
      </c>
      <c r="B669" s="1" t="s">
        <v>502</v>
      </c>
      <c r="C669" s="1">
        <v>2</v>
      </c>
      <c r="D669" s="2">
        <v>35153</v>
      </c>
      <c r="E669" s="2">
        <v>35181</v>
      </c>
      <c r="F669" s="2">
        <v>35156</v>
      </c>
      <c r="G669" s="1">
        <v>2</v>
      </c>
      <c r="H669" s="1">
        <v>3.51</v>
      </c>
      <c r="I669" s="1" t="s">
        <v>503</v>
      </c>
      <c r="J669" s="1" t="s">
        <v>504</v>
      </c>
      <c r="K669" s="1" t="s">
        <v>447</v>
      </c>
      <c r="M669" s="3">
        <v>5033</v>
      </c>
      <c r="N669" s="1" t="s">
        <v>448</v>
      </c>
    </row>
    <row r="670" spans="1:14" ht="13">
      <c r="A670" s="1">
        <v>10916</v>
      </c>
      <c r="B670" s="1" t="s">
        <v>712</v>
      </c>
      <c r="C670" s="1">
        <v>1</v>
      </c>
      <c r="D670" s="2">
        <v>35153</v>
      </c>
      <c r="E670" s="2">
        <v>35181</v>
      </c>
      <c r="F670" s="2">
        <v>35163</v>
      </c>
      <c r="G670" s="1">
        <v>2</v>
      </c>
      <c r="H670" s="1">
        <v>63.77</v>
      </c>
      <c r="I670" s="1" t="s">
        <v>713</v>
      </c>
      <c r="J670" s="1" t="s">
        <v>714</v>
      </c>
      <c r="K670" s="1" t="s">
        <v>697</v>
      </c>
      <c r="M670" s="3">
        <v>1010</v>
      </c>
      <c r="N670" s="1" t="s">
        <v>698</v>
      </c>
    </row>
    <row r="671" spans="1:14" ht="13">
      <c r="A671" s="1">
        <v>10917</v>
      </c>
      <c r="B671" s="1" t="s">
        <v>518</v>
      </c>
      <c r="C671" s="1">
        <v>4</v>
      </c>
      <c r="D671" s="2">
        <v>35156</v>
      </c>
      <c r="E671" s="2">
        <v>35184</v>
      </c>
      <c r="F671" s="2">
        <v>35165</v>
      </c>
      <c r="G671" s="1">
        <v>2</v>
      </c>
      <c r="H671" s="1">
        <v>8.2899999999999991</v>
      </c>
      <c r="I671" s="1" t="s">
        <v>519</v>
      </c>
      <c r="J671" s="1" t="s">
        <v>520</v>
      </c>
      <c r="K671" s="1" t="s">
        <v>521</v>
      </c>
      <c r="M671" s="3">
        <v>28001</v>
      </c>
      <c r="N671" s="1" t="s">
        <v>50</v>
      </c>
    </row>
    <row r="672" spans="1:14" ht="13">
      <c r="A672" s="1">
        <v>10918</v>
      </c>
      <c r="B672" s="1" t="s">
        <v>679</v>
      </c>
      <c r="C672" s="1">
        <v>3</v>
      </c>
      <c r="D672" s="2">
        <v>35156</v>
      </c>
      <c r="E672" s="2">
        <v>35184</v>
      </c>
      <c r="F672" s="2">
        <v>35165</v>
      </c>
      <c r="G672" s="1">
        <v>3</v>
      </c>
      <c r="H672" s="1">
        <v>48.83</v>
      </c>
      <c r="I672" s="1" t="s">
        <v>680</v>
      </c>
      <c r="J672" s="1" t="s">
        <v>681</v>
      </c>
      <c r="K672" s="1" t="s">
        <v>682</v>
      </c>
      <c r="L672" s="1" t="s">
        <v>683</v>
      </c>
      <c r="M672" s="3" t="s">
        <v>684</v>
      </c>
      <c r="N672" s="1" t="s">
        <v>192</v>
      </c>
    </row>
    <row r="673" spans="1:14" ht="13">
      <c r="A673" s="1">
        <v>10919</v>
      </c>
      <c r="B673" s="1" t="s">
        <v>685</v>
      </c>
      <c r="C673" s="1">
        <v>2</v>
      </c>
      <c r="D673" s="2">
        <v>35156</v>
      </c>
      <c r="E673" s="2">
        <v>35184</v>
      </c>
      <c r="F673" s="2">
        <v>35158</v>
      </c>
      <c r="G673" s="1">
        <v>2</v>
      </c>
      <c r="H673" s="1">
        <v>19.8</v>
      </c>
      <c r="I673" s="1" t="s">
        <v>686</v>
      </c>
      <c r="J673" s="1" t="s">
        <v>687</v>
      </c>
      <c r="K673" s="1" t="s">
        <v>688</v>
      </c>
      <c r="L673" s="1" t="s">
        <v>689</v>
      </c>
      <c r="M673" s="3">
        <v>4980</v>
      </c>
      <c r="N673" s="1" t="s">
        <v>438</v>
      </c>
    </row>
    <row r="674" spans="1:14" ht="13">
      <c r="A674" s="1">
        <v>10920</v>
      </c>
      <c r="B674" s="1" t="s">
        <v>632</v>
      </c>
      <c r="C674" s="1">
        <v>4</v>
      </c>
      <c r="D674" s="2">
        <v>35157</v>
      </c>
      <c r="E674" s="2">
        <v>35185</v>
      </c>
      <c r="F674" s="2">
        <v>35163</v>
      </c>
      <c r="G674" s="1">
        <v>2</v>
      </c>
      <c r="H674" s="1">
        <v>29.61</v>
      </c>
      <c r="I674" s="1" t="s">
        <v>633</v>
      </c>
      <c r="J674" s="1" t="s">
        <v>634</v>
      </c>
      <c r="K674" s="1" t="s">
        <v>635</v>
      </c>
      <c r="L674" s="1" t="s">
        <v>636</v>
      </c>
      <c r="M674" s="3" t="s">
        <v>637</v>
      </c>
      <c r="N674" s="1" t="s">
        <v>18</v>
      </c>
    </row>
    <row r="675" spans="1:14" ht="13">
      <c r="A675" s="1">
        <v>10921</v>
      </c>
      <c r="B675" s="1" t="s">
        <v>657</v>
      </c>
      <c r="C675" s="1">
        <v>1</v>
      </c>
      <c r="D675" s="2">
        <v>35157</v>
      </c>
      <c r="E675" s="2">
        <v>35199</v>
      </c>
      <c r="F675" s="2">
        <v>35163</v>
      </c>
      <c r="G675" s="1">
        <v>1</v>
      </c>
      <c r="H675" s="1">
        <v>176.48</v>
      </c>
      <c r="I675" s="1" t="s">
        <v>658</v>
      </c>
      <c r="J675" s="1" t="s">
        <v>659</v>
      </c>
      <c r="K675" s="1" t="s">
        <v>660</v>
      </c>
      <c r="M675" s="3">
        <v>8200</v>
      </c>
      <c r="N675" s="1" t="s">
        <v>161</v>
      </c>
    </row>
    <row r="676" spans="1:14" ht="13">
      <c r="A676" s="1">
        <v>10922</v>
      </c>
      <c r="B676" s="1" t="s">
        <v>402</v>
      </c>
      <c r="C676" s="1">
        <v>5</v>
      </c>
      <c r="D676" s="2">
        <v>35157</v>
      </c>
      <c r="E676" s="2">
        <v>35185</v>
      </c>
      <c r="F676" s="2">
        <v>35159</v>
      </c>
      <c r="G676" s="1">
        <v>3</v>
      </c>
      <c r="H676" s="1">
        <v>62.74</v>
      </c>
      <c r="I676" s="1" t="s">
        <v>403</v>
      </c>
      <c r="J676" s="1" t="s">
        <v>404</v>
      </c>
      <c r="K676" s="1" t="s">
        <v>405</v>
      </c>
      <c r="L676" s="1" t="s">
        <v>406</v>
      </c>
      <c r="M676" s="3" t="s">
        <v>407</v>
      </c>
      <c r="N676" s="1" t="s">
        <v>86</v>
      </c>
    </row>
    <row r="677" spans="1:14" ht="13">
      <c r="A677" s="1">
        <v>10923</v>
      </c>
      <c r="B677" s="1" t="s">
        <v>624</v>
      </c>
      <c r="C677" s="1">
        <v>7</v>
      </c>
      <c r="D677" s="2">
        <v>35157</v>
      </c>
      <c r="E677" s="2">
        <v>35199</v>
      </c>
      <c r="F677" s="2">
        <v>35167</v>
      </c>
      <c r="G677" s="1">
        <v>3</v>
      </c>
      <c r="H677" s="1">
        <v>68.260000000000005</v>
      </c>
      <c r="I677" s="1" t="s">
        <v>625</v>
      </c>
      <c r="J677" s="1" t="s">
        <v>626</v>
      </c>
      <c r="K677" s="1" t="s">
        <v>627</v>
      </c>
      <c r="M677" s="3">
        <v>31000</v>
      </c>
      <c r="N677" s="1" t="s">
        <v>140</v>
      </c>
    </row>
    <row r="678" spans="1:14" ht="13">
      <c r="A678" s="1">
        <v>10924</v>
      </c>
      <c r="B678" s="1" t="s">
        <v>509</v>
      </c>
      <c r="C678" s="1">
        <v>3</v>
      </c>
      <c r="D678" s="2">
        <v>35158</v>
      </c>
      <c r="E678" s="2">
        <v>35186</v>
      </c>
      <c r="F678" s="2">
        <v>35193</v>
      </c>
      <c r="G678" s="1">
        <v>2</v>
      </c>
      <c r="H678" s="1">
        <v>151.52000000000001</v>
      </c>
      <c r="I678" s="1" t="s">
        <v>510</v>
      </c>
      <c r="J678" s="1" t="s">
        <v>511</v>
      </c>
      <c r="K678" s="1" t="s">
        <v>512</v>
      </c>
      <c r="M678" s="3" t="s">
        <v>513</v>
      </c>
      <c r="N678" s="1" t="s">
        <v>79</v>
      </c>
    </row>
    <row r="679" spans="1:14" ht="13">
      <c r="A679" s="1">
        <v>10925</v>
      </c>
      <c r="B679" s="1" t="s">
        <v>402</v>
      </c>
      <c r="C679" s="1">
        <v>3</v>
      </c>
      <c r="D679" s="2">
        <v>35158</v>
      </c>
      <c r="E679" s="2">
        <v>35186</v>
      </c>
      <c r="F679" s="2">
        <v>35167</v>
      </c>
      <c r="G679" s="1">
        <v>1</v>
      </c>
      <c r="H679" s="1">
        <v>2.27</v>
      </c>
      <c r="I679" s="1" t="s">
        <v>403</v>
      </c>
      <c r="J679" s="1" t="s">
        <v>404</v>
      </c>
      <c r="K679" s="1" t="s">
        <v>405</v>
      </c>
      <c r="L679" s="1" t="s">
        <v>406</v>
      </c>
      <c r="M679" s="3" t="s">
        <v>407</v>
      </c>
      <c r="N679" s="1" t="s">
        <v>86</v>
      </c>
    </row>
    <row r="680" spans="1:14" ht="13">
      <c r="A680" s="1">
        <v>10926</v>
      </c>
      <c r="B680" s="1" t="s">
        <v>570</v>
      </c>
      <c r="C680" s="1">
        <v>4</v>
      </c>
      <c r="D680" s="2">
        <v>35158</v>
      </c>
      <c r="E680" s="2">
        <v>35186</v>
      </c>
      <c r="F680" s="2">
        <v>35165</v>
      </c>
      <c r="G680" s="1">
        <v>3</v>
      </c>
      <c r="H680" s="1">
        <v>39.92</v>
      </c>
      <c r="I680" s="1" t="s">
        <v>571</v>
      </c>
      <c r="J680" s="1" t="s">
        <v>572</v>
      </c>
      <c r="K680" s="1" t="s">
        <v>447</v>
      </c>
      <c r="M680" s="3">
        <v>5021</v>
      </c>
      <c r="N680" s="1" t="s">
        <v>448</v>
      </c>
    </row>
    <row r="681" spans="1:14" ht="13">
      <c r="A681" s="1">
        <v>10927</v>
      </c>
      <c r="B681" s="1" t="s">
        <v>772</v>
      </c>
      <c r="C681" s="1">
        <v>4</v>
      </c>
      <c r="D681" s="2">
        <v>35159</v>
      </c>
      <c r="E681" s="2">
        <v>35187</v>
      </c>
      <c r="F681" s="2">
        <v>35193</v>
      </c>
      <c r="G681" s="1">
        <v>1</v>
      </c>
      <c r="H681" s="1">
        <v>19.79</v>
      </c>
      <c r="I681" s="1" t="s">
        <v>773</v>
      </c>
      <c r="J681" s="1" t="s">
        <v>774</v>
      </c>
      <c r="K681" s="1" t="s">
        <v>775</v>
      </c>
      <c r="M681" s="3">
        <v>78000</v>
      </c>
      <c r="N681" s="1" t="s">
        <v>140</v>
      </c>
    </row>
    <row r="682" spans="1:14" ht="13">
      <c r="A682" s="1">
        <v>10928</v>
      </c>
      <c r="B682" s="1" t="s">
        <v>653</v>
      </c>
      <c r="C682" s="1">
        <v>1</v>
      </c>
      <c r="D682" s="2">
        <v>35159</v>
      </c>
      <c r="E682" s="2">
        <v>35187</v>
      </c>
      <c r="F682" s="2">
        <v>35172</v>
      </c>
      <c r="G682" s="1">
        <v>1</v>
      </c>
      <c r="H682" s="1">
        <v>1.36</v>
      </c>
      <c r="I682" s="1" t="s">
        <v>654</v>
      </c>
      <c r="J682" s="1" t="s">
        <v>655</v>
      </c>
      <c r="K682" s="1" t="s">
        <v>656</v>
      </c>
      <c r="M682" s="3">
        <v>8022</v>
      </c>
      <c r="N682" s="1" t="s">
        <v>50</v>
      </c>
    </row>
    <row r="683" spans="1:14" ht="13">
      <c r="A683" s="1">
        <v>10929</v>
      </c>
      <c r="B683" s="1" t="s">
        <v>475</v>
      </c>
      <c r="C683" s="1">
        <v>6</v>
      </c>
      <c r="D683" s="2">
        <v>35159</v>
      </c>
      <c r="E683" s="2">
        <v>35187</v>
      </c>
      <c r="F683" s="2">
        <v>35166</v>
      </c>
      <c r="G683" s="1">
        <v>1</v>
      </c>
      <c r="H683" s="1">
        <v>33.93</v>
      </c>
      <c r="I683" s="1" t="s">
        <v>476</v>
      </c>
      <c r="J683" s="1" t="s">
        <v>477</v>
      </c>
      <c r="K683" s="1" t="s">
        <v>478</v>
      </c>
      <c r="M683" s="3">
        <v>80805</v>
      </c>
      <c r="N683" s="1" t="s">
        <v>93</v>
      </c>
    </row>
    <row r="684" spans="1:14" ht="13">
      <c r="A684" s="1">
        <v>10930</v>
      </c>
      <c r="B684" s="1" t="s">
        <v>412</v>
      </c>
      <c r="C684" s="1">
        <v>4</v>
      </c>
      <c r="D684" s="2">
        <v>35160</v>
      </c>
      <c r="E684" s="2">
        <v>35202</v>
      </c>
      <c r="F684" s="2">
        <v>35172</v>
      </c>
      <c r="G684" s="1">
        <v>3</v>
      </c>
      <c r="H684" s="1">
        <v>15.55</v>
      </c>
      <c r="I684" s="1" t="s">
        <v>413</v>
      </c>
      <c r="J684" s="1" t="s">
        <v>414</v>
      </c>
      <c r="K684" s="1" t="s">
        <v>415</v>
      </c>
      <c r="M684" s="3" t="s">
        <v>416</v>
      </c>
      <c r="N684" s="1" t="s">
        <v>417</v>
      </c>
    </row>
    <row r="685" spans="1:14" ht="13">
      <c r="A685" s="1">
        <v>10931</v>
      </c>
      <c r="B685" s="1" t="s">
        <v>423</v>
      </c>
      <c r="C685" s="1">
        <v>4</v>
      </c>
      <c r="D685" s="2">
        <v>35160</v>
      </c>
      <c r="E685" s="2">
        <v>35174</v>
      </c>
      <c r="F685" s="2">
        <v>35173</v>
      </c>
      <c r="G685" s="1">
        <v>2</v>
      </c>
      <c r="H685" s="1">
        <v>13.6</v>
      </c>
      <c r="I685" s="1" t="s">
        <v>424</v>
      </c>
      <c r="J685" s="1" t="s">
        <v>425</v>
      </c>
      <c r="K685" s="1" t="s">
        <v>426</v>
      </c>
      <c r="M685" s="3">
        <v>1204</v>
      </c>
      <c r="N685" s="1" t="s">
        <v>422</v>
      </c>
    </row>
    <row r="686" spans="1:14" ht="13">
      <c r="A686" s="1">
        <v>10932</v>
      </c>
      <c r="B686" s="1" t="s">
        <v>606</v>
      </c>
      <c r="C686" s="1">
        <v>8</v>
      </c>
      <c r="D686" s="2">
        <v>35160</v>
      </c>
      <c r="E686" s="2">
        <v>35188</v>
      </c>
      <c r="F686" s="2">
        <v>35178</v>
      </c>
      <c r="G686" s="1">
        <v>1</v>
      </c>
      <c r="H686" s="1">
        <v>134.63999999999999</v>
      </c>
      <c r="I686" s="1" t="s">
        <v>607</v>
      </c>
      <c r="J686" s="1" t="s">
        <v>608</v>
      </c>
      <c r="K686" s="1" t="s">
        <v>609</v>
      </c>
      <c r="M686" s="3">
        <v>13008</v>
      </c>
      <c r="N686" s="1" t="s">
        <v>140</v>
      </c>
    </row>
    <row r="687" spans="1:14" ht="13">
      <c r="A687" s="1">
        <v>10933</v>
      </c>
      <c r="B687" s="1" t="s">
        <v>580</v>
      </c>
      <c r="C687" s="1">
        <v>6</v>
      </c>
      <c r="D687" s="2">
        <v>35160</v>
      </c>
      <c r="E687" s="2">
        <v>35188</v>
      </c>
      <c r="F687" s="2">
        <v>35170</v>
      </c>
      <c r="G687" s="1">
        <v>3</v>
      </c>
      <c r="H687" s="1">
        <v>54.15</v>
      </c>
      <c r="I687" s="1" t="s">
        <v>581</v>
      </c>
      <c r="J687" s="1" t="s">
        <v>582</v>
      </c>
      <c r="K687" s="1" t="s">
        <v>583</v>
      </c>
      <c r="L687" s="1" t="s">
        <v>584</v>
      </c>
      <c r="M687" s="3" t="s">
        <v>585</v>
      </c>
      <c r="N687" s="1" t="s">
        <v>18</v>
      </c>
    </row>
    <row r="688" spans="1:14" ht="13">
      <c r="A688" s="1">
        <v>10934</v>
      </c>
      <c r="B688" s="1" t="s">
        <v>514</v>
      </c>
      <c r="C688" s="1">
        <v>3</v>
      </c>
      <c r="D688" s="2">
        <v>35163</v>
      </c>
      <c r="E688" s="2">
        <v>35191</v>
      </c>
      <c r="F688" s="2">
        <v>35166</v>
      </c>
      <c r="G688" s="1">
        <v>3</v>
      </c>
      <c r="H688" s="1">
        <v>32.01</v>
      </c>
      <c r="I688" s="1" t="s">
        <v>515</v>
      </c>
      <c r="J688" s="1" t="s">
        <v>516</v>
      </c>
      <c r="K688" s="1" t="s">
        <v>517</v>
      </c>
      <c r="M688" s="3">
        <v>60528</v>
      </c>
      <c r="N688" s="1" t="s">
        <v>93</v>
      </c>
    </row>
    <row r="689" spans="1:14" ht="13">
      <c r="A689" s="1">
        <v>10935</v>
      </c>
      <c r="B689" s="1" t="s">
        <v>427</v>
      </c>
      <c r="C689" s="1">
        <v>4</v>
      </c>
      <c r="D689" s="2">
        <v>35163</v>
      </c>
      <c r="E689" s="2">
        <v>35191</v>
      </c>
      <c r="F689" s="2">
        <v>35172</v>
      </c>
      <c r="G689" s="1">
        <v>3</v>
      </c>
      <c r="H689" s="1">
        <v>47.59</v>
      </c>
      <c r="I689" s="1" t="s">
        <v>428</v>
      </c>
      <c r="J689" s="1" t="s">
        <v>429</v>
      </c>
      <c r="K689" s="1" t="s">
        <v>430</v>
      </c>
      <c r="L689" s="1" t="s">
        <v>431</v>
      </c>
      <c r="M689" s="3" t="s">
        <v>432</v>
      </c>
      <c r="N689" s="1" t="s">
        <v>86</v>
      </c>
    </row>
    <row r="690" spans="1:14" ht="13">
      <c r="A690" s="1">
        <v>10936</v>
      </c>
      <c r="B690" s="1" t="s">
        <v>735</v>
      </c>
      <c r="C690" s="1">
        <v>3</v>
      </c>
      <c r="D690" s="2">
        <v>35163</v>
      </c>
      <c r="E690" s="2">
        <v>35191</v>
      </c>
      <c r="F690" s="2">
        <v>35172</v>
      </c>
      <c r="G690" s="1">
        <v>2</v>
      </c>
      <c r="H690" s="1">
        <v>33.68</v>
      </c>
      <c r="I690" s="1" t="s">
        <v>736</v>
      </c>
      <c r="J690" s="1" t="s">
        <v>737</v>
      </c>
      <c r="K690" s="1" t="s">
        <v>738</v>
      </c>
      <c r="L690" s="1" t="s">
        <v>128</v>
      </c>
      <c r="M690" s="3">
        <v>97403</v>
      </c>
      <c r="N690" s="1" t="s">
        <v>26</v>
      </c>
    </row>
    <row r="691" spans="1:14" ht="13">
      <c r="A691" s="1">
        <v>10937</v>
      </c>
      <c r="B691" s="1" t="s">
        <v>732</v>
      </c>
      <c r="C691" s="1">
        <v>7</v>
      </c>
      <c r="D691" s="2">
        <v>35164</v>
      </c>
      <c r="E691" s="2">
        <v>35178</v>
      </c>
      <c r="F691" s="2">
        <v>35167</v>
      </c>
      <c r="G691" s="1">
        <v>3</v>
      </c>
      <c r="H691" s="1">
        <v>31.51</v>
      </c>
      <c r="I691" s="1" t="s">
        <v>733</v>
      </c>
      <c r="J691" s="1" t="s">
        <v>734</v>
      </c>
      <c r="K691" s="1" t="s">
        <v>697</v>
      </c>
      <c r="M691" s="3">
        <v>1010</v>
      </c>
      <c r="N691" s="1" t="s">
        <v>698</v>
      </c>
    </row>
    <row r="692" spans="1:14" ht="13">
      <c r="A692" s="1">
        <v>10938</v>
      </c>
      <c r="B692" s="1" t="s">
        <v>494</v>
      </c>
      <c r="C692" s="1">
        <v>3</v>
      </c>
      <c r="D692" s="2">
        <v>35164</v>
      </c>
      <c r="E692" s="2">
        <v>35192</v>
      </c>
      <c r="F692" s="2">
        <v>35170</v>
      </c>
      <c r="G692" s="1">
        <v>2</v>
      </c>
      <c r="H692" s="1">
        <v>31.89</v>
      </c>
      <c r="I692" s="1" t="s">
        <v>495</v>
      </c>
      <c r="J692" s="1" t="s">
        <v>496</v>
      </c>
      <c r="K692" s="1" t="s">
        <v>497</v>
      </c>
      <c r="M692" s="3">
        <v>1307</v>
      </c>
      <c r="N692" s="1" t="s">
        <v>93</v>
      </c>
    </row>
    <row r="693" spans="1:14" ht="13">
      <c r="A693" s="1">
        <v>10939</v>
      </c>
      <c r="B693" s="1" t="s">
        <v>498</v>
      </c>
      <c r="C693" s="1">
        <v>2</v>
      </c>
      <c r="D693" s="2">
        <v>35164</v>
      </c>
      <c r="E693" s="2">
        <v>35192</v>
      </c>
      <c r="F693" s="2">
        <v>35167</v>
      </c>
      <c r="G693" s="1">
        <v>2</v>
      </c>
      <c r="H693" s="1">
        <v>76.33</v>
      </c>
      <c r="I693" s="1" t="s">
        <v>499</v>
      </c>
      <c r="J693" s="1" t="s">
        <v>500</v>
      </c>
      <c r="K693" s="1" t="s">
        <v>501</v>
      </c>
      <c r="M693" s="3">
        <v>24100</v>
      </c>
      <c r="N693" s="1" t="s">
        <v>113</v>
      </c>
    </row>
    <row r="694" spans="1:14" ht="13">
      <c r="A694" s="1">
        <v>10940</v>
      </c>
      <c r="B694" s="1" t="s">
        <v>606</v>
      </c>
      <c r="C694" s="1">
        <v>8</v>
      </c>
      <c r="D694" s="2">
        <v>35165</v>
      </c>
      <c r="E694" s="2">
        <v>35193</v>
      </c>
      <c r="F694" s="2">
        <v>35177</v>
      </c>
      <c r="G694" s="1">
        <v>3</v>
      </c>
      <c r="H694" s="1">
        <v>19.77</v>
      </c>
      <c r="I694" s="1" t="s">
        <v>607</v>
      </c>
      <c r="J694" s="1" t="s">
        <v>608</v>
      </c>
      <c r="K694" s="1" t="s">
        <v>609</v>
      </c>
      <c r="M694" s="3">
        <v>13008</v>
      </c>
      <c r="N694" s="1" t="s">
        <v>140</v>
      </c>
    </row>
    <row r="695" spans="1:14" ht="13">
      <c r="A695" s="1">
        <v>10941</v>
      </c>
      <c r="B695" s="1" t="s">
        <v>593</v>
      </c>
      <c r="C695" s="1">
        <v>7</v>
      </c>
      <c r="D695" s="2">
        <v>35165</v>
      </c>
      <c r="E695" s="2">
        <v>35193</v>
      </c>
      <c r="F695" s="2">
        <v>35174</v>
      </c>
      <c r="G695" s="1">
        <v>2</v>
      </c>
      <c r="H695" s="1">
        <v>400.81</v>
      </c>
      <c r="I695" s="1" t="s">
        <v>594</v>
      </c>
      <c r="J695" s="1" t="s">
        <v>595</v>
      </c>
      <c r="K695" s="1" t="s">
        <v>596</v>
      </c>
      <c r="L695" s="1" t="s">
        <v>597</v>
      </c>
      <c r="M695" s="3">
        <v>83720</v>
      </c>
      <c r="N695" s="1" t="s">
        <v>26</v>
      </c>
    </row>
    <row r="696" spans="1:14" ht="13">
      <c r="A696" s="1">
        <v>10942</v>
      </c>
      <c r="B696" s="1" t="s">
        <v>531</v>
      </c>
      <c r="C696" s="1">
        <v>9</v>
      </c>
      <c r="D696" s="2">
        <v>35165</v>
      </c>
      <c r="E696" s="2">
        <v>35193</v>
      </c>
      <c r="F696" s="2">
        <v>35172</v>
      </c>
      <c r="G696" s="1">
        <v>3</v>
      </c>
      <c r="H696" s="1">
        <v>17.95</v>
      </c>
      <c r="I696" s="1" t="s">
        <v>532</v>
      </c>
      <c r="J696" s="1" t="s">
        <v>533</v>
      </c>
      <c r="K696" s="1" t="s">
        <v>534</v>
      </c>
      <c r="M696" s="3">
        <v>42100</v>
      </c>
      <c r="N696" s="1" t="s">
        <v>113</v>
      </c>
    </row>
    <row r="697" spans="1:14" ht="13">
      <c r="A697" s="1">
        <v>10943</v>
      </c>
      <c r="B697" s="1" t="s">
        <v>535</v>
      </c>
      <c r="C697" s="1">
        <v>4</v>
      </c>
      <c r="D697" s="2">
        <v>35165</v>
      </c>
      <c r="E697" s="2">
        <v>35193</v>
      </c>
      <c r="F697" s="2">
        <v>35173</v>
      </c>
      <c r="G697" s="1">
        <v>2</v>
      </c>
      <c r="H697" s="1">
        <v>2.17</v>
      </c>
      <c r="I697" s="1" t="s">
        <v>536</v>
      </c>
      <c r="J697" s="1" t="s">
        <v>537</v>
      </c>
      <c r="K697" s="1" t="s">
        <v>16</v>
      </c>
      <c r="M697" s="3" t="s">
        <v>538</v>
      </c>
      <c r="N697" s="1" t="s">
        <v>18</v>
      </c>
    </row>
    <row r="698" spans="1:14" ht="13">
      <c r="A698" s="1">
        <v>10944</v>
      </c>
      <c r="B698" s="1" t="s">
        <v>679</v>
      </c>
      <c r="C698" s="1">
        <v>6</v>
      </c>
      <c r="D698" s="2">
        <v>35166</v>
      </c>
      <c r="E698" s="2">
        <v>35180</v>
      </c>
      <c r="F698" s="2">
        <v>35167</v>
      </c>
      <c r="G698" s="1">
        <v>3</v>
      </c>
      <c r="H698" s="1">
        <v>52.92</v>
      </c>
      <c r="I698" s="1" t="s">
        <v>680</v>
      </c>
      <c r="J698" s="1" t="s">
        <v>681</v>
      </c>
      <c r="K698" s="1" t="s">
        <v>682</v>
      </c>
      <c r="L698" s="1" t="s">
        <v>683</v>
      </c>
      <c r="M698" s="3" t="s">
        <v>684</v>
      </c>
      <c r="N698" s="1" t="s">
        <v>192</v>
      </c>
    </row>
    <row r="699" spans="1:14" ht="13">
      <c r="A699" s="1">
        <v>10945</v>
      </c>
      <c r="B699" s="1" t="s">
        <v>505</v>
      </c>
      <c r="C699" s="1">
        <v>4</v>
      </c>
      <c r="D699" s="2">
        <v>35166</v>
      </c>
      <c r="E699" s="2">
        <v>35194</v>
      </c>
      <c r="F699" s="2">
        <v>35172</v>
      </c>
      <c r="G699" s="1">
        <v>1</v>
      </c>
      <c r="H699" s="1">
        <v>10.220000000000001</v>
      </c>
      <c r="I699" s="1" t="s">
        <v>506</v>
      </c>
      <c r="J699" s="1" t="s">
        <v>507</v>
      </c>
      <c r="K699" s="1" t="s">
        <v>508</v>
      </c>
      <c r="M699" s="3">
        <v>4179</v>
      </c>
      <c r="N699" s="1" t="s">
        <v>93</v>
      </c>
    </row>
    <row r="700" spans="1:14" ht="13">
      <c r="A700" s="1">
        <v>10946</v>
      </c>
      <c r="B700" s="1" t="s">
        <v>657</v>
      </c>
      <c r="C700" s="1">
        <v>1</v>
      </c>
      <c r="D700" s="2">
        <v>35166</v>
      </c>
      <c r="E700" s="2">
        <v>35194</v>
      </c>
      <c r="F700" s="2">
        <v>35173</v>
      </c>
      <c r="G700" s="1">
        <v>2</v>
      </c>
      <c r="H700" s="1">
        <v>27.2</v>
      </c>
      <c r="I700" s="1" t="s">
        <v>658</v>
      </c>
      <c r="J700" s="1" t="s">
        <v>659</v>
      </c>
      <c r="K700" s="1" t="s">
        <v>660</v>
      </c>
      <c r="M700" s="3">
        <v>8200</v>
      </c>
      <c r="N700" s="1" t="s">
        <v>161</v>
      </c>
    </row>
    <row r="701" spans="1:14" ht="13">
      <c r="A701" s="1">
        <v>10947</v>
      </c>
      <c r="B701" s="1" t="s">
        <v>535</v>
      </c>
      <c r="C701" s="1">
        <v>3</v>
      </c>
      <c r="D701" s="2">
        <v>35167</v>
      </c>
      <c r="E701" s="2">
        <v>35195</v>
      </c>
      <c r="F701" s="2">
        <v>35170</v>
      </c>
      <c r="G701" s="1">
        <v>2</v>
      </c>
      <c r="H701" s="1">
        <v>3.26</v>
      </c>
      <c r="I701" s="1" t="s">
        <v>536</v>
      </c>
      <c r="J701" s="1" t="s">
        <v>537</v>
      </c>
      <c r="K701" s="1" t="s">
        <v>16</v>
      </c>
      <c r="M701" s="3" t="s">
        <v>538</v>
      </c>
      <c r="N701" s="1" t="s">
        <v>18</v>
      </c>
    </row>
    <row r="702" spans="1:14" ht="13">
      <c r="A702" s="1">
        <v>10948</v>
      </c>
      <c r="B702" s="1" t="s">
        <v>557</v>
      </c>
      <c r="C702" s="1">
        <v>3</v>
      </c>
      <c r="D702" s="2">
        <v>35167</v>
      </c>
      <c r="E702" s="2">
        <v>35195</v>
      </c>
      <c r="F702" s="2">
        <v>35173</v>
      </c>
      <c r="G702" s="1">
        <v>3</v>
      </c>
      <c r="H702" s="1">
        <v>23.39</v>
      </c>
      <c r="I702" s="1" t="s">
        <v>558</v>
      </c>
      <c r="J702" s="1" t="s">
        <v>559</v>
      </c>
      <c r="K702" s="1" t="s">
        <v>560</v>
      </c>
      <c r="M702" s="3">
        <v>41101</v>
      </c>
      <c r="N702" s="1" t="s">
        <v>50</v>
      </c>
    </row>
    <row r="703" spans="1:14" ht="13">
      <c r="A703" s="1">
        <v>10949</v>
      </c>
      <c r="B703" s="1" t="s">
        <v>679</v>
      </c>
      <c r="C703" s="1">
        <v>2</v>
      </c>
      <c r="D703" s="2">
        <v>35167</v>
      </c>
      <c r="E703" s="2">
        <v>35195</v>
      </c>
      <c r="F703" s="2">
        <v>35171</v>
      </c>
      <c r="G703" s="1">
        <v>3</v>
      </c>
      <c r="H703" s="1">
        <v>74.44</v>
      </c>
      <c r="I703" s="1" t="s">
        <v>680</v>
      </c>
      <c r="J703" s="1" t="s">
        <v>681</v>
      </c>
      <c r="K703" s="1" t="s">
        <v>682</v>
      </c>
      <c r="L703" s="1" t="s">
        <v>683</v>
      </c>
      <c r="M703" s="3" t="s">
        <v>684</v>
      </c>
      <c r="N703" s="1" t="s">
        <v>192</v>
      </c>
    </row>
    <row r="704" spans="1:14" ht="13">
      <c r="A704" s="1">
        <v>10950</v>
      </c>
      <c r="B704" s="1" t="s">
        <v>498</v>
      </c>
      <c r="C704" s="1">
        <v>1</v>
      </c>
      <c r="D704" s="2">
        <v>35170</v>
      </c>
      <c r="E704" s="2">
        <v>35198</v>
      </c>
      <c r="F704" s="2">
        <v>35177</v>
      </c>
      <c r="G704" s="1">
        <v>2</v>
      </c>
      <c r="H704" s="1">
        <v>2.5</v>
      </c>
      <c r="I704" s="1" t="s">
        <v>499</v>
      </c>
      <c r="J704" s="1" t="s">
        <v>500</v>
      </c>
      <c r="K704" s="1" t="s">
        <v>501</v>
      </c>
      <c r="M704" s="3">
        <v>24100</v>
      </c>
      <c r="N704" s="1" t="s">
        <v>113</v>
      </c>
    </row>
    <row r="705" spans="1:14" ht="13">
      <c r="A705" s="1">
        <v>10951</v>
      </c>
      <c r="B705" s="1" t="s">
        <v>423</v>
      </c>
      <c r="C705" s="1">
        <v>9</v>
      </c>
      <c r="D705" s="2">
        <v>35170</v>
      </c>
      <c r="E705" s="2">
        <v>35212</v>
      </c>
      <c r="F705" s="2">
        <v>35192</v>
      </c>
      <c r="G705" s="1">
        <v>2</v>
      </c>
      <c r="H705" s="1">
        <v>30.85</v>
      </c>
      <c r="I705" s="1" t="s">
        <v>424</v>
      </c>
      <c r="J705" s="1" t="s">
        <v>425</v>
      </c>
      <c r="K705" s="1" t="s">
        <v>426</v>
      </c>
      <c r="M705" s="3">
        <v>1204</v>
      </c>
      <c r="N705" s="1" t="s">
        <v>422</v>
      </c>
    </row>
    <row r="706" spans="1:14" ht="13">
      <c r="A706" s="1">
        <v>10952</v>
      </c>
      <c r="B706" s="1" t="s">
        <v>762</v>
      </c>
      <c r="C706" s="1">
        <v>1</v>
      </c>
      <c r="D706" s="2">
        <v>35170</v>
      </c>
      <c r="E706" s="2">
        <v>35212</v>
      </c>
      <c r="F706" s="2">
        <v>35178</v>
      </c>
      <c r="G706" s="1">
        <v>1</v>
      </c>
      <c r="H706" s="1">
        <v>40.42</v>
      </c>
      <c r="I706" s="1" t="s">
        <v>768</v>
      </c>
      <c r="J706" s="1" t="s">
        <v>764</v>
      </c>
      <c r="K706" s="1" t="s">
        <v>92</v>
      </c>
      <c r="M706" s="3">
        <v>12209</v>
      </c>
      <c r="N706" s="1" t="s">
        <v>93</v>
      </c>
    </row>
    <row r="707" spans="1:14" ht="13">
      <c r="A707" s="1">
        <v>10953</v>
      </c>
      <c r="B707" s="1" t="s">
        <v>632</v>
      </c>
      <c r="C707" s="1">
        <v>9</v>
      </c>
      <c r="D707" s="2">
        <v>35170</v>
      </c>
      <c r="E707" s="2">
        <v>35184</v>
      </c>
      <c r="F707" s="2">
        <v>35179</v>
      </c>
      <c r="G707" s="1">
        <v>2</v>
      </c>
      <c r="H707" s="1">
        <v>23.72</v>
      </c>
      <c r="I707" s="1" t="s">
        <v>633</v>
      </c>
      <c r="J707" s="1" t="s">
        <v>634</v>
      </c>
      <c r="K707" s="1" t="s">
        <v>635</v>
      </c>
      <c r="L707" s="1" t="s">
        <v>636</v>
      </c>
      <c r="M707" s="3" t="s">
        <v>637</v>
      </c>
      <c r="N707" s="1" t="s">
        <v>18</v>
      </c>
    </row>
    <row r="708" spans="1:14" ht="13">
      <c r="A708" s="1">
        <v>10954</v>
      </c>
      <c r="B708" s="1" t="s">
        <v>685</v>
      </c>
      <c r="C708" s="1">
        <v>5</v>
      </c>
      <c r="D708" s="2">
        <v>35171</v>
      </c>
      <c r="E708" s="2">
        <v>35213</v>
      </c>
      <c r="F708" s="2">
        <v>35174</v>
      </c>
      <c r="G708" s="1">
        <v>1</v>
      </c>
      <c r="H708" s="1">
        <v>27.91</v>
      </c>
      <c r="I708" s="1" t="s">
        <v>686</v>
      </c>
      <c r="J708" s="1" t="s">
        <v>687</v>
      </c>
      <c r="K708" s="1" t="s">
        <v>688</v>
      </c>
      <c r="L708" s="1" t="s">
        <v>689</v>
      </c>
      <c r="M708" s="3">
        <v>4980</v>
      </c>
      <c r="N708" s="1" t="s">
        <v>438</v>
      </c>
    </row>
    <row r="709" spans="1:14" ht="13">
      <c r="A709" s="1">
        <v>10955</v>
      </c>
      <c r="B709" s="1" t="s">
        <v>462</v>
      </c>
      <c r="C709" s="1">
        <v>8</v>
      </c>
      <c r="D709" s="2">
        <v>35171</v>
      </c>
      <c r="E709" s="2">
        <v>35199</v>
      </c>
      <c r="F709" s="2">
        <v>35174</v>
      </c>
      <c r="G709" s="1">
        <v>2</v>
      </c>
      <c r="H709" s="1">
        <v>3.26</v>
      </c>
      <c r="I709" s="1" t="s">
        <v>463</v>
      </c>
      <c r="J709" s="1" t="s">
        <v>464</v>
      </c>
      <c r="K709" s="1" t="s">
        <v>465</v>
      </c>
      <c r="M709" s="3" t="s">
        <v>466</v>
      </c>
      <c r="N709" s="1" t="s">
        <v>79</v>
      </c>
    </row>
    <row r="710" spans="1:14" ht="13">
      <c r="A710" s="1">
        <v>10956</v>
      </c>
      <c r="B710" s="1" t="s">
        <v>724</v>
      </c>
      <c r="C710" s="1">
        <v>6</v>
      </c>
      <c r="D710" s="2">
        <v>35171</v>
      </c>
      <c r="E710" s="2">
        <v>35213</v>
      </c>
      <c r="F710" s="2">
        <v>35174</v>
      </c>
      <c r="G710" s="1">
        <v>2</v>
      </c>
      <c r="H710" s="1">
        <v>44.65</v>
      </c>
      <c r="I710" s="1" t="s">
        <v>725</v>
      </c>
      <c r="J710" s="1" t="s">
        <v>726</v>
      </c>
      <c r="K710" s="1" t="s">
        <v>727</v>
      </c>
      <c r="M710" s="3">
        <v>68306</v>
      </c>
      <c r="N710" s="1" t="s">
        <v>93</v>
      </c>
    </row>
    <row r="711" spans="1:14" ht="13">
      <c r="A711" s="1">
        <v>10957</v>
      </c>
      <c r="B711" s="1" t="s">
        <v>433</v>
      </c>
      <c r="C711" s="1">
        <v>8</v>
      </c>
      <c r="D711" s="2">
        <v>35172</v>
      </c>
      <c r="E711" s="2">
        <v>35200</v>
      </c>
      <c r="F711" s="2">
        <v>35181</v>
      </c>
      <c r="G711" s="1">
        <v>3</v>
      </c>
      <c r="H711" s="1">
        <v>105.36</v>
      </c>
      <c r="I711" s="1" t="s">
        <v>434</v>
      </c>
      <c r="J711" s="1" t="s">
        <v>435</v>
      </c>
      <c r="K711" s="1" t="s">
        <v>436</v>
      </c>
      <c r="L711" s="1" t="s">
        <v>437</v>
      </c>
      <c r="M711" s="3">
        <v>5022</v>
      </c>
      <c r="N711" s="1" t="s">
        <v>438</v>
      </c>
    </row>
    <row r="712" spans="1:14" ht="13">
      <c r="A712" s="1">
        <v>10958</v>
      </c>
      <c r="B712" s="1" t="s">
        <v>694</v>
      </c>
      <c r="C712" s="1">
        <v>7</v>
      </c>
      <c r="D712" s="2">
        <v>35172</v>
      </c>
      <c r="E712" s="2">
        <v>35200</v>
      </c>
      <c r="F712" s="2">
        <v>35181</v>
      </c>
      <c r="G712" s="1">
        <v>2</v>
      </c>
      <c r="H712" s="1">
        <v>49.56</v>
      </c>
      <c r="I712" s="1" t="s">
        <v>695</v>
      </c>
      <c r="J712" s="1" t="s">
        <v>696</v>
      </c>
      <c r="K712" s="1" t="s">
        <v>697</v>
      </c>
      <c r="M712" s="3">
        <v>1010</v>
      </c>
      <c r="N712" s="1" t="s">
        <v>698</v>
      </c>
    </row>
    <row r="713" spans="1:14" ht="13">
      <c r="A713" s="1">
        <v>10959</v>
      </c>
      <c r="B713" s="1" t="s">
        <v>703</v>
      </c>
      <c r="C713" s="1">
        <v>6</v>
      </c>
      <c r="D713" s="2">
        <v>35172</v>
      </c>
      <c r="E713" s="2">
        <v>35214</v>
      </c>
      <c r="F713" s="2">
        <v>35177</v>
      </c>
      <c r="G713" s="1">
        <v>2</v>
      </c>
      <c r="H713" s="1">
        <v>4.9800000000000004</v>
      </c>
      <c r="I713" s="1" t="s">
        <v>704</v>
      </c>
      <c r="J713" s="1" t="s">
        <v>705</v>
      </c>
      <c r="K713" s="1" t="s">
        <v>706</v>
      </c>
      <c r="L713" s="1" t="s">
        <v>431</v>
      </c>
      <c r="M713" s="3" t="s">
        <v>707</v>
      </c>
      <c r="N713" s="1" t="s">
        <v>86</v>
      </c>
    </row>
    <row r="714" spans="1:14" ht="13">
      <c r="A714" s="1">
        <v>10960</v>
      </c>
      <c r="B714" s="1" t="s">
        <v>433</v>
      </c>
      <c r="C714" s="1">
        <v>3</v>
      </c>
      <c r="D714" s="2">
        <v>35173</v>
      </c>
      <c r="E714" s="2">
        <v>35187</v>
      </c>
      <c r="F714" s="2">
        <v>35193</v>
      </c>
      <c r="G714" s="1">
        <v>1</v>
      </c>
      <c r="H714" s="1">
        <v>2.08</v>
      </c>
      <c r="I714" s="1" t="s">
        <v>434</v>
      </c>
      <c r="J714" s="1" t="s">
        <v>435</v>
      </c>
      <c r="K714" s="1" t="s">
        <v>436</v>
      </c>
      <c r="L714" s="1" t="s">
        <v>437</v>
      </c>
      <c r="M714" s="3">
        <v>5022</v>
      </c>
      <c r="N714" s="1" t="s">
        <v>438</v>
      </c>
    </row>
    <row r="715" spans="1:14" ht="13">
      <c r="A715" s="1">
        <v>10961</v>
      </c>
      <c r="B715" s="1" t="s">
        <v>661</v>
      </c>
      <c r="C715" s="1">
        <v>8</v>
      </c>
      <c r="D715" s="2">
        <v>35173</v>
      </c>
      <c r="E715" s="2">
        <v>35201</v>
      </c>
      <c r="F715" s="2">
        <v>35184</v>
      </c>
      <c r="G715" s="1">
        <v>1</v>
      </c>
      <c r="H715" s="1">
        <v>104.47</v>
      </c>
      <c r="I715" s="1" t="s">
        <v>662</v>
      </c>
      <c r="J715" s="1" t="s">
        <v>663</v>
      </c>
      <c r="K715" s="1" t="s">
        <v>85</v>
      </c>
      <c r="L715" s="1" t="s">
        <v>431</v>
      </c>
      <c r="M715" s="3" t="s">
        <v>664</v>
      </c>
      <c r="N715" s="1" t="s">
        <v>86</v>
      </c>
    </row>
    <row r="716" spans="1:14" ht="13">
      <c r="A716" s="1">
        <v>10962</v>
      </c>
      <c r="B716" s="1" t="s">
        <v>494</v>
      </c>
      <c r="C716" s="1">
        <v>8</v>
      </c>
      <c r="D716" s="2">
        <v>35173</v>
      </c>
      <c r="E716" s="2">
        <v>35201</v>
      </c>
      <c r="F716" s="2">
        <v>35177</v>
      </c>
      <c r="G716" s="1">
        <v>2</v>
      </c>
      <c r="H716" s="1">
        <v>275.79000000000002</v>
      </c>
      <c r="I716" s="1" t="s">
        <v>495</v>
      </c>
      <c r="J716" s="1" t="s">
        <v>496</v>
      </c>
      <c r="K716" s="1" t="s">
        <v>497</v>
      </c>
      <c r="M716" s="3">
        <v>1307</v>
      </c>
      <c r="N716" s="1" t="s">
        <v>93</v>
      </c>
    </row>
    <row r="717" spans="1:14" ht="13">
      <c r="A717" s="1">
        <v>10963</v>
      </c>
      <c r="B717" s="1" t="s">
        <v>601</v>
      </c>
      <c r="C717" s="1">
        <v>9</v>
      </c>
      <c r="D717" s="2">
        <v>35173</v>
      </c>
      <c r="E717" s="2">
        <v>35201</v>
      </c>
      <c r="F717" s="2">
        <v>35180</v>
      </c>
      <c r="G717" s="1">
        <v>3</v>
      </c>
      <c r="H717" s="1">
        <v>2.7</v>
      </c>
      <c r="I717" s="1" t="s">
        <v>602</v>
      </c>
      <c r="J717" s="1" t="s">
        <v>603</v>
      </c>
      <c r="K717" s="1" t="s">
        <v>604</v>
      </c>
      <c r="M717" s="3">
        <v>1675</v>
      </c>
      <c r="N717" s="1" t="s">
        <v>605</v>
      </c>
    </row>
    <row r="718" spans="1:14" ht="13">
      <c r="A718" s="1">
        <v>10964</v>
      </c>
      <c r="B718" s="1" t="s">
        <v>769</v>
      </c>
      <c r="C718" s="1">
        <v>3</v>
      </c>
      <c r="D718" s="2">
        <v>35174</v>
      </c>
      <c r="E718" s="2">
        <v>35202</v>
      </c>
      <c r="F718" s="2">
        <v>35178</v>
      </c>
      <c r="G718" s="1">
        <v>2</v>
      </c>
      <c r="H718" s="1">
        <v>87.38</v>
      </c>
      <c r="I718" s="1" t="s">
        <v>770</v>
      </c>
      <c r="J718" s="1" t="s">
        <v>771</v>
      </c>
      <c r="K718" s="1" t="s">
        <v>139</v>
      </c>
      <c r="M718" s="3">
        <v>75016</v>
      </c>
      <c r="N718" s="1" t="s">
        <v>140</v>
      </c>
    </row>
    <row r="719" spans="1:14" ht="13">
      <c r="A719" s="1">
        <v>10965</v>
      </c>
      <c r="B719" s="1" t="s">
        <v>561</v>
      </c>
      <c r="C719" s="1">
        <v>6</v>
      </c>
      <c r="D719" s="2">
        <v>35174</v>
      </c>
      <c r="E719" s="2">
        <v>35202</v>
      </c>
      <c r="F719" s="2">
        <v>35184</v>
      </c>
      <c r="G719" s="1">
        <v>3</v>
      </c>
      <c r="H719" s="1">
        <v>144.38</v>
      </c>
      <c r="I719" s="1" t="s">
        <v>562</v>
      </c>
      <c r="J719" s="1" t="s">
        <v>563</v>
      </c>
      <c r="K719" s="1" t="s">
        <v>564</v>
      </c>
      <c r="L719" s="1" t="s">
        <v>565</v>
      </c>
      <c r="M719" s="3">
        <v>99508</v>
      </c>
      <c r="N719" s="1" t="s">
        <v>26</v>
      </c>
    </row>
    <row r="720" spans="1:14" ht="13">
      <c r="A720" s="1">
        <v>10966</v>
      </c>
      <c r="B720" s="1" t="s">
        <v>418</v>
      </c>
      <c r="C720" s="1">
        <v>4</v>
      </c>
      <c r="D720" s="2">
        <v>35174</v>
      </c>
      <c r="E720" s="2">
        <v>35202</v>
      </c>
      <c r="F720" s="2">
        <v>35193</v>
      </c>
      <c r="G720" s="1">
        <v>1</v>
      </c>
      <c r="H720" s="1">
        <v>27.19</v>
      </c>
      <c r="I720" s="1" t="s">
        <v>419</v>
      </c>
      <c r="J720" s="1" t="s">
        <v>420</v>
      </c>
      <c r="K720" s="1" t="s">
        <v>421</v>
      </c>
      <c r="M720" s="3">
        <v>3012</v>
      </c>
      <c r="N720" s="1" t="s">
        <v>422</v>
      </c>
    </row>
    <row r="721" spans="1:14" ht="13">
      <c r="A721" s="1">
        <v>10967</v>
      </c>
      <c r="B721" s="1" t="s">
        <v>398</v>
      </c>
      <c r="C721" s="1">
        <v>2</v>
      </c>
      <c r="D721" s="2">
        <v>35177</v>
      </c>
      <c r="E721" s="2">
        <v>35205</v>
      </c>
      <c r="F721" s="2">
        <v>35187</v>
      </c>
      <c r="G721" s="1">
        <v>2</v>
      </c>
      <c r="H721" s="1">
        <v>62.22</v>
      </c>
      <c r="I721" s="1" t="s">
        <v>399</v>
      </c>
      <c r="J721" s="1" t="s">
        <v>400</v>
      </c>
      <c r="K721" s="1" t="s">
        <v>401</v>
      </c>
      <c r="M721" s="3">
        <v>44087</v>
      </c>
      <c r="N721" s="1" t="s">
        <v>93</v>
      </c>
    </row>
    <row r="722" spans="1:14" ht="13">
      <c r="A722" s="1">
        <v>10968</v>
      </c>
      <c r="B722" s="1" t="s">
        <v>439</v>
      </c>
      <c r="C722" s="1">
        <v>1</v>
      </c>
      <c r="D722" s="2">
        <v>35177</v>
      </c>
      <c r="E722" s="2">
        <v>35205</v>
      </c>
      <c r="F722" s="2">
        <v>35186</v>
      </c>
      <c r="G722" s="1">
        <v>3</v>
      </c>
      <c r="H722" s="1">
        <v>74.599999999999994</v>
      </c>
      <c r="I722" s="1" t="s">
        <v>440</v>
      </c>
      <c r="J722" s="1" t="s">
        <v>441</v>
      </c>
      <c r="K722" s="1" t="s">
        <v>442</v>
      </c>
      <c r="M722" s="3">
        <v>8010</v>
      </c>
      <c r="N722" s="1" t="s">
        <v>443</v>
      </c>
    </row>
    <row r="723" spans="1:14" ht="13">
      <c r="A723" s="1">
        <v>10969</v>
      </c>
      <c r="B723" s="1" t="s">
        <v>539</v>
      </c>
      <c r="C723" s="1">
        <v>1</v>
      </c>
      <c r="D723" s="2">
        <v>35177</v>
      </c>
      <c r="E723" s="2">
        <v>35205</v>
      </c>
      <c r="F723" s="2">
        <v>35184</v>
      </c>
      <c r="G723" s="1">
        <v>2</v>
      </c>
      <c r="H723" s="1">
        <v>0.21</v>
      </c>
      <c r="I723" s="1" t="s">
        <v>540</v>
      </c>
      <c r="J723" s="1" t="s">
        <v>541</v>
      </c>
      <c r="K723" s="1" t="s">
        <v>85</v>
      </c>
      <c r="L723" s="1" t="s">
        <v>431</v>
      </c>
      <c r="M723" s="3" t="s">
        <v>542</v>
      </c>
      <c r="N723" s="1" t="s">
        <v>86</v>
      </c>
    </row>
    <row r="724" spans="1:14" ht="13">
      <c r="A724" s="1">
        <v>10970</v>
      </c>
      <c r="B724" s="1" t="s">
        <v>598</v>
      </c>
      <c r="C724" s="1">
        <v>9</v>
      </c>
      <c r="D724" s="2">
        <v>35178</v>
      </c>
      <c r="E724" s="2">
        <v>35192</v>
      </c>
      <c r="F724" s="2">
        <v>35209</v>
      </c>
      <c r="G724" s="1">
        <v>1</v>
      </c>
      <c r="H724" s="1">
        <v>16.16</v>
      </c>
      <c r="I724" s="1" t="s">
        <v>599</v>
      </c>
      <c r="J724" s="1" t="s">
        <v>600</v>
      </c>
      <c r="K724" s="1" t="s">
        <v>521</v>
      </c>
      <c r="M724" s="3">
        <v>28023</v>
      </c>
      <c r="N724" s="1" t="s">
        <v>50</v>
      </c>
    </row>
    <row r="725" spans="1:14" ht="13">
      <c r="A725" s="1">
        <v>10971</v>
      </c>
      <c r="B725" s="1" t="s">
        <v>765</v>
      </c>
      <c r="C725" s="1">
        <v>2</v>
      </c>
      <c r="D725" s="2">
        <v>35178</v>
      </c>
      <c r="E725" s="2">
        <v>35206</v>
      </c>
      <c r="F725" s="2">
        <v>35187</v>
      </c>
      <c r="G725" s="1">
        <v>2</v>
      </c>
      <c r="H725" s="1">
        <v>121.82</v>
      </c>
      <c r="I725" s="1" t="s">
        <v>766</v>
      </c>
      <c r="J725" s="1" t="s">
        <v>767</v>
      </c>
      <c r="K725" s="1" t="s">
        <v>579</v>
      </c>
      <c r="M725" s="3">
        <v>44000</v>
      </c>
      <c r="N725" s="1" t="s">
        <v>140</v>
      </c>
    </row>
    <row r="726" spans="1:14" ht="13">
      <c r="A726" s="1">
        <v>10972</v>
      </c>
      <c r="B726" s="1" t="s">
        <v>772</v>
      </c>
      <c r="C726" s="1">
        <v>4</v>
      </c>
      <c r="D726" s="2">
        <v>35178</v>
      </c>
      <c r="E726" s="2">
        <v>35206</v>
      </c>
      <c r="F726" s="2">
        <v>35180</v>
      </c>
      <c r="G726" s="1">
        <v>2</v>
      </c>
      <c r="H726" s="1">
        <v>0.02</v>
      </c>
      <c r="I726" s="1" t="s">
        <v>773</v>
      </c>
      <c r="J726" s="1" t="s">
        <v>774</v>
      </c>
      <c r="K726" s="1" t="s">
        <v>775</v>
      </c>
      <c r="M726" s="3">
        <v>78000</v>
      </c>
      <c r="N726" s="1" t="s">
        <v>140</v>
      </c>
    </row>
    <row r="727" spans="1:14" ht="13">
      <c r="A727" s="1">
        <v>10973</v>
      </c>
      <c r="B727" s="1" t="s">
        <v>772</v>
      </c>
      <c r="C727" s="1">
        <v>6</v>
      </c>
      <c r="D727" s="2">
        <v>35178</v>
      </c>
      <c r="E727" s="2">
        <v>35206</v>
      </c>
      <c r="F727" s="2">
        <v>35181</v>
      </c>
      <c r="G727" s="1">
        <v>2</v>
      </c>
      <c r="H727" s="1">
        <v>15.17</v>
      </c>
      <c r="I727" s="1" t="s">
        <v>773</v>
      </c>
      <c r="J727" s="1" t="s">
        <v>774</v>
      </c>
      <c r="K727" s="1" t="s">
        <v>775</v>
      </c>
      <c r="M727" s="3">
        <v>78000</v>
      </c>
      <c r="N727" s="1" t="s">
        <v>140</v>
      </c>
    </row>
    <row r="728" spans="1:14" ht="13">
      <c r="A728" s="1">
        <v>10974</v>
      </c>
      <c r="B728" s="1" t="s">
        <v>489</v>
      </c>
      <c r="C728" s="1">
        <v>3</v>
      </c>
      <c r="D728" s="2">
        <v>35179</v>
      </c>
      <c r="E728" s="2">
        <v>35193</v>
      </c>
      <c r="F728" s="2">
        <v>35188</v>
      </c>
      <c r="G728" s="1">
        <v>3</v>
      </c>
      <c r="H728" s="1">
        <v>12.96</v>
      </c>
      <c r="I728" s="1" t="s">
        <v>490</v>
      </c>
      <c r="J728" s="1" t="s">
        <v>491</v>
      </c>
      <c r="K728" s="1" t="s">
        <v>492</v>
      </c>
      <c r="L728" s="1" t="s">
        <v>493</v>
      </c>
      <c r="M728" s="3">
        <v>82520</v>
      </c>
      <c r="N728" s="1" t="s">
        <v>26</v>
      </c>
    </row>
    <row r="729" spans="1:14" ht="13">
      <c r="A729" s="1">
        <v>10975</v>
      </c>
      <c r="B729" s="1" t="s">
        <v>679</v>
      </c>
      <c r="C729" s="1">
        <v>1</v>
      </c>
      <c r="D729" s="2">
        <v>35179</v>
      </c>
      <c r="E729" s="2">
        <v>35207</v>
      </c>
      <c r="F729" s="2">
        <v>35181</v>
      </c>
      <c r="G729" s="1">
        <v>3</v>
      </c>
      <c r="H729" s="1">
        <v>32.270000000000003</v>
      </c>
      <c r="I729" s="1" t="s">
        <v>680</v>
      </c>
      <c r="J729" s="1" t="s">
        <v>681</v>
      </c>
      <c r="K729" s="1" t="s">
        <v>682</v>
      </c>
      <c r="L729" s="1" t="s">
        <v>683</v>
      </c>
      <c r="M729" s="3" t="s">
        <v>684</v>
      </c>
      <c r="N729" s="1" t="s">
        <v>192</v>
      </c>
    </row>
    <row r="730" spans="1:14" ht="13">
      <c r="A730" s="1">
        <v>10976</v>
      </c>
      <c r="B730" s="1" t="s">
        <v>433</v>
      </c>
      <c r="C730" s="1">
        <v>1</v>
      </c>
      <c r="D730" s="2">
        <v>35179</v>
      </c>
      <c r="E730" s="2">
        <v>35221</v>
      </c>
      <c r="F730" s="2">
        <v>35188</v>
      </c>
      <c r="G730" s="1">
        <v>1</v>
      </c>
      <c r="H730" s="1">
        <v>37.97</v>
      </c>
      <c r="I730" s="1" t="s">
        <v>434</v>
      </c>
      <c r="J730" s="1" t="s">
        <v>435</v>
      </c>
      <c r="K730" s="1" t="s">
        <v>436</v>
      </c>
      <c r="L730" s="1" t="s">
        <v>437</v>
      </c>
      <c r="M730" s="3">
        <v>5022</v>
      </c>
      <c r="N730" s="1" t="s">
        <v>438</v>
      </c>
    </row>
    <row r="731" spans="1:14" ht="13">
      <c r="A731" s="1">
        <v>10977</v>
      </c>
      <c r="B731" s="1" t="s">
        <v>462</v>
      </c>
      <c r="C731" s="1">
        <v>8</v>
      </c>
      <c r="D731" s="2">
        <v>35180</v>
      </c>
      <c r="E731" s="2">
        <v>35208</v>
      </c>
      <c r="F731" s="2">
        <v>35195</v>
      </c>
      <c r="G731" s="1">
        <v>3</v>
      </c>
      <c r="H731" s="1">
        <v>208.5</v>
      </c>
      <c r="I731" s="1" t="s">
        <v>463</v>
      </c>
      <c r="J731" s="1" t="s">
        <v>464</v>
      </c>
      <c r="K731" s="1" t="s">
        <v>465</v>
      </c>
      <c r="M731" s="3" t="s">
        <v>466</v>
      </c>
      <c r="N731" s="1" t="s">
        <v>79</v>
      </c>
    </row>
    <row r="732" spans="1:14" ht="13">
      <c r="A732" s="1">
        <v>10978</v>
      </c>
      <c r="B732" s="1" t="s">
        <v>739</v>
      </c>
      <c r="C732" s="1">
        <v>9</v>
      </c>
      <c r="D732" s="2">
        <v>35180</v>
      </c>
      <c r="E732" s="2">
        <v>35208</v>
      </c>
      <c r="F732" s="2">
        <v>35208</v>
      </c>
      <c r="G732" s="1">
        <v>2</v>
      </c>
      <c r="H732" s="1">
        <v>32.82</v>
      </c>
      <c r="I732" s="1" t="s">
        <v>740</v>
      </c>
      <c r="J732" s="1" t="s">
        <v>741</v>
      </c>
      <c r="K732" s="1" t="s">
        <v>742</v>
      </c>
      <c r="M732" s="3" t="s">
        <v>743</v>
      </c>
      <c r="N732" s="1" t="s">
        <v>417</v>
      </c>
    </row>
    <row r="733" spans="1:14" ht="13">
      <c r="A733" s="1">
        <v>10979</v>
      </c>
      <c r="B733" s="1" t="s">
        <v>439</v>
      </c>
      <c r="C733" s="1">
        <v>8</v>
      </c>
      <c r="D733" s="2">
        <v>35180</v>
      </c>
      <c r="E733" s="2">
        <v>35208</v>
      </c>
      <c r="F733" s="2">
        <v>35185</v>
      </c>
      <c r="G733" s="1">
        <v>2</v>
      </c>
      <c r="H733" s="1">
        <v>353.07</v>
      </c>
      <c r="I733" s="1" t="s">
        <v>440</v>
      </c>
      <c r="J733" s="1" t="s">
        <v>441</v>
      </c>
      <c r="K733" s="1" t="s">
        <v>442</v>
      </c>
      <c r="M733" s="3">
        <v>8010</v>
      </c>
      <c r="N733" s="1" t="s">
        <v>443</v>
      </c>
    </row>
    <row r="734" spans="1:14" ht="13">
      <c r="A734" s="1">
        <v>10980</v>
      </c>
      <c r="B734" s="1" t="s">
        <v>462</v>
      </c>
      <c r="C734" s="1">
        <v>4</v>
      </c>
      <c r="D734" s="2">
        <v>35181</v>
      </c>
      <c r="E734" s="2">
        <v>35223</v>
      </c>
      <c r="F734" s="2">
        <v>35202</v>
      </c>
      <c r="G734" s="1">
        <v>1</v>
      </c>
      <c r="H734" s="1">
        <v>1.26</v>
      </c>
      <c r="I734" s="1" t="s">
        <v>463</v>
      </c>
      <c r="J734" s="1" t="s">
        <v>464</v>
      </c>
      <c r="K734" s="1" t="s">
        <v>465</v>
      </c>
      <c r="M734" s="3" t="s">
        <v>466</v>
      </c>
      <c r="N734" s="1" t="s">
        <v>79</v>
      </c>
    </row>
    <row r="735" spans="1:14" ht="13">
      <c r="A735" s="1">
        <v>10981</v>
      </c>
      <c r="B735" s="1" t="s">
        <v>402</v>
      </c>
      <c r="C735" s="1">
        <v>1</v>
      </c>
      <c r="D735" s="2">
        <v>35181</v>
      </c>
      <c r="E735" s="2">
        <v>35209</v>
      </c>
      <c r="F735" s="2">
        <v>35187</v>
      </c>
      <c r="G735" s="1">
        <v>2</v>
      </c>
      <c r="H735" s="1">
        <v>193.37</v>
      </c>
      <c r="I735" s="1" t="s">
        <v>403</v>
      </c>
      <c r="J735" s="1" t="s">
        <v>404</v>
      </c>
      <c r="K735" s="1" t="s">
        <v>405</v>
      </c>
      <c r="L735" s="1" t="s">
        <v>406</v>
      </c>
      <c r="M735" s="3" t="s">
        <v>407</v>
      </c>
      <c r="N735" s="1" t="s">
        <v>86</v>
      </c>
    </row>
    <row r="736" spans="1:14" ht="13">
      <c r="A736" s="1">
        <v>10982</v>
      </c>
      <c r="B736" s="1" t="s">
        <v>679</v>
      </c>
      <c r="C736" s="1">
        <v>2</v>
      </c>
      <c r="D736" s="2">
        <v>35181</v>
      </c>
      <c r="E736" s="2">
        <v>35209</v>
      </c>
      <c r="F736" s="2">
        <v>35193</v>
      </c>
      <c r="G736" s="1">
        <v>1</v>
      </c>
      <c r="H736" s="1">
        <v>14.01</v>
      </c>
      <c r="I736" s="1" t="s">
        <v>680</v>
      </c>
      <c r="J736" s="1" t="s">
        <v>681</v>
      </c>
      <c r="K736" s="1" t="s">
        <v>682</v>
      </c>
      <c r="L736" s="1" t="s">
        <v>683</v>
      </c>
      <c r="M736" s="3" t="s">
        <v>684</v>
      </c>
      <c r="N736" s="1" t="s">
        <v>192</v>
      </c>
    </row>
    <row r="737" spans="1:14" ht="13">
      <c r="A737" s="1">
        <v>10983</v>
      </c>
      <c r="B737" s="1" t="s">
        <v>593</v>
      </c>
      <c r="C737" s="1">
        <v>2</v>
      </c>
      <c r="D737" s="2">
        <v>35181</v>
      </c>
      <c r="E737" s="2">
        <v>35209</v>
      </c>
      <c r="F737" s="2">
        <v>35191</v>
      </c>
      <c r="G737" s="1">
        <v>2</v>
      </c>
      <c r="H737" s="1">
        <v>657.54</v>
      </c>
      <c r="I737" s="1" t="s">
        <v>594</v>
      </c>
      <c r="J737" s="1" t="s">
        <v>595</v>
      </c>
      <c r="K737" s="1" t="s">
        <v>596</v>
      </c>
      <c r="L737" s="1" t="s">
        <v>597</v>
      </c>
      <c r="M737" s="3">
        <v>83720</v>
      </c>
      <c r="N737" s="1" t="s">
        <v>26</v>
      </c>
    </row>
    <row r="738" spans="1:14" ht="13">
      <c r="A738" s="1">
        <v>10984</v>
      </c>
      <c r="B738" s="1" t="s">
        <v>593</v>
      </c>
      <c r="C738" s="1">
        <v>1</v>
      </c>
      <c r="D738" s="2">
        <v>35184</v>
      </c>
      <c r="E738" s="2">
        <v>35212</v>
      </c>
      <c r="F738" s="2">
        <v>35188</v>
      </c>
      <c r="G738" s="1">
        <v>3</v>
      </c>
      <c r="H738" s="1">
        <v>211.22</v>
      </c>
      <c r="I738" s="1" t="s">
        <v>594</v>
      </c>
      <c r="J738" s="1" t="s">
        <v>595</v>
      </c>
      <c r="K738" s="1" t="s">
        <v>596</v>
      </c>
      <c r="L738" s="1" t="s">
        <v>597</v>
      </c>
      <c r="M738" s="3">
        <v>83720</v>
      </c>
      <c r="N738" s="1" t="s">
        <v>26</v>
      </c>
    </row>
    <row r="739" spans="1:14" ht="13">
      <c r="A739" s="1">
        <v>10985</v>
      </c>
      <c r="B739" s="1" t="s">
        <v>547</v>
      </c>
      <c r="C739" s="1">
        <v>2</v>
      </c>
      <c r="D739" s="2">
        <v>35184</v>
      </c>
      <c r="E739" s="2">
        <v>35212</v>
      </c>
      <c r="F739" s="2">
        <v>35187</v>
      </c>
      <c r="G739" s="1">
        <v>1</v>
      </c>
      <c r="H739" s="1">
        <v>91.51</v>
      </c>
      <c r="I739" s="1" t="s">
        <v>548</v>
      </c>
      <c r="J739" s="1" t="s">
        <v>549</v>
      </c>
      <c r="K739" s="1" t="s">
        <v>550</v>
      </c>
      <c r="L739" s="1" t="s">
        <v>551</v>
      </c>
      <c r="N739" s="1" t="s">
        <v>552</v>
      </c>
    </row>
    <row r="740" spans="1:14" ht="13">
      <c r="A740" s="1">
        <v>10986</v>
      </c>
      <c r="B740" s="1" t="s">
        <v>694</v>
      </c>
      <c r="C740" s="1">
        <v>8</v>
      </c>
      <c r="D740" s="2">
        <v>35184</v>
      </c>
      <c r="E740" s="2">
        <v>35212</v>
      </c>
      <c r="F740" s="2">
        <v>35206</v>
      </c>
      <c r="G740" s="1">
        <v>2</v>
      </c>
      <c r="H740" s="1">
        <v>217.86</v>
      </c>
      <c r="I740" s="1" t="s">
        <v>695</v>
      </c>
      <c r="J740" s="1" t="s">
        <v>696</v>
      </c>
      <c r="K740" s="1" t="s">
        <v>697</v>
      </c>
      <c r="M740" s="3">
        <v>1010</v>
      </c>
      <c r="N740" s="1" t="s">
        <v>698</v>
      </c>
    </row>
    <row r="741" spans="1:14" ht="13">
      <c r="A741" s="1">
        <v>10987</v>
      </c>
      <c r="B741" s="1" t="s">
        <v>646</v>
      </c>
      <c r="C741" s="1">
        <v>8</v>
      </c>
      <c r="D741" s="2">
        <v>35185</v>
      </c>
      <c r="E741" s="2">
        <v>35213</v>
      </c>
      <c r="F741" s="2">
        <v>35191</v>
      </c>
      <c r="G741" s="1">
        <v>1</v>
      </c>
      <c r="H741" s="1">
        <v>185.48</v>
      </c>
      <c r="I741" s="1" t="s">
        <v>647</v>
      </c>
      <c r="J741" s="1" t="s">
        <v>648</v>
      </c>
      <c r="K741" s="1" t="s">
        <v>16</v>
      </c>
      <c r="M741" s="3" t="s">
        <v>649</v>
      </c>
      <c r="N741" s="1" t="s">
        <v>18</v>
      </c>
    </row>
    <row r="742" spans="1:14" ht="13">
      <c r="A742" s="1">
        <v>10988</v>
      </c>
      <c r="B742" s="1" t="s">
        <v>457</v>
      </c>
      <c r="C742" s="1">
        <v>3</v>
      </c>
      <c r="D742" s="2">
        <v>35185</v>
      </c>
      <c r="E742" s="2">
        <v>35213</v>
      </c>
      <c r="F742" s="2">
        <v>35195</v>
      </c>
      <c r="G742" s="1">
        <v>2</v>
      </c>
      <c r="H742" s="1">
        <v>61.14</v>
      </c>
      <c r="I742" s="1" t="s">
        <v>458</v>
      </c>
      <c r="J742" s="1" t="s">
        <v>459</v>
      </c>
      <c r="K742" s="1" t="s">
        <v>460</v>
      </c>
      <c r="L742" s="1" t="s">
        <v>461</v>
      </c>
      <c r="M742" s="3">
        <v>87110</v>
      </c>
      <c r="N742" s="1" t="s">
        <v>26</v>
      </c>
    </row>
    <row r="743" spans="1:14" ht="13">
      <c r="A743" s="1">
        <v>10989</v>
      </c>
      <c r="B743" s="1" t="s">
        <v>453</v>
      </c>
      <c r="C743" s="1">
        <v>2</v>
      </c>
      <c r="D743" s="2">
        <v>35185</v>
      </c>
      <c r="E743" s="2">
        <v>35213</v>
      </c>
      <c r="F743" s="2">
        <v>35187</v>
      </c>
      <c r="G743" s="1">
        <v>1</v>
      </c>
      <c r="H743" s="1">
        <v>34.76</v>
      </c>
      <c r="I743" s="1" t="s">
        <v>454</v>
      </c>
      <c r="J743" s="1" t="s">
        <v>455</v>
      </c>
      <c r="K743" s="1" t="s">
        <v>405</v>
      </c>
      <c r="L743" s="1" t="s">
        <v>406</v>
      </c>
      <c r="M743" s="3" t="s">
        <v>456</v>
      </c>
      <c r="N743" s="1" t="s">
        <v>86</v>
      </c>
    </row>
    <row r="744" spans="1:14" ht="13">
      <c r="A744" s="1">
        <v>10990</v>
      </c>
      <c r="B744" s="1" t="s">
        <v>439</v>
      </c>
      <c r="C744" s="1">
        <v>2</v>
      </c>
      <c r="D744" s="2">
        <v>35186</v>
      </c>
      <c r="E744" s="2">
        <v>35228</v>
      </c>
      <c r="F744" s="2">
        <v>35192</v>
      </c>
      <c r="G744" s="1">
        <v>3</v>
      </c>
      <c r="H744" s="1">
        <v>117.61</v>
      </c>
      <c r="I744" s="1" t="s">
        <v>440</v>
      </c>
      <c r="J744" s="1" t="s">
        <v>441</v>
      </c>
      <c r="K744" s="1" t="s">
        <v>442</v>
      </c>
      <c r="M744" s="3">
        <v>8010</v>
      </c>
      <c r="N744" s="1" t="s">
        <v>443</v>
      </c>
    </row>
    <row r="745" spans="1:14" ht="13">
      <c r="A745" s="1">
        <v>10991</v>
      </c>
      <c r="B745" s="1" t="s">
        <v>494</v>
      </c>
      <c r="C745" s="1">
        <v>1</v>
      </c>
      <c r="D745" s="2">
        <v>35186</v>
      </c>
      <c r="E745" s="2">
        <v>35214</v>
      </c>
      <c r="F745" s="2">
        <v>35192</v>
      </c>
      <c r="G745" s="1">
        <v>1</v>
      </c>
      <c r="H745" s="1">
        <v>38.51</v>
      </c>
      <c r="I745" s="1" t="s">
        <v>495</v>
      </c>
      <c r="J745" s="1" t="s">
        <v>496</v>
      </c>
      <c r="K745" s="1" t="s">
        <v>497</v>
      </c>
      <c r="M745" s="3">
        <v>1307</v>
      </c>
      <c r="N745" s="1" t="s">
        <v>93</v>
      </c>
    </row>
    <row r="746" spans="1:14" ht="13">
      <c r="A746" s="1">
        <v>10992</v>
      </c>
      <c r="B746" s="1" t="s">
        <v>573</v>
      </c>
      <c r="C746" s="1">
        <v>1</v>
      </c>
      <c r="D746" s="2">
        <v>35186</v>
      </c>
      <c r="E746" s="2">
        <v>35214</v>
      </c>
      <c r="F746" s="2">
        <v>35188</v>
      </c>
      <c r="G746" s="1">
        <v>3</v>
      </c>
      <c r="H746" s="1">
        <v>4.2699999999999996</v>
      </c>
      <c r="I746" s="1" t="s">
        <v>574</v>
      </c>
      <c r="J746" s="1" t="s">
        <v>575</v>
      </c>
      <c r="K746" s="1" t="s">
        <v>569</v>
      </c>
      <c r="L746" s="1" t="s">
        <v>128</v>
      </c>
      <c r="M746" s="3">
        <v>97201</v>
      </c>
      <c r="N746" s="1" t="s">
        <v>26</v>
      </c>
    </row>
    <row r="747" spans="1:14" ht="13">
      <c r="A747" s="1">
        <v>10993</v>
      </c>
      <c r="B747" s="1" t="s">
        <v>462</v>
      </c>
      <c r="C747" s="1">
        <v>7</v>
      </c>
      <c r="D747" s="2">
        <v>35186</v>
      </c>
      <c r="E747" s="2">
        <v>35214</v>
      </c>
      <c r="F747" s="2">
        <v>35195</v>
      </c>
      <c r="G747" s="1">
        <v>3</v>
      </c>
      <c r="H747" s="1">
        <v>8.81</v>
      </c>
      <c r="I747" s="1" t="s">
        <v>463</v>
      </c>
      <c r="J747" s="1" t="s">
        <v>464</v>
      </c>
      <c r="K747" s="1" t="s">
        <v>465</v>
      </c>
      <c r="M747" s="3" t="s">
        <v>466</v>
      </c>
      <c r="N747" s="1" t="s">
        <v>79</v>
      </c>
    </row>
    <row r="748" spans="1:14" ht="13">
      <c r="A748" s="1">
        <v>10994</v>
      </c>
      <c r="B748" s="1" t="s">
        <v>657</v>
      </c>
      <c r="C748" s="1">
        <v>2</v>
      </c>
      <c r="D748" s="2">
        <v>35187</v>
      </c>
      <c r="E748" s="2">
        <v>35201</v>
      </c>
      <c r="F748" s="2">
        <v>35194</v>
      </c>
      <c r="G748" s="1">
        <v>3</v>
      </c>
      <c r="H748" s="1">
        <v>65.53</v>
      </c>
      <c r="I748" s="1" t="s">
        <v>658</v>
      </c>
      <c r="J748" s="1" t="s">
        <v>659</v>
      </c>
      <c r="K748" s="1" t="s">
        <v>660</v>
      </c>
      <c r="M748" s="3">
        <v>8200</v>
      </c>
      <c r="N748" s="1" t="s">
        <v>161</v>
      </c>
    </row>
    <row r="749" spans="1:14" ht="13">
      <c r="A749" s="1">
        <v>10995</v>
      </c>
      <c r="B749" s="1" t="s">
        <v>586</v>
      </c>
      <c r="C749" s="1">
        <v>1</v>
      </c>
      <c r="D749" s="2">
        <v>35187</v>
      </c>
      <c r="E749" s="2">
        <v>35215</v>
      </c>
      <c r="F749" s="2">
        <v>35191</v>
      </c>
      <c r="G749" s="1">
        <v>3</v>
      </c>
      <c r="H749" s="1">
        <v>46</v>
      </c>
      <c r="I749" s="1" t="s">
        <v>587</v>
      </c>
      <c r="J749" s="1" t="s">
        <v>588</v>
      </c>
      <c r="K749" s="1" t="s">
        <v>447</v>
      </c>
      <c r="M749" s="3">
        <v>5033</v>
      </c>
      <c r="N749" s="1" t="s">
        <v>448</v>
      </c>
    </row>
    <row r="750" spans="1:14" ht="13">
      <c r="A750" s="1">
        <v>10996</v>
      </c>
      <c r="B750" s="1" t="s">
        <v>494</v>
      </c>
      <c r="C750" s="1">
        <v>4</v>
      </c>
      <c r="D750" s="2">
        <v>35187</v>
      </c>
      <c r="E750" s="2">
        <v>35215</v>
      </c>
      <c r="F750" s="2">
        <v>35195</v>
      </c>
      <c r="G750" s="1">
        <v>2</v>
      </c>
      <c r="H750" s="1">
        <v>1.1200000000000001</v>
      </c>
      <c r="I750" s="1" t="s">
        <v>495</v>
      </c>
      <c r="J750" s="1" t="s">
        <v>496</v>
      </c>
      <c r="K750" s="1" t="s">
        <v>497</v>
      </c>
      <c r="M750" s="3">
        <v>1307</v>
      </c>
      <c r="N750" s="1" t="s">
        <v>93</v>
      </c>
    </row>
    <row r="751" spans="1:14" ht="13">
      <c r="A751" s="1">
        <v>10997</v>
      </c>
      <c r="B751" s="1" t="s">
        <v>522</v>
      </c>
      <c r="C751" s="1">
        <v>8</v>
      </c>
      <c r="D751" s="2">
        <v>35188</v>
      </c>
      <c r="E751" s="2">
        <v>35230</v>
      </c>
      <c r="F751" s="2">
        <v>35198</v>
      </c>
      <c r="G751" s="1">
        <v>2</v>
      </c>
      <c r="H751" s="1">
        <v>73.91</v>
      </c>
      <c r="I751" s="1" t="s">
        <v>523</v>
      </c>
      <c r="J751" s="1" t="s">
        <v>524</v>
      </c>
      <c r="K751" s="1" t="s">
        <v>525</v>
      </c>
      <c r="L751" s="1" t="s">
        <v>526</v>
      </c>
      <c r="M751" s="3">
        <v>3508</v>
      </c>
      <c r="N751" s="1" t="s">
        <v>438</v>
      </c>
    </row>
    <row r="752" spans="1:14" ht="13">
      <c r="A752" s="1">
        <v>10998</v>
      </c>
      <c r="B752" s="1" t="s">
        <v>665</v>
      </c>
      <c r="C752" s="1">
        <v>8</v>
      </c>
      <c r="D752" s="2">
        <v>35188</v>
      </c>
      <c r="E752" s="2">
        <v>35202</v>
      </c>
      <c r="F752" s="2">
        <v>35202</v>
      </c>
      <c r="G752" s="1">
        <v>2</v>
      </c>
      <c r="H752" s="1">
        <v>20.309999999999999</v>
      </c>
      <c r="I752" s="1" t="s">
        <v>666</v>
      </c>
      <c r="J752" s="1" t="s">
        <v>667</v>
      </c>
      <c r="K752" s="1" t="s">
        <v>668</v>
      </c>
      <c r="M752" s="3" t="s">
        <v>669</v>
      </c>
      <c r="N752" s="1" t="s">
        <v>670</v>
      </c>
    </row>
    <row r="753" spans="1:14" ht="13">
      <c r="A753" s="1">
        <v>10999</v>
      </c>
      <c r="B753" s="1" t="s">
        <v>449</v>
      </c>
      <c r="C753" s="1">
        <v>6</v>
      </c>
      <c r="D753" s="2">
        <v>35188</v>
      </c>
      <c r="E753" s="2">
        <v>35216</v>
      </c>
      <c r="F753" s="2">
        <v>35195</v>
      </c>
      <c r="G753" s="1">
        <v>2</v>
      </c>
      <c r="H753" s="1">
        <v>96.35</v>
      </c>
      <c r="I753" s="1" t="s">
        <v>450</v>
      </c>
      <c r="J753" s="1" t="s">
        <v>451</v>
      </c>
      <c r="K753" s="1" t="s">
        <v>452</v>
      </c>
      <c r="M753" s="3">
        <v>50739</v>
      </c>
      <c r="N753" s="1" t="s">
        <v>93</v>
      </c>
    </row>
    <row r="754" spans="1:14" ht="13">
      <c r="A754" s="1">
        <v>11000</v>
      </c>
      <c r="B754" s="1" t="s">
        <v>457</v>
      </c>
      <c r="C754" s="1">
        <v>2</v>
      </c>
      <c r="D754" s="2">
        <v>35191</v>
      </c>
      <c r="E754" s="2">
        <v>35219</v>
      </c>
      <c r="F754" s="2">
        <v>35199</v>
      </c>
      <c r="G754" s="1">
        <v>3</v>
      </c>
      <c r="H754" s="1">
        <v>55.12</v>
      </c>
      <c r="I754" s="1" t="s">
        <v>458</v>
      </c>
      <c r="J754" s="1" t="s">
        <v>459</v>
      </c>
      <c r="K754" s="1" t="s">
        <v>460</v>
      </c>
      <c r="L754" s="1" t="s">
        <v>461</v>
      </c>
      <c r="M754" s="3">
        <v>87110</v>
      </c>
      <c r="N754" s="1" t="s">
        <v>26</v>
      </c>
    </row>
    <row r="755" spans="1:14" ht="13">
      <c r="A755" s="1">
        <v>11001</v>
      </c>
      <c r="B755" s="1" t="s">
        <v>462</v>
      </c>
      <c r="C755" s="1">
        <v>2</v>
      </c>
      <c r="D755" s="2">
        <v>35191</v>
      </c>
      <c r="E755" s="2">
        <v>35219</v>
      </c>
      <c r="F755" s="2">
        <v>35199</v>
      </c>
      <c r="G755" s="1">
        <v>2</v>
      </c>
      <c r="H755" s="1">
        <v>197.3</v>
      </c>
      <c r="I755" s="1" t="s">
        <v>463</v>
      </c>
      <c r="J755" s="1" t="s">
        <v>464</v>
      </c>
      <c r="K755" s="1" t="s">
        <v>465</v>
      </c>
      <c r="M755" s="3" t="s">
        <v>466</v>
      </c>
      <c r="N755" s="1" t="s">
        <v>79</v>
      </c>
    </row>
    <row r="756" spans="1:14" ht="13">
      <c r="A756" s="1">
        <v>11002</v>
      </c>
      <c r="B756" s="1" t="s">
        <v>593</v>
      </c>
      <c r="C756" s="1">
        <v>4</v>
      </c>
      <c r="D756" s="2">
        <v>35191</v>
      </c>
      <c r="E756" s="2">
        <v>35219</v>
      </c>
      <c r="F756" s="2">
        <v>35201</v>
      </c>
      <c r="G756" s="1">
        <v>1</v>
      </c>
      <c r="H756" s="1">
        <v>141.16</v>
      </c>
      <c r="I756" s="1" t="s">
        <v>594</v>
      </c>
      <c r="J756" s="1" t="s">
        <v>595</v>
      </c>
      <c r="K756" s="1" t="s">
        <v>596</v>
      </c>
      <c r="L756" s="1" t="s">
        <v>597</v>
      </c>
      <c r="M756" s="3">
        <v>83720</v>
      </c>
      <c r="N756" s="1" t="s">
        <v>26</v>
      </c>
    </row>
    <row r="757" spans="1:14" ht="13">
      <c r="A757" s="1">
        <v>11003</v>
      </c>
      <c r="B757" s="1" t="s">
        <v>757</v>
      </c>
      <c r="C757" s="1">
        <v>3</v>
      </c>
      <c r="D757" s="2">
        <v>35191</v>
      </c>
      <c r="E757" s="2">
        <v>35219</v>
      </c>
      <c r="F757" s="2">
        <v>35193</v>
      </c>
      <c r="G757" s="1">
        <v>3</v>
      </c>
      <c r="H757" s="1">
        <v>14.91</v>
      </c>
      <c r="I757" s="1" t="s">
        <v>758</v>
      </c>
      <c r="J757" s="1" t="s">
        <v>759</v>
      </c>
      <c r="K757" s="1" t="s">
        <v>760</v>
      </c>
      <c r="L757" s="1" t="s">
        <v>761</v>
      </c>
      <c r="M757" s="3">
        <v>59801</v>
      </c>
      <c r="N757" s="1" t="s">
        <v>26</v>
      </c>
    </row>
    <row r="758" spans="1:14" ht="13">
      <c r="A758" s="1">
        <v>11004</v>
      </c>
      <c r="B758" s="1" t="s">
        <v>739</v>
      </c>
      <c r="C758" s="1">
        <v>3</v>
      </c>
      <c r="D758" s="2">
        <v>35192</v>
      </c>
      <c r="E758" s="2">
        <v>35220</v>
      </c>
      <c r="F758" s="2">
        <v>35205</v>
      </c>
      <c r="G758" s="1">
        <v>1</v>
      </c>
      <c r="H758" s="1">
        <v>44.84</v>
      </c>
      <c r="I758" s="1" t="s">
        <v>740</v>
      </c>
      <c r="J758" s="1" t="s">
        <v>741</v>
      </c>
      <c r="K758" s="1" t="s">
        <v>742</v>
      </c>
      <c r="M758" s="3" t="s">
        <v>743</v>
      </c>
      <c r="N758" s="1" t="s">
        <v>417</v>
      </c>
    </row>
    <row r="759" spans="1:14" ht="13">
      <c r="A759" s="1">
        <v>11005</v>
      </c>
      <c r="B759" s="1" t="s">
        <v>753</v>
      </c>
      <c r="C759" s="1">
        <v>2</v>
      </c>
      <c r="D759" s="2">
        <v>35192</v>
      </c>
      <c r="E759" s="2">
        <v>35220</v>
      </c>
      <c r="F759" s="2">
        <v>35195</v>
      </c>
      <c r="G759" s="1">
        <v>1</v>
      </c>
      <c r="H759" s="1">
        <v>0.75</v>
      </c>
      <c r="I759" s="1" t="s">
        <v>754</v>
      </c>
      <c r="J759" s="1" t="s">
        <v>755</v>
      </c>
      <c r="K759" s="1" t="s">
        <v>756</v>
      </c>
      <c r="M759" s="3">
        <v>21240</v>
      </c>
      <c r="N759" s="1" t="s">
        <v>176</v>
      </c>
    </row>
    <row r="760" spans="1:14" ht="13">
      <c r="A760" s="1">
        <v>11006</v>
      </c>
      <c r="B760" s="1" t="s">
        <v>735</v>
      </c>
      <c r="C760" s="1">
        <v>3</v>
      </c>
      <c r="D760" s="2">
        <v>35192</v>
      </c>
      <c r="E760" s="2">
        <v>35220</v>
      </c>
      <c r="F760" s="2">
        <v>35200</v>
      </c>
      <c r="G760" s="1">
        <v>2</v>
      </c>
      <c r="H760" s="1">
        <v>25.19</v>
      </c>
      <c r="I760" s="1" t="s">
        <v>736</v>
      </c>
      <c r="J760" s="1" t="s">
        <v>737</v>
      </c>
      <c r="K760" s="1" t="s">
        <v>738</v>
      </c>
      <c r="L760" s="1" t="s">
        <v>128</v>
      </c>
      <c r="M760" s="3">
        <v>97403</v>
      </c>
      <c r="N760" s="1" t="s">
        <v>26</v>
      </c>
    </row>
    <row r="761" spans="1:14" ht="13">
      <c r="A761" s="1">
        <v>11007</v>
      </c>
      <c r="B761" s="1" t="s">
        <v>613</v>
      </c>
      <c r="C761" s="1">
        <v>8</v>
      </c>
      <c r="D761" s="2">
        <v>35193</v>
      </c>
      <c r="E761" s="2">
        <v>35221</v>
      </c>
      <c r="F761" s="2">
        <v>35198</v>
      </c>
      <c r="G761" s="1">
        <v>2</v>
      </c>
      <c r="H761" s="1">
        <v>202.24</v>
      </c>
      <c r="I761" s="1" t="s">
        <v>614</v>
      </c>
      <c r="J761" s="1" t="s">
        <v>615</v>
      </c>
      <c r="K761" s="1" t="s">
        <v>604</v>
      </c>
      <c r="M761" s="3">
        <v>1756</v>
      </c>
      <c r="N761" s="1" t="s">
        <v>605</v>
      </c>
    </row>
    <row r="762" spans="1:14" ht="13">
      <c r="A762" s="1">
        <v>11008</v>
      </c>
      <c r="B762" s="1" t="s">
        <v>439</v>
      </c>
      <c r="C762" s="1">
        <v>7</v>
      </c>
      <c r="D762" s="2">
        <v>35193</v>
      </c>
      <c r="E762" s="2">
        <v>35221</v>
      </c>
      <c r="G762" s="1">
        <v>3</v>
      </c>
      <c r="H762" s="1">
        <v>79.459999999999994</v>
      </c>
      <c r="I762" s="1" t="s">
        <v>440</v>
      </c>
      <c r="J762" s="1" t="s">
        <v>441</v>
      </c>
      <c r="K762" s="1" t="s">
        <v>442</v>
      </c>
      <c r="M762" s="3">
        <v>8010</v>
      </c>
      <c r="N762" s="1" t="s">
        <v>443</v>
      </c>
    </row>
    <row r="763" spans="1:14" ht="13">
      <c r="A763" s="1">
        <v>11009</v>
      </c>
      <c r="B763" s="1" t="s">
        <v>557</v>
      </c>
      <c r="C763" s="1">
        <v>2</v>
      </c>
      <c r="D763" s="2">
        <v>35193</v>
      </c>
      <c r="E763" s="2">
        <v>35221</v>
      </c>
      <c r="F763" s="2">
        <v>35195</v>
      </c>
      <c r="G763" s="1">
        <v>1</v>
      </c>
      <c r="H763" s="1">
        <v>59.11</v>
      </c>
      <c r="I763" s="1" t="s">
        <v>558</v>
      </c>
      <c r="J763" s="1" t="s">
        <v>559</v>
      </c>
      <c r="K763" s="1" t="s">
        <v>560</v>
      </c>
      <c r="M763" s="3">
        <v>41101</v>
      </c>
      <c r="N763" s="1" t="s">
        <v>50</v>
      </c>
    </row>
    <row r="764" spans="1:14" ht="13">
      <c r="A764" s="1">
        <v>11010</v>
      </c>
      <c r="B764" s="1" t="s">
        <v>531</v>
      </c>
      <c r="C764" s="1">
        <v>2</v>
      </c>
      <c r="D764" s="2">
        <v>35194</v>
      </c>
      <c r="E764" s="2">
        <v>35222</v>
      </c>
      <c r="F764" s="2">
        <v>35206</v>
      </c>
      <c r="G764" s="1">
        <v>2</v>
      </c>
      <c r="H764" s="1">
        <v>28.71</v>
      </c>
      <c r="I764" s="1" t="s">
        <v>532</v>
      </c>
      <c r="J764" s="1" t="s">
        <v>533</v>
      </c>
      <c r="K764" s="1" t="s">
        <v>534</v>
      </c>
      <c r="M764" s="3">
        <v>42100</v>
      </c>
      <c r="N764" s="1" t="s">
        <v>113</v>
      </c>
    </row>
    <row r="765" spans="1:14" ht="13">
      <c r="A765" s="1">
        <v>11011</v>
      </c>
      <c r="B765" s="1" t="s">
        <v>762</v>
      </c>
      <c r="C765" s="1">
        <v>3</v>
      </c>
      <c r="D765" s="2">
        <v>35194</v>
      </c>
      <c r="E765" s="2">
        <v>35222</v>
      </c>
      <c r="F765" s="2">
        <v>35198</v>
      </c>
      <c r="G765" s="1">
        <v>1</v>
      </c>
      <c r="H765" s="1">
        <v>1.21</v>
      </c>
      <c r="I765" s="1" t="s">
        <v>768</v>
      </c>
      <c r="J765" s="1" t="s">
        <v>764</v>
      </c>
      <c r="K765" s="1" t="s">
        <v>92</v>
      </c>
      <c r="M765" s="3">
        <v>12209</v>
      </c>
      <c r="N765" s="1" t="s">
        <v>93</v>
      </c>
    </row>
    <row r="766" spans="1:14" ht="13">
      <c r="A766" s="1">
        <v>11012</v>
      </c>
      <c r="B766" s="1" t="s">
        <v>475</v>
      </c>
      <c r="C766" s="1">
        <v>1</v>
      </c>
      <c r="D766" s="2">
        <v>35194</v>
      </c>
      <c r="E766" s="2">
        <v>35208</v>
      </c>
      <c r="F766" s="2">
        <v>35202</v>
      </c>
      <c r="G766" s="1">
        <v>3</v>
      </c>
      <c r="H766" s="1">
        <v>242.95</v>
      </c>
      <c r="I766" s="1" t="s">
        <v>476</v>
      </c>
      <c r="J766" s="1" t="s">
        <v>477</v>
      </c>
      <c r="K766" s="1" t="s">
        <v>478</v>
      </c>
      <c r="M766" s="3">
        <v>80805</v>
      </c>
      <c r="N766" s="1" t="s">
        <v>93</v>
      </c>
    </row>
    <row r="767" spans="1:14" ht="13">
      <c r="A767" s="1">
        <v>11013</v>
      </c>
      <c r="B767" s="1" t="s">
        <v>518</v>
      </c>
      <c r="C767" s="1">
        <v>2</v>
      </c>
      <c r="D767" s="2">
        <v>35194</v>
      </c>
      <c r="E767" s="2">
        <v>35222</v>
      </c>
      <c r="F767" s="2">
        <v>35195</v>
      </c>
      <c r="G767" s="1">
        <v>1</v>
      </c>
      <c r="H767" s="1">
        <v>32.99</v>
      </c>
      <c r="I767" s="1" t="s">
        <v>519</v>
      </c>
      <c r="J767" s="1" t="s">
        <v>520</v>
      </c>
      <c r="K767" s="1" t="s">
        <v>521</v>
      </c>
      <c r="M767" s="3">
        <v>28001</v>
      </c>
      <c r="N767" s="1" t="s">
        <v>50</v>
      </c>
    </row>
    <row r="768" spans="1:14" ht="13">
      <c r="A768" s="1">
        <v>11014</v>
      </c>
      <c r="B768" s="1" t="s">
        <v>685</v>
      </c>
      <c r="C768" s="1">
        <v>2</v>
      </c>
      <c r="D768" s="2">
        <v>35195</v>
      </c>
      <c r="E768" s="2">
        <v>35223</v>
      </c>
      <c r="F768" s="2">
        <v>35200</v>
      </c>
      <c r="G768" s="1">
        <v>3</v>
      </c>
      <c r="H768" s="1">
        <v>23.6</v>
      </c>
      <c r="I768" s="1" t="s">
        <v>686</v>
      </c>
      <c r="J768" s="1" t="s">
        <v>687</v>
      </c>
      <c r="K768" s="1" t="s">
        <v>688</v>
      </c>
      <c r="L768" s="1" t="s">
        <v>689</v>
      </c>
      <c r="M768" s="3">
        <v>4980</v>
      </c>
      <c r="N768" s="1" t="s">
        <v>438</v>
      </c>
    </row>
    <row r="769" spans="1:14" ht="13">
      <c r="A769" s="1">
        <v>11015</v>
      </c>
      <c r="B769" s="1" t="s">
        <v>675</v>
      </c>
      <c r="C769" s="1">
        <v>2</v>
      </c>
      <c r="D769" s="2">
        <v>35195</v>
      </c>
      <c r="E769" s="2">
        <v>35209</v>
      </c>
      <c r="F769" s="2">
        <v>35205</v>
      </c>
      <c r="G769" s="1">
        <v>2</v>
      </c>
      <c r="H769" s="1">
        <v>4.62</v>
      </c>
      <c r="I769" s="1" t="s">
        <v>676</v>
      </c>
      <c r="J769" s="1" t="s">
        <v>677</v>
      </c>
      <c r="K769" s="1" t="s">
        <v>678</v>
      </c>
      <c r="M769" s="3">
        <v>4110</v>
      </c>
      <c r="N769" s="1" t="s">
        <v>121</v>
      </c>
    </row>
    <row r="770" spans="1:14" ht="13">
      <c r="A770" s="1">
        <v>11016</v>
      </c>
      <c r="B770" s="1" t="s">
        <v>632</v>
      </c>
      <c r="C770" s="1">
        <v>9</v>
      </c>
      <c r="D770" s="2">
        <v>35195</v>
      </c>
      <c r="E770" s="2">
        <v>35223</v>
      </c>
      <c r="F770" s="2">
        <v>35198</v>
      </c>
      <c r="G770" s="1">
        <v>2</v>
      </c>
      <c r="H770" s="1">
        <v>33.799999999999997</v>
      </c>
      <c r="I770" s="1" t="s">
        <v>633</v>
      </c>
      <c r="J770" s="1" t="s">
        <v>634</v>
      </c>
      <c r="K770" s="1" t="s">
        <v>635</v>
      </c>
      <c r="L770" s="1" t="s">
        <v>636</v>
      </c>
      <c r="M770" s="3" t="s">
        <v>637</v>
      </c>
      <c r="N770" s="1" t="s">
        <v>18</v>
      </c>
    </row>
    <row r="771" spans="1:14" ht="13">
      <c r="A771" s="1">
        <v>11017</v>
      </c>
      <c r="B771" s="1" t="s">
        <v>439</v>
      </c>
      <c r="C771" s="1">
        <v>9</v>
      </c>
      <c r="D771" s="2">
        <v>35198</v>
      </c>
      <c r="E771" s="2">
        <v>35226</v>
      </c>
      <c r="F771" s="2">
        <v>35205</v>
      </c>
      <c r="G771" s="1">
        <v>2</v>
      </c>
      <c r="H771" s="1">
        <v>754.26</v>
      </c>
      <c r="I771" s="1" t="s">
        <v>440</v>
      </c>
      <c r="J771" s="1" t="s">
        <v>441</v>
      </c>
      <c r="K771" s="1" t="s">
        <v>442</v>
      </c>
      <c r="M771" s="3">
        <v>8010</v>
      </c>
      <c r="N771" s="1" t="s">
        <v>443</v>
      </c>
    </row>
    <row r="772" spans="1:14" ht="13">
      <c r="A772" s="1">
        <v>11018</v>
      </c>
      <c r="B772" s="1" t="s">
        <v>566</v>
      </c>
      <c r="C772" s="1">
        <v>4</v>
      </c>
      <c r="D772" s="2">
        <v>35198</v>
      </c>
      <c r="E772" s="2">
        <v>35226</v>
      </c>
      <c r="F772" s="2">
        <v>35201</v>
      </c>
      <c r="G772" s="1">
        <v>2</v>
      </c>
      <c r="H772" s="1">
        <v>11.65</v>
      </c>
      <c r="I772" s="1" t="s">
        <v>567</v>
      </c>
      <c r="J772" s="1" t="s">
        <v>568</v>
      </c>
      <c r="K772" s="1" t="s">
        <v>569</v>
      </c>
      <c r="L772" s="1" t="s">
        <v>128</v>
      </c>
      <c r="M772" s="3">
        <v>97219</v>
      </c>
      <c r="N772" s="1" t="s">
        <v>26</v>
      </c>
    </row>
    <row r="773" spans="1:14" ht="13">
      <c r="A773" s="1">
        <v>11019</v>
      </c>
      <c r="B773" s="1" t="s">
        <v>712</v>
      </c>
      <c r="C773" s="1">
        <v>6</v>
      </c>
      <c r="D773" s="2">
        <v>35198</v>
      </c>
      <c r="E773" s="2">
        <v>35226</v>
      </c>
      <c r="G773" s="1">
        <v>3</v>
      </c>
      <c r="H773" s="1">
        <v>3.17</v>
      </c>
      <c r="I773" s="1" t="s">
        <v>713</v>
      </c>
      <c r="J773" s="1" t="s">
        <v>714</v>
      </c>
      <c r="K773" s="1" t="s">
        <v>697</v>
      </c>
      <c r="M773" s="3">
        <v>1010</v>
      </c>
      <c r="N773" s="1" t="s">
        <v>698</v>
      </c>
    </row>
    <row r="774" spans="1:14" ht="13">
      <c r="A774" s="1">
        <v>11020</v>
      </c>
      <c r="B774" s="1" t="s">
        <v>449</v>
      </c>
      <c r="C774" s="1">
        <v>2</v>
      </c>
      <c r="D774" s="2">
        <v>35199</v>
      </c>
      <c r="E774" s="2">
        <v>35227</v>
      </c>
      <c r="F774" s="2">
        <v>35201</v>
      </c>
      <c r="G774" s="1">
        <v>2</v>
      </c>
      <c r="H774" s="1">
        <v>43.3</v>
      </c>
      <c r="I774" s="1" t="s">
        <v>450</v>
      </c>
      <c r="J774" s="1" t="s">
        <v>451</v>
      </c>
      <c r="K774" s="1" t="s">
        <v>452</v>
      </c>
      <c r="M774" s="3">
        <v>50739</v>
      </c>
      <c r="N774" s="1" t="s">
        <v>93</v>
      </c>
    </row>
    <row r="775" spans="1:14" ht="13">
      <c r="A775" s="1">
        <v>11021</v>
      </c>
      <c r="B775" s="1" t="s">
        <v>494</v>
      </c>
      <c r="C775" s="1">
        <v>3</v>
      </c>
      <c r="D775" s="2">
        <v>35199</v>
      </c>
      <c r="E775" s="2">
        <v>35227</v>
      </c>
      <c r="F775" s="2">
        <v>35206</v>
      </c>
      <c r="G775" s="1">
        <v>1</v>
      </c>
      <c r="H775" s="1">
        <v>297.18</v>
      </c>
      <c r="I775" s="1" t="s">
        <v>495</v>
      </c>
      <c r="J775" s="1" t="s">
        <v>496</v>
      </c>
      <c r="K775" s="1" t="s">
        <v>497</v>
      </c>
      <c r="M775" s="3">
        <v>1307</v>
      </c>
      <c r="N775" s="1" t="s">
        <v>93</v>
      </c>
    </row>
    <row r="776" spans="1:14" ht="13">
      <c r="A776" s="1">
        <v>11022</v>
      </c>
      <c r="B776" s="1" t="s">
        <v>402</v>
      </c>
      <c r="C776" s="1">
        <v>9</v>
      </c>
      <c r="D776" s="2">
        <v>35199</v>
      </c>
      <c r="E776" s="2">
        <v>35227</v>
      </c>
      <c r="F776" s="2">
        <v>35219</v>
      </c>
      <c r="G776" s="1">
        <v>2</v>
      </c>
      <c r="H776" s="1">
        <v>6.27</v>
      </c>
      <c r="I776" s="1" t="s">
        <v>403</v>
      </c>
      <c r="J776" s="1" t="s">
        <v>404</v>
      </c>
      <c r="K776" s="1" t="s">
        <v>405</v>
      </c>
      <c r="L776" s="1" t="s">
        <v>406</v>
      </c>
      <c r="M776" s="3" t="s">
        <v>407</v>
      </c>
      <c r="N776" s="1" t="s">
        <v>86</v>
      </c>
    </row>
    <row r="777" spans="1:14" ht="13">
      <c r="A777" s="1">
        <v>11023</v>
      </c>
      <c r="B777" s="1" t="s">
        <v>535</v>
      </c>
      <c r="C777" s="1">
        <v>1</v>
      </c>
      <c r="D777" s="2">
        <v>35199</v>
      </c>
      <c r="E777" s="2">
        <v>35213</v>
      </c>
      <c r="F777" s="2">
        <v>35209</v>
      </c>
      <c r="G777" s="1">
        <v>2</v>
      </c>
      <c r="H777" s="1">
        <v>123.83</v>
      </c>
      <c r="I777" s="1" t="s">
        <v>536</v>
      </c>
      <c r="J777" s="1" t="s">
        <v>537</v>
      </c>
      <c r="K777" s="1" t="s">
        <v>16</v>
      </c>
      <c r="M777" s="3" t="s">
        <v>538</v>
      </c>
      <c r="N777" s="1" t="s">
        <v>18</v>
      </c>
    </row>
    <row r="778" spans="1:14" ht="13">
      <c r="A778" s="1">
        <v>11024</v>
      </c>
      <c r="B778" s="1" t="s">
        <v>646</v>
      </c>
      <c r="C778" s="1">
        <v>4</v>
      </c>
      <c r="D778" s="2">
        <v>35200</v>
      </c>
      <c r="E778" s="2">
        <v>35228</v>
      </c>
      <c r="F778" s="2">
        <v>35205</v>
      </c>
      <c r="G778" s="1">
        <v>1</v>
      </c>
      <c r="H778" s="1">
        <v>74.36</v>
      </c>
      <c r="I778" s="1" t="s">
        <v>647</v>
      </c>
      <c r="J778" s="1" t="s">
        <v>648</v>
      </c>
      <c r="K778" s="1" t="s">
        <v>16</v>
      </c>
      <c r="M778" s="3" t="s">
        <v>649</v>
      </c>
      <c r="N778" s="1" t="s">
        <v>18</v>
      </c>
    </row>
    <row r="779" spans="1:14" ht="13">
      <c r="A779" s="1">
        <v>11025</v>
      </c>
      <c r="B779" s="1" t="s">
        <v>471</v>
      </c>
      <c r="C779" s="1">
        <v>6</v>
      </c>
      <c r="D779" s="2">
        <v>35200</v>
      </c>
      <c r="E779" s="2">
        <v>35228</v>
      </c>
      <c r="F779" s="2">
        <v>35209</v>
      </c>
      <c r="G779" s="1">
        <v>3</v>
      </c>
      <c r="H779" s="1">
        <v>29.17</v>
      </c>
      <c r="I779" s="1" t="s">
        <v>472</v>
      </c>
      <c r="J779" s="1" t="s">
        <v>473</v>
      </c>
      <c r="K779" s="1" t="s">
        <v>474</v>
      </c>
      <c r="M779" s="3">
        <v>90110</v>
      </c>
      <c r="N779" s="1" t="s">
        <v>176</v>
      </c>
    </row>
    <row r="780" spans="1:14" ht="13">
      <c r="A780" s="1">
        <v>11026</v>
      </c>
      <c r="B780" s="1" t="s">
        <v>699</v>
      </c>
      <c r="C780" s="1">
        <v>4</v>
      </c>
      <c r="D780" s="2">
        <v>35200</v>
      </c>
      <c r="E780" s="2">
        <v>35228</v>
      </c>
      <c r="F780" s="2">
        <v>35213</v>
      </c>
      <c r="G780" s="1">
        <v>1</v>
      </c>
      <c r="H780" s="1">
        <v>47.09</v>
      </c>
      <c r="I780" s="1" t="s">
        <v>700</v>
      </c>
      <c r="J780" s="1" t="s">
        <v>701</v>
      </c>
      <c r="K780" s="1" t="s">
        <v>702</v>
      </c>
      <c r="M780" s="3">
        <v>10100</v>
      </c>
      <c r="N780" s="1" t="s">
        <v>113</v>
      </c>
    </row>
    <row r="781" spans="1:14" ht="13">
      <c r="A781" s="1">
        <v>11027</v>
      </c>
      <c r="B781" s="1" t="s">
        <v>679</v>
      </c>
      <c r="C781" s="1">
        <v>1</v>
      </c>
      <c r="D781" s="2">
        <v>35201</v>
      </c>
      <c r="E781" s="2">
        <v>35229</v>
      </c>
      <c r="F781" s="2">
        <v>35205</v>
      </c>
      <c r="G781" s="1">
        <v>1</v>
      </c>
      <c r="H781" s="1">
        <v>52.52</v>
      </c>
      <c r="I781" s="1" t="s">
        <v>680</v>
      </c>
      <c r="J781" s="1" t="s">
        <v>681</v>
      </c>
      <c r="K781" s="1" t="s">
        <v>682</v>
      </c>
      <c r="L781" s="1" t="s">
        <v>683</v>
      </c>
      <c r="M781" s="3" t="s">
        <v>684</v>
      </c>
      <c r="N781" s="1" t="s">
        <v>192</v>
      </c>
    </row>
    <row r="782" spans="1:14" ht="13">
      <c r="A782" s="1">
        <v>11028</v>
      </c>
      <c r="B782" s="1" t="s">
        <v>589</v>
      </c>
      <c r="C782" s="1">
        <v>2</v>
      </c>
      <c r="D782" s="2">
        <v>35201</v>
      </c>
      <c r="E782" s="2">
        <v>35229</v>
      </c>
      <c r="F782" s="2">
        <v>35207</v>
      </c>
      <c r="G782" s="1">
        <v>1</v>
      </c>
      <c r="H782" s="1">
        <v>29.59</v>
      </c>
      <c r="I782" s="1" t="s">
        <v>590</v>
      </c>
      <c r="J782" s="1" t="s">
        <v>591</v>
      </c>
      <c r="K782" s="1" t="s">
        <v>592</v>
      </c>
      <c r="M782" s="3">
        <v>14776</v>
      </c>
      <c r="N782" s="1" t="s">
        <v>93</v>
      </c>
    </row>
    <row r="783" spans="1:14" ht="13">
      <c r="A783" s="1">
        <v>11029</v>
      </c>
      <c r="B783" s="1" t="s">
        <v>418</v>
      </c>
      <c r="C783" s="1">
        <v>4</v>
      </c>
      <c r="D783" s="2">
        <v>35201</v>
      </c>
      <c r="E783" s="2">
        <v>35229</v>
      </c>
      <c r="F783" s="2">
        <v>35212</v>
      </c>
      <c r="G783" s="1">
        <v>1</v>
      </c>
      <c r="H783" s="1">
        <v>47.84</v>
      </c>
      <c r="I783" s="1" t="s">
        <v>419</v>
      </c>
      <c r="J783" s="1" t="s">
        <v>420</v>
      </c>
      <c r="K783" s="1" t="s">
        <v>421</v>
      </c>
      <c r="M783" s="3">
        <v>3012</v>
      </c>
      <c r="N783" s="1" t="s">
        <v>422</v>
      </c>
    </row>
    <row r="784" spans="1:14" ht="13">
      <c r="A784" s="1">
        <v>11030</v>
      </c>
      <c r="B784" s="1" t="s">
        <v>593</v>
      </c>
      <c r="C784" s="1">
        <v>7</v>
      </c>
      <c r="D784" s="2">
        <v>35202</v>
      </c>
      <c r="E784" s="2">
        <v>35230</v>
      </c>
      <c r="F784" s="2">
        <v>35212</v>
      </c>
      <c r="G784" s="1">
        <v>2</v>
      </c>
      <c r="H784" s="1">
        <v>830.75</v>
      </c>
      <c r="I784" s="1" t="s">
        <v>594</v>
      </c>
      <c r="J784" s="1" t="s">
        <v>595</v>
      </c>
      <c r="K784" s="1" t="s">
        <v>596</v>
      </c>
      <c r="L784" s="1" t="s">
        <v>597</v>
      </c>
      <c r="M784" s="3">
        <v>83720</v>
      </c>
      <c r="N784" s="1" t="s">
        <v>26</v>
      </c>
    </row>
    <row r="785" spans="1:14" ht="13">
      <c r="A785" s="1">
        <v>11031</v>
      </c>
      <c r="B785" s="1" t="s">
        <v>593</v>
      </c>
      <c r="C785" s="1">
        <v>6</v>
      </c>
      <c r="D785" s="2">
        <v>35202</v>
      </c>
      <c r="E785" s="2">
        <v>35230</v>
      </c>
      <c r="F785" s="2">
        <v>35209</v>
      </c>
      <c r="G785" s="1">
        <v>2</v>
      </c>
      <c r="H785" s="1">
        <v>227.22</v>
      </c>
      <c r="I785" s="1" t="s">
        <v>594</v>
      </c>
      <c r="J785" s="1" t="s">
        <v>595</v>
      </c>
      <c r="K785" s="1" t="s">
        <v>596</v>
      </c>
      <c r="L785" s="1" t="s">
        <v>597</v>
      </c>
      <c r="M785" s="3">
        <v>83720</v>
      </c>
      <c r="N785" s="1" t="s">
        <v>26</v>
      </c>
    </row>
    <row r="786" spans="1:14" ht="13">
      <c r="A786" s="1">
        <v>11032</v>
      </c>
      <c r="B786" s="1" t="s">
        <v>484</v>
      </c>
      <c r="C786" s="1">
        <v>2</v>
      </c>
      <c r="D786" s="2">
        <v>35202</v>
      </c>
      <c r="E786" s="2">
        <v>35230</v>
      </c>
      <c r="F786" s="2">
        <v>35208</v>
      </c>
      <c r="G786" s="1">
        <v>3</v>
      </c>
      <c r="H786" s="1">
        <v>606.19000000000005</v>
      </c>
      <c r="I786" s="1" t="s">
        <v>485</v>
      </c>
      <c r="J786" s="1" t="s">
        <v>486</v>
      </c>
      <c r="K786" s="1" t="s">
        <v>487</v>
      </c>
      <c r="L786" s="1" t="s">
        <v>488</v>
      </c>
      <c r="M786" s="3">
        <v>98124</v>
      </c>
      <c r="N786" s="1" t="s">
        <v>26</v>
      </c>
    </row>
    <row r="787" spans="1:14" ht="13">
      <c r="A787" s="1">
        <v>11033</v>
      </c>
      <c r="B787" s="1" t="s">
        <v>423</v>
      </c>
      <c r="C787" s="1">
        <v>7</v>
      </c>
      <c r="D787" s="2">
        <v>35202</v>
      </c>
      <c r="E787" s="2">
        <v>35230</v>
      </c>
      <c r="F787" s="2">
        <v>35208</v>
      </c>
      <c r="G787" s="1">
        <v>3</v>
      </c>
      <c r="H787" s="1">
        <v>84.74</v>
      </c>
      <c r="I787" s="1" t="s">
        <v>424</v>
      </c>
      <c r="J787" s="1" t="s">
        <v>425</v>
      </c>
      <c r="K787" s="1" t="s">
        <v>426</v>
      </c>
      <c r="M787" s="3">
        <v>1204</v>
      </c>
      <c r="N787" s="1" t="s">
        <v>422</v>
      </c>
    </row>
    <row r="788" spans="1:14" ht="13">
      <c r="A788" s="1">
        <v>11034</v>
      </c>
      <c r="B788" s="1" t="s">
        <v>561</v>
      </c>
      <c r="C788" s="1">
        <v>8</v>
      </c>
      <c r="D788" s="2">
        <v>35205</v>
      </c>
      <c r="E788" s="2">
        <v>35247</v>
      </c>
      <c r="F788" s="2">
        <v>35212</v>
      </c>
      <c r="G788" s="1">
        <v>1</v>
      </c>
      <c r="H788" s="1">
        <v>40.32</v>
      </c>
      <c r="I788" s="1" t="s">
        <v>562</v>
      </c>
      <c r="J788" s="1" t="s">
        <v>563</v>
      </c>
      <c r="K788" s="1" t="s">
        <v>564</v>
      </c>
      <c r="L788" s="1" t="s">
        <v>565</v>
      </c>
      <c r="M788" s="3">
        <v>99508</v>
      </c>
      <c r="N788" s="1" t="s">
        <v>26</v>
      </c>
    </row>
    <row r="789" spans="1:14" ht="13">
      <c r="A789" s="1">
        <v>11035</v>
      </c>
      <c r="B789" s="1" t="s">
        <v>412</v>
      </c>
      <c r="C789" s="1">
        <v>2</v>
      </c>
      <c r="D789" s="2">
        <v>35205</v>
      </c>
      <c r="E789" s="2">
        <v>35233</v>
      </c>
      <c r="F789" s="2">
        <v>35209</v>
      </c>
      <c r="G789" s="1">
        <v>2</v>
      </c>
      <c r="H789" s="1">
        <v>0.17</v>
      </c>
      <c r="I789" s="1" t="s">
        <v>413</v>
      </c>
      <c r="J789" s="1" t="s">
        <v>414</v>
      </c>
      <c r="K789" s="1" t="s">
        <v>415</v>
      </c>
      <c r="M789" s="3" t="s">
        <v>416</v>
      </c>
      <c r="N789" s="1" t="s">
        <v>417</v>
      </c>
    </row>
    <row r="790" spans="1:14" ht="13">
      <c r="A790" s="1">
        <v>11036</v>
      </c>
      <c r="B790" s="1" t="s">
        <v>642</v>
      </c>
      <c r="C790" s="1">
        <v>8</v>
      </c>
      <c r="D790" s="2">
        <v>35205</v>
      </c>
      <c r="E790" s="2">
        <v>35233</v>
      </c>
      <c r="F790" s="2">
        <v>35207</v>
      </c>
      <c r="G790" s="1">
        <v>3</v>
      </c>
      <c r="H790" s="1">
        <v>149.47</v>
      </c>
      <c r="I790" s="1" t="s">
        <v>643</v>
      </c>
      <c r="J790" s="1" t="s">
        <v>644</v>
      </c>
      <c r="K790" s="1" t="s">
        <v>645</v>
      </c>
      <c r="M790" s="3">
        <v>52066</v>
      </c>
      <c r="N790" s="1" t="s">
        <v>93</v>
      </c>
    </row>
    <row r="791" spans="1:14" ht="13">
      <c r="A791" s="1">
        <v>11037</v>
      </c>
      <c r="B791" s="1" t="s">
        <v>557</v>
      </c>
      <c r="C791" s="1">
        <v>7</v>
      </c>
      <c r="D791" s="2">
        <v>35206</v>
      </c>
      <c r="E791" s="2">
        <v>35234</v>
      </c>
      <c r="F791" s="2">
        <v>35212</v>
      </c>
      <c r="G791" s="1">
        <v>1</v>
      </c>
      <c r="H791" s="1">
        <v>3.2</v>
      </c>
      <c r="I791" s="1" t="s">
        <v>558</v>
      </c>
      <c r="J791" s="1" t="s">
        <v>559</v>
      </c>
      <c r="K791" s="1" t="s">
        <v>560</v>
      </c>
      <c r="M791" s="3">
        <v>41101</v>
      </c>
      <c r="N791" s="1" t="s">
        <v>50</v>
      </c>
    </row>
    <row r="792" spans="1:14" ht="13">
      <c r="A792" s="1">
        <v>11038</v>
      </c>
      <c r="B792" s="1" t="s">
        <v>412</v>
      </c>
      <c r="C792" s="1">
        <v>1</v>
      </c>
      <c r="D792" s="2">
        <v>35206</v>
      </c>
      <c r="E792" s="2">
        <v>35234</v>
      </c>
      <c r="F792" s="2">
        <v>35215</v>
      </c>
      <c r="G792" s="1">
        <v>2</v>
      </c>
      <c r="H792" s="1">
        <v>29.59</v>
      </c>
      <c r="I792" s="1" t="s">
        <v>413</v>
      </c>
      <c r="J792" s="1" t="s">
        <v>414</v>
      </c>
      <c r="K792" s="1" t="s">
        <v>415</v>
      </c>
      <c r="M792" s="3" t="s">
        <v>416</v>
      </c>
      <c r="N792" s="1" t="s">
        <v>417</v>
      </c>
    </row>
    <row r="793" spans="1:14" ht="13">
      <c r="A793" s="1">
        <v>11039</v>
      </c>
      <c r="B793" s="1" t="s">
        <v>685</v>
      </c>
      <c r="C793" s="1">
        <v>1</v>
      </c>
      <c r="D793" s="2">
        <v>35206</v>
      </c>
      <c r="E793" s="2">
        <v>35234</v>
      </c>
      <c r="G793" s="1">
        <v>2</v>
      </c>
      <c r="H793" s="1">
        <v>65</v>
      </c>
      <c r="I793" s="1" t="s">
        <v>686</v>
      </c>
      <c r="J793" s="1" t="s">
        <v>687</v>
      </c>
      <c r="K793" s="1" t="s">
        <v>688</v>
      </c>
      <c r="L793" s="1" t="s">
        <v>689</v>
      </c>
      <c r="M793" s="3">
        <v>4980</v>
      </c>
      <c r="N793" s="1" t="s">
        <v>438</v>
      </c>
    </row>
    <row r="794" spans="1:14" ht="13">
      <c r="A794" s="1">
        <v>11040</v>
      </c>
      <c r="B794" s="1" t="s">
        <v>735</v>
      </c>
      <c r="C794" s="1">
        <v>4</v>
      </c>
      <c r="D794" s="2">
        <v>35207</v>
      </c>
      <c r="E794" s="2">
        <v>35235</v>
      </c>
      <c r="G794" s="1">
        <v>3</v>
      </c>
      <c r="H794" s="1">
        <v>18.84</v>
      </c>
      <c r="I794" s="1" t="s">
        <v>736</v>
      </c>
      <c r="J794" s="1" t="s">
        <v>737</v>
      </c>
      <c r="K794" s="1" t="s">
        <v>738</v>
      </c>
      <c r="L794" s="1" t="s">
        <v>128</v>
      </c>
      <c r="M794" s="3">
        <v>97403</v>
      </c>
      <c r="N794" s="1" t="s">
        <v>26</v>
      </c>
    </row>
    <row r="795" spans="1:14" ht="13">
      <c r="A795" s="1">
        <v>11041</v>
      </c>
      <c r="B795" s="1" t="s">
        <v>418</v>
      </c>
      <c r="C795" s="1">
        <v>3</v>
      </c>
      <c r="D795" s="2">
        <v>35207</v>
      </c>
      <c r="E795" s="2">
        <v>35235</v>
      </c>
      <c r="F795" s="2">
        <v>35213</v>
      </c>
      <c r="G795" s="1">
        <v>2</v>
      </c>
      <c r="H795" s="1">
        <v>48.22</v>
      </c>
      <c r="I795" s="1" t="s">
        <v>419</v>
      </c>
      <c r="J795" s="1" t="s">
        <v>420</v>
      </c>
      <c r="K795" s="1" t="s">
        <v>421</v>
      </c>
      <c r="M795" s="3">
        <v>3012</v>
      </c>
      <c r="N795" s="1" t="s">
        <v>422</v>
      </c>
    </row>
    <row r="796" spans="1:14" ht="13">
      <c r="A796" s="1">
        <v>11042</v>
      </c>
      <c r="B796" s="1" t="s">
        <v>539</v>
      </c>
      <c r="C796" s="1">
        <v>2</v>
      </c>
      <c r="D796" s="2">
        <v>35207</v>
      </c>
      <c r="E796" s="2">
        <v>35221</v>
      </c>
      <c r="F796" s="2">
        <v>35216</v>
      </c>
      <c r="G796" s="1">
        <v>1</v>
      </c>
      <c r="H796" s="1">
        <v>29.99</v>
      </c>
      <c r="I796" s="1" t="s">
        <v>540</v>
      </c>
      <c r="J796" s="1" t="s">
        <v>541</v>
      </c>
      <c r="K796" s="1" t="s">
        <v>85</v>
      </c>
      <c r="L796" s="1" t="s">
        <v>431</v>
      </c>
      <c r="M796" s="3" t="s">
        <v>542</v>
      </c>
      <c r="N796" s="1" t="s">
        <v>86</v>
      </c>
    </row>
    <row r="797" spans="1:14" ht="13">
      <c r="A797" s="1">
        <v>11043</v>
      </c>
      <c r="B797" s="1" t="s">
        <v>769</v>
      </c>
      <c r="C797" s="1">
        <v>5</v>
      </c>
      <c r="D797" s="2">
        <v>35207</v>
      </c>
      <c r="E797" s="2">
        <v>35235</v>
      </c>
      <c r="F797" s="2">
        <v>35214</v>
      </c>
      <c r="G797" s="1">
        <v>2</v>
      </c>
      <c r="H797" s="1">
        <v>8.8000000000000007</v>
      </c>
      <c r="I797" s="1" t="s">
        <v>770</v>
      </c>
      <c r="J797" s="1" t="s">
        <v>771</v>
      </c>
      <c r="K797" s="1" t="s">
        <v>139</v>
      </c>
      <c r="M797" s="3">
        <v>75016</v>
      </c>
      <c r="N797" s="1" t="s">
        <v>140</v>
      </c>
    </row>
    <row r="798" spans="1:14" ht="13">
      <c r="A798" s="1">
        <v>11044</v>
      </c>
      <c r="B798" s="1" t="s">
        <v>665</v>
      </c>
      <c r="C798" s="1">
        <v>4</v>
      </c>
      <c r="D798" s="2">
        <v>35208</v>
      </c>
      <c r="E798" s="2">
        <v>35236</v>
      </c>
      <c r="F798" s="2">
        <v>35216</v>
      </c>
      <c r="G798" s="1">
        <v>1</v>
      </c>
      <c r="H798" s="1">
        <v>8.7200000000000006</v>
      </c>
      <c r="I798" s="1" t="s">
        <v>666</v>
      </c>
      <c r="J798" s="1" t="s">
        <v>667</v>
      </c>
      <c r="K798" s="1" t="s">
        <v>668</v>
      </c>
      <c r="M798" s="3" t="s">
        <v>669</v>
      </c>
      <c r="N798" s="1" t="s">
        <v>670</v>
      </c>
    </row>
    <row r="799" spans="1:14" ht="13">
      <c r="A799" s="1">
        <v>11045</v>
      </c>
      <c r="B799" s="1" t="s">
        <v>679</v>
      </c>
      <c r="C799" s="1">
        <v>6</v>
      </c>
      <c r="D799" s="2">
        <v>35208</v>
      </c>
      <c r="E799" s="2">
        <v>35236</v>
      </c>
      <c r="G799" s="1">
        <v>2</v>
      </c>
      <c r="H799" s="1">
        <v>70.58</v>
      </c>
      <c r="I799" s="1" t="s">
        <v>680</v>
      </c>
      <c r="J799" s="1" t="s">
        <v>681</v>
      </c>
      <c r="K799" s="1" t="s">
        <v>682</v>
      </c>
      <c r="L799" s="1" t="s">
        <v>683</v>
      </c>
      <c r="M799" s="3" t="s">
        <v>684</v>
      </c>
      <c r="N799" s="1" t="s">
        <v>192</v>
      </c>
    </row>
    <row r="800" spans="1:14" ht="13">
      <c r="A800" s="1">
        <v>11046</v>
      </c>
      <c r="B800" s="1" t="s">
        <v>553</v>
      </c>
      <c r="C800" s="1">
        <v>8</v>
      </c>
      <c r="D800" s="2">
        <v>35208</v>
      </c>
      <c r="E800" s="2">
        <v>35236</v>
      </c>
      <c r="F800" s="2">
        <v>35209</v>
      </c>
      <c r="G800" s="1">
        <v>2</v>
      </c>
      <c r="H800" s="1">
        <v>71.64</v>
      </c>
      <c r="I800" s="1" t="s">
        <v>554</v>
      </c>
      <c r="J800" s="1" t="s">
        <v>555</v>
      </c>
      <c r="K800" s="1" t="s">
        <v>556</v>
      </c>
      <c r="M800" s="3">
        <v>70563</v>
      </c>
      <c r="N800" s="1" t="s">
        <v>93</v>
      </c>
    </row>
    <row r="801" spans="1:14" ht="13">
      <c r="A801" s="1">
        <v>11047</v>
      </c>
      <c r="B801" s="1" t="s">
        <v>646</v>
      </c>
      <c r="C801" s="1">
        <v>7</v>
      </c>
      <c r="D801" s="2">
        <v>35209</v>
      </c>
      <c r="E801" s="2">
        <v>35237</v>
      </c>
      <c r="F801" s="2">
        <v>35216</v>
      </c>
      <c r="G801" s="1">
        <v>3</v>
      </c>
      <c r="H801" s="1">
        <v>46.62</v>
      </c>
      <c r="I801" s="1" t="s">
        <v>647</v>
      </c>
      <c r="J801" s="1" t="s">
        <v>648</v>
      </c>
      <c r="K801" s="1" t="s">
        <v>16</v>
      </c>
      <c r="M801" s="3" t="s">
        <v>649</v>
      </c>
      <c r="N801" s="1" t="s">
        <v>18</v>
      </c>
    </row>
    <row r="802" spans="1:14" ht="13">
      <c r="A802" s="1">
        <v>11048</v>
      </c>
      <c r="B802" s="1" t="s">
        <v>679</v>
      </c>
      <c r="C802" s="1">
        <v>7</v>
      </c>
      <c r="D802" s="2">
        <v>35209</v>
      </c>
      <c r="E802" s="2">
        <v>35237</v>
      </c>
      <c r="F802" s="2">
        <v>35215</v>
      </c>
      <c r="G802" s="1">
        <v>3</v>
      </c>
      <c r="H802" s="1">
        <v>24.12</v>
      </c>
      <c r="I802" s="1" t="s">
        <v>680</v>
      </c>
      <c r="J802" s="1" t="s">
        <v>681</v>
      </c>
      <c r="K802" s="1" t="s">
        <v>682</v>
      </c>
      <c r="L802" s="1" t="s">
        <v>683</v>
      </c>
      <c r="M802" s="3" t="s">
        <v>684</v>
      </c>
      <c r="N802" s="1" t="s">
        <v>192</v>
      </c>
    </row>
    <row r="803" spans="1:14" ht="13">
      <c r="A803" s="1">
        <v>11049</v>
      </c>
      <c r="B803" s="1" t="s">
        <v>703</v>
      </c>
      <c r="C803" s="1">
        <v>3</v>
      </c>
      <c r="D803" s="2">
        <v>35209</v>
      </c>
      <c r="E803" s="2">
        <v>35237</v>
      </c>
      <c r="F803" s="2">
        <v>35219</v>
      </c>
      <c r="G803" s="1">
        <v>1</v>
      </c>
      <c r="H803" s="1">
        <v>8.34</v>
      </c>
      <c r="I803" s="1" t="s">
        <v>704</v>
      </c>
      <c r="J803" s="1" t="s">
        <v>705</v>
      </c>
      <c r="K803" s="1" t="s">
        <v>706</v>
      </c>
      <c r="L803" s="1" t="s">
        <v>431</v>
      </c>
      <c r="M803" s="3" t="s">
        <v>707</v>
      </c>
      <c r="N803" s="1" t="s">
        <v>86</v>
      </c>
    </row>
    <row r="804" spans="1:14" ht="13">
      <c r="A804" s="1">
        <v>11050</v>
      </c>
      <c r="B804" s="1" t="s">
        <v>462</v>
      </c>
      <c r="C804" s="1">
        <v>8</v>
      </c>
      <c r="D804" s="2">
        <v>35212</v>
      </c>
      <c r="E804" s="2">
        <v>35240</v>
      </c>
      <c r="F804" s="2">
        <v>35220</v>
      </c>
      <c r="G804" s="1">
        <v>2</v>
      </c>
      <c r="H804" s="1">
        <v>59.41</v>
      </c>
      <c r="I804" s="1" t="s">
        <v>463</v>
      </c>
      <c r="J804" s="1" t="s">
        <v>464</v>
      </c>
      <c r="K804" s="1" t="s">
        <v>465</v>
      </c>
      <c r="M804" s="3" t="s">
        <v>466</v>
      </c>
      <c r="N804" s="1" t="s">
        <v>79</v>
      </c>
    </row>
    <row r="805" spans="1:14" ht="13">
      <c r="A805" s="1">
        <v>11051</v>
      </c>
      <c r="B805" s="1" t="s">
        <v>624</v>
      </c>
      <c r="C805" s="1">
        <v>7</v>
      </c>
      <c r="D805" s="2">
        <v>35212</v>
      </c>
      <c r="E805" s="2">
        <v>35240</v>
      </c>
      <c r="G805" s="1">
        <v>3</v>
      </c>
      <c r="H805" s="1">
        <v>2.79</v>
      </c>
      <c r="I805" s="1" t="s">
        <v>625</v>
      </c>
      <c r="J805" s="1" t="s">
        <v>626</v>
      </c>
      <c r="K805" s="1" t="s">
        <v>627</v>
      </c>
      <c r="M805" s="3">
        <v>31000</v>
      </c>
      <c r="N805" s="1" t="s">
        <v>140</v>
      </c>
    </row>
    <row r="806" spans="1:14" ht="13">
      <c r="A806" s="1">
        <v>11052</v>
      </c>
      <c r="B806" s="1" t="s">
        <v>402</v>
      </c>
      <c r="C806" s="1">
        <v>3</v>
      </c>
      <c r="D806" s="2">
        <v>35212</v>
      </c>
      <c r="E806" s="2">
        <v>35240</v>
      </c>
      <c r="F806" s="2">
        <v>35216</v>
      </c>
      <c r="G806" s="1">
        <v>1</v>
      </c>
      <c r="H806" s="1">
        <v>67.260000000000005</v>
      </c>
      <c r="I806" s="1" t="s">
        <v>403</v>
      </c>
      <c r="J806" s="1" t="s">
        <v>404</v>
      </c>
      <c r="K806" s="1" t="s">
        <v>405</v>
      </c>
      <c r="L806" s="1" t="s">
        <v>406</v>
      </c>
      <c r="M806" s="3" t="s">
        <v>407</v>
      </c>
      <c r="N806" s="1" t="s">
        <v>86</v>
      </c>
    </row>
    <row r="807" spans="1:14" ht="13">
      <c r="A807" s="1">
        <v>11053</v>
      </c>
      <c r="B807" s="1" t="s">
        <v>628</v>
      </c>
      <c r="C807" s="1">
        <v>2</v>
      </c>
      <c r="D807" s="2">
        <v>35212</v>
      </c>
      <c r="E807" s="2">
        <v>35240</v>
      </c>
      <c r="F807" s="2">
        <v>35214</v>
      </c>
      <c r="G807" s="1">
        <v>2</v>
      </c>
      <c r="H807" s="1">
        <v>53.05</v>
      </c>
      <c r="I807" s="1" t="s">
        <v>629</v>
      </c>
      <c r="J807" s="1" t="s">
        <v>630</v>
      </c>
      <c r="K807" s="1" t="s">
        <v>631</v>
      </c>
      <c r="M807" s="3">
        <v>5020</v>
      </c>
      <c r="N807" s="1" t="s">
        <v>443</v>
      </c>
    </row>
    <row r="808" spans="1:14" ht="13">
      <c r="A808" s="1">
        <v>11054</v>
      </c>
      <c r="B808" s="1" t="s">
        <v>732</v>
      </c>
      <c r="C808" s="1">
        <v>8</v>
      </c>
      <c r="D808" s="2">
        <v>35213</v>
      </c>
      <c r="E808" s="2">
        <v>35241</v>
      </c>
      <c r="G808" s="1">
        <v>1</v>
      </c>
      <c r="H808" s="1">
        <v>0.33</v>
      </c>
      <c r="I808" s="1" t="s">
        <v>733</v>
      </c>
      <c r="J808" s="1" t="s">
        <v>734</v>
      </c>
      <c r="K808" s="1" t="s">
        <v>697</v>
      </c>
      <c r="M808" s="3">
        <v>1010</v>
      </c>
      <c r="N808" s="1" t="s">
        <v>698</v>
      </c>
    </row>
    <row r="809" spans="1:14" ht="13">
      <c r="A809" s="1">
        <v>11055</v>
      </c>
      <c r="B809" s="1" t="s">
        <v>433</v>
      </c>
      <c r="C809" s="1">
        <v>7</v>
      </c>
      <c r="D809" s="2">
        <v>35213</v>
      </c>
      <c r="E809" s="2">
        <v>35241</v>
      </c>
      <c r="F809" s="2">
        <v>35220</v>
      </c>
      <c r="G809" s="1">
        <v>2</v>
      </c>
      <c r="H809" s="1">
        <v>120.92</v>
      </c>
      <c r="I809" s="1" t="s">
        <v>434</v>
      </c>
      <c r="J809" s="1" t="s">
        <v>435</v>
      </c>
      <c r="K809" s="1" t="s">
        <v>436</v>
      </c>
      <c r="L809" s="1" t="s">
        <v>437</v>
      </c>
      <c r="M809" s="3">
        <v>5022</v>
      </c>
      <c r="N809" s="1" t="s">
        <v>438</v>
      </c>
    </row>
    <row r="810" spans="1:14" ht="13">
      <c r="A810" s="1">
        <v>11056</v>
      </c>
      <c r="B810" s="1" t="s">
        <v>646</v>
      </c>
      <c r="C810" s="1">
        <v>8</v>
      </c>
      <c r="D810" s="2">
        <v>35213</v>
      </c>
      <c r="E810" s="2">
        <v>35227</v>
      </c>
      <c r="F810" s="2">
        <v>35216</v>
      </c>
      <c r="G810" s="1">
        <v>2</v>
      </c>
      <c r="H810" s="1">
        <v>278.95999999999998</v>
      </c>
      <c r="I810" s="1" t="s">
        <v>647</v>
      </c>
      <c r="J810" s="1" t="s">
        <v>648</v>
      </c>
      <c r="K810" s="1" t="s">
        <v>16</v>
      </c>
      <c r="M810" s="3" t="s">
        <v>649</v>
      </c>
      <c r="N810" s="1" t="s">
        <v>18</v>
      </c>
    </row>
    <row r="811" spans="1:14" ht="13">
      <c r="A811" s="1">
        <v>11057</v>
      </c>
      <c r="B811" s="1" t="s">
        <v>728</v>
      </c>
      <c r="C811" s="1">
        <v>3</v>
      </c>
      <c r="D811" s="2">
        <v>35214</v>
      </c>
      <c r="E811" s="2">
        <v>35242</v>
      </c>
      <c r="F811" s="2">
        <v>35216</v>
      </c>
      <c r="G811" s="1">
        <v>3</v>
      </c>
      <c r="H811" s="1">
        <v>4.13</v>
      </c>
      <c r="I811" s="1" t="s">
        <v>729</v>
      </c>
      <c r="J811" s="1" t="s">
        <v>730</v>
      </c>
      <c r="K811" s="1" t="s">
        <v>16</v>
      </c>
      <c r="M811" s="3" t="s">
        <v>731</v>
      </c>
      <c r="N811" s="1" t="s">
        <v>18</v>
      </c>
    </row>
    <row r="812" spans="1:14" ht="13">
      <c r="A812" s="1">
        <v>11058</v>
      </c>
      <c r="B812" s="1" t="s">
        <v>724</v>
      </c>
      <c r="C812" s="1">
        <v>9</v>
      </c>
      <c r="D812" s="2">
        <v>35214</v>
      </c>
      <c r="E812" s="2">
        <v>35242</v>
      </c>
      <c r="G812" s="1">
        <v>3</v>
      </c>
      <c r="H812" s="1">
        <v>31.14</v>
      </c>
      <c r="I812" s="1" t="s">
        <v>725</v>
      </c>
      <c r="J812" s="1" t="s">
        <v>726</v>
      </c>
      <c r="K812" s="1" t="s">
        <v>727</v>
      </c>
      <c r="M812" s="3">
        <v>68306</v>
      </c>
      <c r="N812" s="1" t="s">
        <v>93</v>
      </c>
    </row>
    <row r="813" spans="1:14" ht="13">
      <c r="A813" s="1">
        <v>11059</v>
      </c>
      <c r="B813" s="1" t="s">
        <v>527</v>
      </c>
      <c r="C813" s="1">
        <v>2</v>
      </c>
      <c r="D813" s="2">
        <v>35214</v>
      </c>
      <c r="E813" s="2">
        <v>35256</v>
      </c>
      <c r="G813" s="1">
        <v>2</v>
      </c>
      <c r="H813" s="1">
        <v>85.8</v>
      </c>
      <c r="I813" s="1" t="s">
        <v>528</v>
      </c>
      <c r="J813" s="1" t="s">
        <v>529</v>
      </c>
      <c r="K813" s="1" t="s">
        <v>405</v>
      </c>
      <c r="L813" s="1" t="s">
        <v>406</v>
      </c>
      <c r="M813" s="3" t="s">
        <v>530</v>
      </c>
      <c r="N813" s="1" t="s">
        <v>86</v>
      </c>
    </row>
    <row r="814" spans="1:14" ht="13">
      <c r="A814" s="1">
        <v>11060</v>
      </c>
      <c r="B814" s="1" t="s">
        <v>699</v>
      </c>
      <c r="C814" s="1">
        <v>2</v>
      </c>
      <c r="D814" s="2">
        <v>35215</v>
      </c>
      <c r="E814" s="2">
        <v>35243</v>
      </c>
      <c r="F814" s="2">
        <v>35219</v>
      </c>
      <c r="G814" s="1">
        <v>2</v>
      </c>
      <c r="H814" s="1">
        <v>10.98</v>
      </c>
      <c r="I814" s="1" t="s">
        <v>700</v>
      </c>
      <c r="J814" s="1" t="s">
        <v>701</v>
      </c>
      <c r="K814" s="1" t="s">
        <v>702</v>
      </c>
      <c r="M814" s="3">
        <v>10100</v>
      </c>
      <c r="N814" s="1" t="s">
        <v>113</v>
      </c>
    </row>
    <row r="815" spans="1:14" ht="13">
      <c r="A815" s="1">
        <v>11061</v>
      </c>
      <c r="B815" s="1" t="s">
        <v>735</v>
      </c>
      <c r="C815" s="1">
        <v>4</v>
      </c>
      <c r="D815" s="2">
        <v>35215</v>
      </c>
      <c r="E815" s="2">
        <v>35257</v>
      </c>
      <c r="G815" s="1">
        <v>3</v>
      </c>
      <c r="H815" s="1">
        <v>14.01</v>
      </c>
      <c r="I815" s="1" t="s">
        <v>736</v>
      </c>
      <c r="J815" s="1" t="s">
        <v>737</v>
      </c>
      <c r="K815" s="1" t="s">
        <v>738</v>
      </c>
      <c r="L815" s="1" t="s">
        <v>128</v>
      </c>
      <c r="M815" s="3">
        <v>97403</v>
      </c>
      <c r="N815" s="1" t="s">
        <v>26</v>
      </c>
    </row>
    <row r="816" spans="1:14" ht="13">
      <c r="A816" s="1">
        <v>11062</v>
      </c>
      <c r="B816" s="1" t="s">
        <v>531</v>
      </c>
      <c r="C816" s="1">
        <v>4</v>
      </c>
      <c r="D816" s="2">
        <v>35215</v>
      </c>
      <c r="E816" s="2">
        <v>35243</v>
      </c>
      <c r="G816" s="1">
        <v>2</v>
      </c>
      <c r="H816" s="1">
        <v>29.93</v>
      </c>
      <c r="I816" s="1" t="s">
        <v>532</v>
      </c>
      <c r="J816" s="1" t="s">
        <v>533</v>
      </c>
      <c r="K816" s="1" t="s">
        <v>534</v>
      </c>
      <c r="M816" s="3">
        <v>42100</v>
      </c>
      <c r="N816" s="1" t="s">
        <v>113</v>
      </c>
    </row>
    <row r="817" spans="1:14" ht="13">
      <c r="A817" s="1">
        <v>11063</v>
      </c>
      <c r="B817" s="1" t="s">
        <v>547</v>
      </c>
      <c r="C817" s="1">
        <v>3</v>
      </c>
      <c r="D817" s="2">
        <v>35215</v>
      </c>
      <c r="E817" s="2">
        <v>35243</v>
      </c>
      <c r="F817" s="2">
        <v>35221</v>
      </c>
      <c r="G817" s="1">
        <v>2</v>
      </c>
      <c r="H817" s="1">
        <v>81.73</v>
      </c>
      <c r="I817" s="1" t="s">
        <v>548</v>
      </c>
      <c r="J817" s="1" t="s">
        <v>549</v>
      </c>
      <c r="K817" s="1" t="s">
        <v>550</v>
      </c>
      <c r="L817" s="1" t="s">
        <v>551</v>
      </c>
      <c r="N817" s="1" t="s">
        <v>552</v>
      </c>
    </row>
    <row r="818" spans="1:14" ht="13">
      <c r="A818" s="1">
        <v>11064</v>
      </c>
      <c r="B818" s="1" t="s">
        <v>593</v>
      </c>
      <c r="C818" s="1">
        <v>1</v>
      </c>
      <c r="D818" s="2">
        <v>35216</v>
      </c>
      <c r="E818" s="2">
        <v>35244</v>
      </c>
      <c r="F818" s="2">
        <v>35219</v>
      </c>
      <c r="G818" s="1">
        <v>1</v>
      </c>
      <c r="H818" s="1">
        <v>30.09</v>
      </c>
      <c r="I818" s="1" t="s">
        <v>594</v>
      </c>
      <c r="J818" s="1" t="s">
        <v>595</v>
      </c>
      <c r="K818" s="1" t="s">
        <v>596</v>
      </c>
      <c r="L818" s="1" t="s">
        <v>597</v>
      </c>
      <c r="M818" s="3">
        <v>83720</v>
      </c>
      <c r="N818" s="1" t="s">
        <v>26</v>
      </c>
    </row>
    <row r="819" spans="1:14" ht="13">
      <c r="A819" s="1">
        <v>11065</v>
      </c>
      <c r="B819" s="1" t="s">
        <v>522</v>
      </c>
      <c r="C819" s="1">
        <v>8</v>
      </c>
      <c r="D819" s="2">
        <v>35216</v>
      </c>
      <c r="E819" s="2">
        <v>35244</v>
      </c>
      <c r="G819" s="1">
        <v>1</v>
      </c>
      <c r="H819" s="1">
        <v>12.91</v>
      </c>
      <c r="I819" s="1" t="s">
        <v>523</v>
      </c>
      <c r="J819" s="1" t="s">
        <v>524</v>
      </c>
      <c r="K819" s="1" t="s">
        <v>525</v>
      </c>
      <c r="L819" s="1" t="s">
        <v>526</v>
      </c>
      <c r="M819" s="3">
        <v>3508</v>
      </c>
      <c r="N819" s="1" t="s">
        <v>438</v>
      </c>
    </row>
    <row r="820" spans="1:14" ht="13">
      <c r="A820" s="1">
        <v>11066</v>
      </c>
      <c r="B820" s="1" t="s">
        <v>484</v>
      </c>
      <c r="C820" s="1">
        <v>7</v>
      </c>
      <c r="D820" s="2">
        <v>35216</v>
      </c>
      <c r="E820" s="2">
        <v>35244</v>
      </c>
      <c r="F820" s="2">
        <v>35219</v>
      </c>
      <c r="G820" s="1">
        <v>2</v>
      </c>
      <c r="H820" s="1">
        <v>44.72</v>
      </c>
      <c r="I820" s="1" t="s">
        <v>485</v>
      </c>
      <c r="J820" s="1" t="s">
        <v>486</v>
      </c>
      <c r="K820" s="1" t="s">
        <v>487</v>
      </c>
      <c r="L820" s="1" t="s">
        <v>488</v>
      </c>
      <c r="M820" s="3">
        <v>98124</v>
      </c>
      <c r="N820" s="1" t="s">
        <v>26</v>
      </c>
    </row>
    <row r="821" spans="1:14" ht="13">
      <c r="A821" s="1">
        <v>11067</v>
      </c>
      <c r="B821" s="1" t="s">
        <v>642</v>
      </c>
      <c r="C821" s="1">
        <v>1</v>
      </c>
      <c r="D821" s="2">
        <v>35219</v>
      </c>
      <c r="E821" s="2">
        <v>35233</v>
      </c>
      <c r="F821" s="2">
        <v>35221</v>
      </c>
      <c r="G821" s="1">
        <v>2</v>
      </c>
      <c r="H821" s="1">
        <v>7.98</v>
      </c>
      <c r="I821" s="1" t="s">
        <v>643</v>
      </c>
      <c r="J821" s="1" t="s">
        <v>644</v>
      </c>
      <c r="K821" s="1" t="s">
        <v>645</v>
      </c>
      <c r="M821" s="3">
        <v>52066</v>
      </c>
      <c r="N821" s="1" t="s">
        <v>93</v>
      </c>
    </row>
    <row r="822" spans="1:14" ht="13">
      <c r="A822" s="1">
        <v>11068</v>
      </c>
      <c r="B822" s="1" t="s">
        <v>661</v>
      </c>
      <c r="C822" s="1">
        <v>8</v>
      </c>
      <c r="D822" s="2">
        <v>35219</v>
      </c>
      <c r="E822" s="2">
        <v>35247</v>
      </c>
      <c r="G822" s="1">
        <v>2</v>
      </c>
      <c r="H822" s="1">
        <v>81.75</v>
      </c>
      <c r="I822" s="1" t="s">
        <v>662</v>
      </c>
      <c r="J822" s="1" t="s">
        <v>663</v>
      </c>
      <c r="K822" s="1" t="s">
        <v>85</v>
      </c>
      <c r="L822" s="1" t="s">
        <v>431</v>
      </c>
      <c r="M822" s="3" t="s">
        <v>664</v>
      </c>
      <c r="N822" s="1" t="s">
        <v>86</v>
      </c>
    </row>
    <row r="823" spans="1:14" ht="13">
      <c r="A823" s="1">
        <v>11069</v>
      </c>
      <c r="B823" s="1" t="s">
        <v>502</v>
      </c>
      <c r="C823" s="1">
        <v>1</v>
      </c>
      <c r="D823" s="2">
        <v>35219</v>
      </c>
      <c r="E823" s="2">
        <v>35247</v>
      </c>
      <c r="F823" s="2">
        <v>35221</v>
      </c>
      <c r="G823" s="1">
        <v>2</v>
      </c>
      <c r="H823" s="1">
        <v>15.67</v>
      </c>
      <c r="I823" s="1" t="s">
        <v>503</v>
      </c>
      <c r="J823" s="1" t="s">
        <v>504</v>
      </c>
      <c r="K823" s="1" t="s">
        <v>447</v>
      </c>
      <c r="M823" s="3">
        <v>5033</v>
      </c>
      <c r="N823" s="1" t="s">
        <v>448</v>
      </c>
    </row>
    <row r="824" spans="1:14" ht="13">
      <c r="A824" s="1">
        <v>11070</v>
      </c>
      <c r="B824" s="1" t="s">
        <v>514</v>
      </c>
      <c r="C824" s="1">
        <v>2</v>
      </c>
      <c r="D824" s="2">
        <v>35220</v>
      </c>
      <c r="E824" s="2">
        <v>35248</v>
      </c>
      <c r="G824" s="1">
        <v>1</v>
      </c>
      <c r="H824" s="1">
        <v>136</v>
      </c>
      <c r="I824" s="1" t="s">
        <v>515</v>
      </c>
      <c r="J824" s="1" t="s">
        <v>516</v>
      </c>
      <c r="K824" s="1" t="s">
        <v>517</v>
      </c>
      <c r="M824" s="3">
        <v>60528</v>
      </c>
      <c r="N824" s="1" t="s">
        <v>93</v>
      </c>
    </row>
    <row r="825" spans="1:14" ht="13">
      <c r="A825" s="1">
        <v>11071</v>
      </c>
      <c r="B825" s="1" t="s">
        <v>522</v>
      </c>
      <c r="C825" s="1">
        <v>1</v>
      </c>
      <c r="D825" s="2">
        <v>35220</v>
      </c>
      <c r="E825" s="2">
        <v>35248</v>
      </c>
      <c r="G825" s="1">
        <v>1</v>
      </c>
      <c r="H825" s="1">
        <v>0.93</v>
      </c>
      <c r="I825" s="1" t="s">
        <v>523</v>
      </c>
      <c r="J825" s="1" t="s">
        <v>524</v>
      </c>
      <c r="K825" s="1" t="s">
        <v>525</v>
      </c>
      <c r="L825" s="1" t="s">
        <v>526</v>
      </c>
      <c r="M825" s="3">
        <v>3508</v>
      </c>
      <c r="N825" s="1" t="s">
        <v>438</v>
      </c>
    </row>
    <row r="826" spans="1:14" ht="13">
      <c r="A826" s="1">
        <v>11072</v>
      </c>
      <c r="B826" s="1" t="s">
        <v>439</v>
      </c>
      <c r="C826" s="1">
        <v>4</v>
      </c>
      <c r="D826" s="2">
        <v>35220</v>
      </c>
      <c r="E826" s="2">
        <v>35248</v>
      </c>
      <c r="G826" s="1">
        <v>2</v>
      </c>
      <c r="H826" s="1">
        <v>258.64</v>
      </c>
      <c r="I826" s="1" t="s">
        <v>440</v>
      </c>
      <c r="J826" s="1" t="s">
        <v>441</v>
      </c>
      <c r="K826" s="1" t="s">
        <v>442</v>
      </c>
      <c r="M826" s="3">
        <v>8010</v>
      </c>
      <c r="N826" s="1" t="s">
        <v>443</v>
      </c>
    </row>
    <row r="827" spans="1:14" ht="13">
      <c r="A827" s="1">
        <v>11073</v>
      </c>
      <c r="B827" s="1" t="s">
        <v>586</v>
      </c>
      <c r="C827" s="1">
        <v>2</v>
      </c>
      <c r="D827" s="2">
        <v>35220</v>
      </c>
      <c r="E827" s="2">
        <v>35248</v>
      </c>
      <c r="G827" s="1">
        <v>2</v>
      </c>
      <c r="H827" s="1">
        <v>24.95</v>
      </c>
      <c r="I827" s="1" t="s">
        <v>587</v>
      </c>
      <c r="J827" s="1" t="s">
        <v>588</v>
      </c>
      <c r="K827" s="1" t="s">
        <v>447</v>
      </c>
      <c r="M827" s="3">
        <v>5033</v>
      </c>
      <c r="N827" s="1" t="s">
        <v>448</v>
      </c>
    </row>
    <row r="828" spans="1:14" ht="13">
      <c r="A828" s="1">
        <v>11074</v>
      </c>
      <c r="B828" s="1" t="s">
        <v>616</v>
      </c>
      <c r="C828" s="1">
        <v>7</v>
      </c>
      <c r="D828" s="2">
        <v>35221</v>
      </c>
      <c r="E828" s="2">
        <v>35249</v>
      </c>
      <c r="G828" s="1">
        <v>2</v>
      </c>
      <c r="H828" s="1">
        <v>18.440000000000001</v>
      </c>
      <c r="I828" s="1" t="s">
        <v>617</v>
      </c>
      <c r="J828" s="1" t="s">
        <v>618</v>
      </c>
      <c r="K828" s="1" t="s">
        <v>619</v>
      </c>
      <c r="M828" s="3">
        <v>1734</v>
      </c>
      <c r="N828" s="1" t="s">
        <v>161</v>
      </c>
    </row>
    <row r="829" spans="1:14" ht="13">
      <c r="A829" s="1">
        <v>11075</v>
      </c>
      <c r="B829" s="1" t="s">
        <v>423</v>
      </c>
      <c r="C829" s="1">
        <v>8</v>
      </c>
      <c r="D829" s="2">
        <v>35221</v>
      </c>
      <c r="E829" s="2">
        <v>35249</v>
      </c>
      <c r="G829" s="1">
        <v>2</v>
      </c>
      <c r="H829" s="1">
        <v>6.19</v>
      </c>
      <c r="I829" s="1" t="s">
        <v>424</v>
      </c>
      <c r="J829" s="1" t="s">
        <v>425</v>
      </c>
      <c r="K829" s="1" t="s">
        <v>426</v>
      </c>
      <c r="M829" s="3">
        <v>1204</v>
      </c>
      <c r="N829" s="1" t="s">
        <v>422</v>
      </c>
    </row>
    <row r="830" spans="1:14" ht="13">
      <c r="A830" s="1">
        <v>11076</v>
      </c>
      <c r="B830" s="1" t="s">
        <v>606</v>
      </c>
      <c r="C830" s="1">
        <v>4</v>
      </c>
      <c r="D830" s="2">
        <v>35221</v>
      </c>
      <c r="E830" s="2">
        <v>35249</v>
      </c>
      <c r="G830" s="1">
        <v>2</v>
      </c>
      <c r="H830" s="1">
        <v>38.28</v>
      </c>
      <c r="I830" s="1" t="s">
        <v>607</v>
      </c>
      <c r="J830" s="1" t="s">
        <v>608</v>
      </c>
      <c r="K830" s="1" t="s">
        <v>609</v>
      </c>
      <c r="M830" s="3">
        <v>13008</v>
      </c>
      <c r="N830" s="1" t="s">
        <v>140</v>
      </c>
    </row>
    <row r="831" spans="1:14" ht="13">
      <c r="A831" s="1">
        <v>11077</v>
      </c>
      <c r="B831" s="1" t="s">
        <v>457</v>
      </c>
      <c r="C831" s="1">
        <v>1</v>
      </c>
      <c r="D831" s="2">
        <v>35221</v>
      </c>
      <c r="E831" s="2">
        <v>35249</v>
      </c>
      <c r="G831" s="1">
        <v>2</v>
      </c>
      <c r="H831" s="1">
        <v>8.5299999999999994</v>
      </c>
      <c r="I831" s="1" t="s">
        <v>458</v>
      </c>
      <c r="J831" s="1" t="s">
        <v>459</v>
      </c>
      <c r="K831" s="1" t="s">
        <v>460</v>
      </c>
      <c r="L831" s="1" t="s">
        <v>461</v>
      </c>
      <c r="M831" s="3">
        <v>87110</v>
      </c>
      <c r="N831" s="1" t="s">
        <v>26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P10"/>
  <sheetViews>
    <sheetView workbookViewId="0"/>
  </sheetViews>
  <sheetFormatPr baseColWidth="10" defaultColWidth="12.6640625" defaultRowHeight="15.75" customHeight="1"/>
  <cols>
    <col min="11" max="11" width="12.6640625" style="4"/>
  </cols>
  <sheetData>
    <row r="1" spans="1:16" ht="15.75" customHeight="1">
      <c r="A1" s="1" t="s">
        <v>382</v>
      </c>
      <c r="B1" s="1" t="s">
        <v>776</v>
      </c>
      <c r="C1" s="1" t="s">
        <v>777</v>
      </c>
      <c r="D1" s="1" t="s">
        <v>778</v>
      </c>
      <c r="E1" s="1" t="s">
        <v>779</v>
      </c>
      <c r="F1" s="1" t="s">
        <v>780</v>
      </c>
      <c r="G1" s="1" t="s">
        <v>781</v>
      </c>
      <c r="H1" s="1" t="s">
        <v>4</v>
      </c>
      <c r="I1" s="1" t="s">
        <v>5</v>
      </c>
      <c r="J1" s="1" t="s">
        <v>6</v>
      </c>
      <c r="K1" s="3" t="s">
        <v>7</v>
      </c>
      <c r="L1" s="1" t="s">
        <v>8</v>
      </c>
      <c r="M1" s="1" t="s">
        <v>782</v>
      </c>
      <c r="N1" s="1" t="s">
        <v>783</v>
      </c>
      <c r="O1" s="1" t="s">
        <v>784</v>
      </c>
      <c r="P1" s="1" t="s">
        <v>785</v>
      </c>
    </row>
    <row r="2" spans="1:16" ht="15.75" customHeight="1">
      <c r="A2" s="1">
        <v>1</v>
      </c>
      <c r="B2" s="1" t="s">
        <v>786</v>
      </c>
      <c r="C2" s="1" t="s">
        <v>787</v>
      </c>
      <c r="D2" s="1" t="s">
        <v>31</v>
      </c>
      <c r="E2" s="1" t="s">
        <v>788</v>
      </c>
      <c r="F2" s="2">
        <v>17875</v>
      </c>
      <c r="G2" s="2">
        <v>33725</v>
      </c>
      <c r="H2" s="1" t="s">
        <v>789</v>
      </c>
      <c r="I2" s="1" t="s">
        <v>487</v>
      </c>
      <c r="J2" s="1" t="s">
        <v>488</v>
      </c>
      <c r="K2" s="3">
        <v>98122</v>
      </c>
      <c r="L2" s="1" t="s">
        <v>26</v>
      </c>
      <c r="M2" s="1" t="s">
        <v>790</v>
      </c>
      <c r="N2" s="1">
        <v>5467</v>
      </c>
      <c r="O2" s="1" t="s">
        <v>791</v>
      </c>
      <c r="P2" s="1">
        <v>2</v>
      </c>
    </row>
    <row r="3" spans="1:16" ht="15.75" customHeight="1">
      <c r="A3" s="1">
        <v>2</v>
      </c>
      <c r="B3" s="1" t="s">
        <v>792</v>
      </c>
      <c r="C3" s="1" t="s">
        <v>793</v>
      </c>
      <c r="D3" s="1" t="s">
        <v>794</v>
      </c>
      <c r="E3" s="1" t="s">
        <v>795</v>
      </c>
      <c r="F3" s="2">
        <v>19043</v>
      </c>
      <c r="G3" s="2">
        <v>33830</v>
      </c>
      <c r="H3" s="1" t="s">
        <v>796</v>
      </c>
      <c r="I3" s="1" t="s">
        <v>797</v>
      </c>
      <c r="J3" s="1" t="s">
        <v>488</v>
      </c>
      <c r="K3" s="3">
        <v>98401</v>
      </c>
      <c r="L3" s="1" t="s">
        <v>26</v>
      </c>
      <c r="M3" s="1" t="s">
        <v>798</v>
      </c>
      <c r="N3" s="1">
        <v>3457</v>
      </c>
      <c r="O3" s="1" t="s">
        <v>799</v>
      </c>
    </row>
    <row r="4" spans="1:16" ht="15.75" customHeight="1">
      <c r="A4" s="1">
        <v>3</v>
      </c>
      <c r="B4" s="1" t="s">
        <v>800</v>
      </c>
      <c r="C4" s="1" t="s">
        <v>801</v>
      </c>
      <c r="D4" s="1" t="s">
        <v>31</v>
      </c>
      <c r="E4" s="1" t="s">
        <v>788</v>
      </c>
      <c r="F4" s="2">
        <v>23253</v>
      </c>
      <c r="G4" s="2">
        <v>33695</v>
      </c>
      <c r="H4" s="1" t="s">
        <v>802</v>
      </c>
      <c r="I4" s="1" t="s">
        <v>747</v>
      </c>
      <c r="J4" s="1" t="s">
        <v>488</v>
      </c>
      <c r="K4" s="3">
        <v>98033</v>
      </c>
      <c r="L4" s="1" t="s">
        <v>26</v>
      </c>
      <c r="M4" s="1" t="s">
        <v>803</v>
      </c>
      <c r="N4" s="1">
        <v>3355</v>
      </c>
      <c r="O4" s="1" t="s">
        <v>804</v>
      </c>
      <c r="P4" s="1">
        <v>2</v>
      </c>
    </row>
    <row r="5" spans="1:16" ht="15.75" customHeight="1">
      <c r="A5" s="1">
        <v>4</v>
      </c>
      <c r="B5" s="1" t="s">
        <v>805</v>
      </c>
      <c r="C5" s="1" t="s">
        <v>806</v>
      </c>
      <c r="D5" s="1" t="s">
        <v>31</v>
      </c>
      <c r="E5" s="1" t="s">
        <v>807</v>
      </c>
      <c r="F5" s="2">
        <v>13777</v>
      </c>
      <c r="G5" s="2">
        <v>34092</v>
      </c>
      <c r="H5" s="1" t="s">
        <v>808</v>
      </c>
      <c r="I5" s="1" t="s">
        <v>809</v>
      </c>
      <c r="J5" s="1" t="s">
        <v>488</v>
      </c>
      <c r="K5" s="3">
        <v>98052</v>
      </c>
      <c r="L5" s="1" t="s">
        <v>26</v>
      </c>
      <c r="M5" s="1" t="s">
        <v>810</v>
      </c>
      <c r="N5" s="1">
        <v>5176</v>
      </c>
      <c r="O5" s="1" t="s">
        <v>811</v>
      </c>
      <c r="P5" s="1">
        <v>2</v>
      </c>
    </row>
    <row r="6" spans="1:16" ht="15.75" customHeight="1">
      <c r="A6" s="1">
        <v>5</v>
      </c>
      <c r="B6" s="1" t="s">
        <v>812</v>
      </c>
      <c r="C6" s="1" t="s">
        <v>813</v>
      </c>
      <c r="D6" s="1" t="s">
        <v>90</v>
      </c>
      <c r="E6" s="1" t="s">
        <v>814</v>
      </c>
      <c r="F6" s="2">
        <v>20152</v>
      </c>
      <c r="G6" s="2">
        <v>34259</v>
      </c>
      <c r="H6" s="1" t="s">
        <v>815</v>
      </c>
      <c r="I6" s="1" t="s">
        <v>16</v>
      </c>
      <c r="K6" s="3" t="s">
        <v>816</v>
      </c>
      <c r="L6" s="1" t="s">
        <v>18</v>
      </c>
      <c r="M6" s="1" t="s">
        <v>817</v>
      </c>
      <c r="N6" s="1">
        <v>3453</v>
      </c>
      <c r="O6" s="1" t="s">
        <v>818</v>
      </c>
      <c r="P6" s="1">
        <v>2</v>
      </c>
    </row>
    <row r="7" spans="1:16" ht="15.75" customHeight="1">
      <c r="A7" s="1">
        <v>6</v>
      </c>
      <c r="B7" s="1" t="s">
        <v>819</v>
      </c>
      <c r="C7" s="1" t="s">
        <v>820</v>
      </c>
      <c r="D7" s="1" t="s">
        <v>31</v>
      </c>
      <c r="E7" s="1" t="s">
        <v>814</v>
      </c>
      <c r="F7" s="2">
        <v>23194</v>
      </c>
      <c r="G7" s="2">
        <v>34259</v>
      </c>
      <c r="H7" s="1" t="s">
        <v>821</v>
      </c>
      <c r="I7" s="1" t="s">
        <v>16</v>
      </c>
      <c r="K7" s="3" t="s">
        <v>822</v>
      </c>
      <c r="L7" s="1" t="s">
        <v>18</v>
      </c>
      <c r="M7" s="1" t="s">
        <v>823</v>
      </c>
      <c r="N7" s="1">
        <v>428</v>
      </c>
      <c r="O7" s="1" t="s">
        <v>824</v>
      </c>
      <c r="P7" s="1">
        <v>5</v>
      </c>
    </row>
    <row r="8" spans="1:16" ht="15.75" customHeight="1">
      <c r="A8" s="1">
        <v>7</v>
      </c>
      <c r="B8" s="1" t="s">
        <v>825</v>
      </c>
      <c r="C8" s="1" t="s">
        <v>826</v>
      </c>
      <c r="D8" s="1" t="s">
        <v>31</v>
      </c>
      <c r="E8" s="1" t="s">
        <v>814</v>
      </c>
      <c r="F8" s="2">
        <v>22065</v>
      </c>
      <c r="G8" s="2">
        <v>34336</v>
      </c>
      <c r="H8" s="1" t="s">
        <v>827</v>
      </c>
      <c r="I8" s="1" t="s">
        <v>16</v>
      </c>
      <c r="K8" s="3" t="s">
        <v>828</v>
      </c>
      <c r="L8" s="1" t="s">
        <v>18</v>
      </c>
      <c r="M8" s="1" t="s">
        <v>829</v>
      </c>
      <c r="N8" s="1">
        <v>465</v>
      </c>
      <c r="O8" s="1" t="s">
        <v>830</v>
      </c>
      <c r="P8" s="1">
        <v>5</v>
      </c>
    </row>
    <row r="9" spans="1:16" ht="15.75" customHeight="1">
      <c r="A9" s="1">
        <v>8</v>
      </c>
      <c r="B9" s="1" t="s">
        <v>831</v>
      </c>
      <c r="C9" s="1" t="s">
        <v>832</v>
      </c>
      <c r="D9" s="1" t="s">
        <v>833</v>
      </c>
      <c r="E9" s="1" t="s">
        <v>788</v>
      </c>
      <c r="F9" s="2">
        <v>21194</v>
      </c>
      <c r="G9" s="2">
        <v>34398</v>
      </c>
      <c r="H9" s="1" t="s">
        <v>834</v>
      </c>
      <c r="I9" s="1" t="s">
        <v>487</v>
      </c>
      <c r="J9" s="1" t="s">
        <v>488</v>
      </c>
      <c r="K9" s="3">
        <v>98105</v>
      </c>
      <c r="L9" s="1" t="s">
        <v>26</v>
      </c>
      <c r="M9" s="1" t="s">
        <v>835</v>
      </c>
      <c r="N9" s="1">
        <v>2344</v>
      </c>
      <c r="O9" s="1" t="s">
        <v>836</v>
      </c>
      <c r="P9" s="1">
        <v>2</v>
      </c>
    </row>
    <row r="10" spans="1:16" ht="15.75" customHeight="1">
      <c r="A10" s="1">
        <v>9</v>
      </c>
      <c r="B10" s="1" t="s">
        <v>837</v>
      </c>
      <c r="C10" s="1" t="s">
        <v>838</v>
      </c>
      <c r="D10" s="1" t="s">
        <v>31</v>
      </c>
      <c r="E10" s="1" t="s">
        <v>788</v>
      </c>
      <c r="F10" s="2">
        <v>24134</v>
      </c>
      <c r="G10" s="2">
        <v>34653</v>
      </c>
      <c r="H10" s="1" t="s">
        <v>839</v>
      </c>
      <c r="I10" s="1" t="s">
        <v>16</v>
      </c>
      <c r="K10" s="3" t="s">
        <v>840</v>
      </c>
      <c r="L10" s="1" t="s">
        <v>18</v>
      </c>
      <c r="M10" s="1" t="s">
        <v>841</v>
      </c>
      <c r="N10" s="1">
        <v>452</v>
      </c>
      <c r="O10" s="1" t="s">
        <v>842</v>
      </c>
      <c r="P10" s="1">
        <v>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F2156"/>
  <sheetViews>
    <sheetView workbookViewId="0"/>
  </sheetViews>
  <sheetFormatPr baseColWidth="10" defaultColWidth="12.6640625" defaultRowHeight="15.75" customHeight="1"/>
  <sheetData>
    <row r="1" spans="1:6" ht="15.75" customHeight="1">
      <c r="A1" s="1" t="s">
        <v>380</v>
      </c>
      <c r="B1" s="1" t="s">
        <v>224</v>
      </c>
      <c r="C1" s="1" t="s">
        <v>228</v>
      </c>
      <c r="D1" s="1" t="s">
        <v>843</v>
      </c>
      <c r="E1" s="1" t="s">
        <v>844</v>
      </c>
      <c r="F1" s="1" t="s">
        <v>845</v>
      </c>
    </row>
    <row r="2" spans="1:6" ht="15.75" customHeight="1">
      <c r="A2" s="1">
        <v>10248</v>
      </c>
      <c r="B2" s="1">
        <v>11</v>
      </c>
      <c r="C2" s="1">
        <v>14</v>
      </c>
      <c r="D2" s="1">
        <v>12</v>
      </c>
      <c r="E2" s="1">
        <v>0</v>
      </c>
      <c r="F2">
        <f>C2*D2*(1-E2)</f>
        <v>168</v>
      </c>
    </row>
    <row r="3" spans="1:6" ht="15.75" customHeight="1">
      <c r="A3" s="1">
        <v>10248</v>
      </c>
      <c r="B3" s="1">
        <v>42</v>
      </c>
      <c r="C3" s="1">
        <v>9.8000000000000007</v>
      </c>
      <c r="D3" s="1">
        <v>10</v>
      </c>
      <c r="E3" s="1">
        <v>0</v>
      </c>
      <c r="F3">
        <f t="shared" ref="F3:F66" si="0">C3*D3*(1-E3)</f>
        <v>98</v>
      </c>
    </row>
    <row r="4" spans="1:6" ht="15.75" customHeight="1">
      <c r="A4" s="1">
        <v>10248</v>
      </c>
      <c r="B4" s="1">
        <v>72</v>
      </c>
      <c r="C4" s="1">
        <v>34.799999999999997</v>
      </c>
      <c r="D4" s="1">
        <v>5</v>
      </c>
      <c r="E4" s="1">
        <v>0</v>
      </c>
      <c r="F4">
        <f t="shared" si="0"/>
        <v>174</v>
      </c>
    </row>
    <row r="5" spans="1:6" ht="15.75" customHeight="1">
      <c r="A5" s="1">
        <v>10249</v>
      </c>
      <c r="B5" s="1">
        <v>14</v>
      </c>
      <c r="C5" s="1">
        <v>18.600000000000001</v>
      </c>
      <c r="D5" s="1">
        <v>9</v>
      </c>
      <c r="E5" s="1">
        <v>0</v>
      </c>
      <c r="F5">
        <f t="shared" si="0"/>
        <v>167.4</v>
      </c>
    </row>
    <row r="6" spans="1:6" ht="15.75" customHeight="1">
      <c r="A6" s="1">
        <v>10249</v>
      </c>
      <c r="B6" s="1">
        <v>51</v>
      </c>
      <c r="C6" s="1">
        <v>42.4</v>
      </c>
      <c r="D6" s="1">
        <v>40</v>
      </c>
      <c r="E6" s="1">
        <v>0</v>
      </c>
      <c r="F6">
        <f t="shared" si="0"/>
        <v>1696</v>
      </c>
    </row>
    <row r="7" spans="1:6" ht="15.75" customHeight="1">
      <c r="A7" s="1">
        <v>10250</v>
      </c>
      <c r="B7" s="1">
        <v>41</v>
      </c>
      <c r="C7" s="1">
        <v>7.7</v>
      </c>
      <c r="D7" s="1">
        <v>10</v>
      </c>
      <c r="E7" s="1">
        <v>0</v>
      </c>
      <c r="F7">
        <f t="shared" si="0"/>
        <v>77</v>
      </c>
    </row>
    <row r="8" spans="1:6" ht="15.75" customHeight="1">
      <c r="A8" s="1">
        <v>10250</v>
      </c>
      <c r="B8" s="1">
        <v>51</v>
      </c>
      <c r="C8" s="1">
        <v>42.4</v>
      </c>
      <c r="D8" s="1">
        <v>35</v>
      </c>
      <c r="E8" s="1">
        <v>0.15</v>
      </c>
      <c r="F8">
        <f t="shared" si="0"/>
        <v>1261.3999999999999</v>
      </c>
    </row>
    <row r="9" spans="1:6" ht="15.75" customHeight="1">
      <c r="A9" s="1">
        <v>10250</v>
      </c>
      <c r="B9" s="1">
        <v>65</v>
      </c>
      <c r="C9" s="1">
        <v>16.8</v>
      </c>
      <c r="D9" s="1">
        <v>15</v>
      </c>
      <c r="E9" s="1">
        <v>0.15</v>
      </c>
      <c r="F9">
        <f t="shared" si="0"/>
        <v>214.2</v>
      </c>
    </row>
    <row r="10" spans="1:6" ht="15.75" customHeight="1">
      <c r="A10" s="1">
        <v>10251</v>
      </c>
      <c r="B10" s="1">
        <v>22</v>
      </c>
      <c r="C10" s="1">
        <v>16.8</v>
      </c>
      <c r="D10" s="1">
        <v>6</v>
      </c>
      <c r="E10" s="1">
        <v>0.05</v>
      </c>
      <c r="F10">
        <f t="shared" si="0"/>
        <v>95.76</v>
      </c>
    </row>
    <row r="11" spans="1:6" ht="15.75" customHeight="1">
      <c r="A11" s="1">
        <v>10251</v>
      </c>
      <c r="B11" s="1">
        <v>57</v>
      </c>
      <c r="C11" s="1">
        <v>15.6</v>
      </c>
      <c r="D11" s="1">
        <v>15</v>
      </c>
      <c r="E11" s="1">
        <v>0.05</v>
      </c>
      <c r="F11">
        <f t="shared" si="0"/>
        <v>222.29999999999998</v>
      </c>
    </row>
    <row r="12" spans="1:6" ht="15.75" customHeight="1">
      <c r="A12" s="1">
        <v>10251</v>
      </c>
      <c r="B12" s="1">
        <v>65</v>
      </c>
      <c r="C12" s="1">
        <v>16.8</v>
      </c>
      <c r="D12" s="1">
        <v>20</v>
      </c>
      <c r="E12" s="1">
        <v>0</v>
      </c>
      <c r="F12">
        <f t="shared" si="0"/>
        <v>336</v>
      </c>
    </row>
    <row r="13" spans="1:6" ht="15.75" customHeight="1">
      <c r="A13" s="1">
        <v>10252</v>
      </c>
      <c r="B13" s="1">
        <v>20</v>
      </c>
      <c r="C13" s="1">
        <v>64.8</v>
      </c>
      <c r="D13" s="1">
        <v>40</v>
      </c>
      <c r="E13" s="1">
        <v>0.05</v>
      </c>
      <c r="F13">
        <f t="shared" si="0"/>
        <v>2462.4</v>
      </c>
    </row>
    <row r="14" spans="1:6" ht="15.75" customHeight="1">
      <c r="A14" s="1">
        <v>10252</v>
      </c>
      <c r="B14" s="1">
        <v>33</v>
      </c>
      <c r="C14" s="1">
        <v>2</v>
      </c>
      <c r="D14" s="1">
        <v>25</v>
      </c>
      <c r="E14" s="1">
        <v>0.05</v>
      </c>
      <c r="F14">
        <f t="shared" si="0"/>
        <v>47.5</v>
      </c>
    </row>
    <row r="15" spans="1:6" ht="15.75" customHeight="1">
      <c r="A15" s="1">
        <v>10252</v>
      </c>
      <c r="B15" s="1">
        <v>60</v>
      </c>
      <c r="C15" s="1">
        <v>27.2</v>
      </c>
      <c r="D15" s="1">
        <v>40</v>
      </c>
      <c r="E15" s="1">
        <v>0</v>
      </c>
      <c r="F15">
        <f t="shared" si="0"/>
        <v>1088</v>
      </c>
    </row>
    <row r="16" spans="1:6" ht="15.75" customHeight="1">
      <c r="A16" s="1">
        <v>10253</v>
      </c>
      <c r="B16" s="1">
        <v>31</v>
      </c>
      <c r="C16" s="1">
        <v>10</v>
      </c>
      <c r="D16" s="1">
        <v>20</v>
      </c>
      <c r="E16" s="1">
        <v>0</v>
      </c>
      <c r="F16">
        <f t="shared" si="0"/>
        <v>200</v>
      </c>
    </row>
    <row r="17" spans="1:6" ht="15.75" customHeight="1">
      <c r="A17" s="1">
        <v>10253</v>
      </c>
      <c r="B17" s="1">
        <v>39</v>
      </c>
      <c r="C17" s="1">
        <v>14.4</v>
      </c>
      <c r="D17" s="1">
        <v>42</v>
      </c>
      <c r="E17" s="1">
        <v>0</v>
      </c>
      <c r="F17">
        <f t="shared" si="0"/>
        <v>604.80000000000007</v>
      </c>
    </row>
    <row r="18" spans="1:6" ht="15.75" customHeight="1">
      <c r="A18" s="1">
        <v>10253</v>
      </c>
      <c r="B18" s="1">
        <v>49</v>
      </c>
      <c r="C18" s="1">
        <v>16</v>
      </c>
      <c r="D18" s="1">
        <v>40</v>
      </c>
      <c r="E18" s="1">
        <v>0</v>
      </c>
      <c r="F18">
        <f t="shared" si="0"/>
        <v>640</v>
      </c>
    </row>
    <row r="19" spans="1:6" ht="15.75" customHeight="1">
      <c r="A19" s="1">
        <v>10254</v>
      </c>
      <c r="B19" s="1">
        <v>24</v>
      </c>
      <c r="C19" s="1">
        <v>3.6</v>
      </c>
      <c r="D19" s="1">
        <v>15</v>
      </c>
      <c r="E19" s="1">
        <v>0.15</v>
      </c>
      <c r="F19">
        <f t="shared" si="0"/>
        <v>45.9</v>
      </c>
    </row>
    <row r="20" spans="1:6" ht="15.75" customHeight="1">
      <c r="A20" s="1">
        <v>10254</v>
      </c>
      <c r="B20" s="1">
        <v>55</v>
      </c>
      <c r="C20" s="1">
        <v>19.2</v>
      </c>
      <c r="D20" s="1">
        <v>21</v>
      </c>
      <c r="E20" s="1">
        <v>0.15</v>
      </c>
      <c r="F20">
        <f t="shared" si="0"/>
        <v>342.71999999999997</v>
      </c>
    </row>
    <row r="21" spans="1:6" ht="15.75" customHeight="1">
      <c r="A21" s="1">
        <v>10254</v>
      </c>
      <c r="B21" s="1">
        <v>74</v>
      </c>
      <c r="C21" s="1">
        <v>8</v>
      </c>
      <c r="D21" s="1">
        <v>21</v>
      </c>
      <c r="E21" s="1">
        <v>0</v>
      </c>
      <c r="F21">
        <f t="shared" si="0"/>
        <v>168</v>
      </c>
    </row>
    <row r="22" spans="1:6" ht="15.75" customHeight="1">
      <c r="A22" s="1">
        <v>10255</v>
      </c>
      <c r="B22" s="1">
        <v>2</v>
      </c>
      <c r="C22" s="1">
        <v>15.2</v>
      </c>
      <c r="D22" s="1">
        <v>20</v>
      </c>
      <c r="E22" s="1">
        <v>0</v>
      </c>
      <c r="F22">
        <f t="shared" si="0"/>
        <v>304</v>
      </c>
    </row>
    <row r="23" spans="1:6" ht="15.75" customHeight="1">
      <c r="A23" s="1">
        <v>10255</v>
      </c>
      <c r="B23" s="1">
        <v>16</v>
      </c>
      <c r="C23" s="1">
        <v>13.9</v>
      </c>
      <c r="D23" s="1">
        <v>35</v>
      </c>
      <c r="E23" s="1">
        <v>0</v>
      </c>
      <c r="F23">
        <f t="shared" si="0"/>
        <v>486.5</v>
      </c>
    </row>
    <row r="24" spans="1:6" ht="15.75" customHeight="1">
      <c r="A24" s="1">
        <v>10255</v>
      </c>
      <c r="B24" s="1">
        <v>36</v>
      </c>
      <c r="C24" s="1">
        <v>15.2</v>
      </c>
      <c r="D24" s="1">
        <v>25</v>
      </c>
      <c r="E24" s="1">
        <v>0</v>
      </c>
      <c r="F24">
        <f t="shared" si="0"/>
        <v>380</v>
      </c>
    </row>
    <row r="25" spans="1:6" ht="15.75" customHeight="1">
      <c r="A25" s="1">
        <v>10255</v>
      </c>
      <c r="B25" s="1">
        <v>59</v>
      </c>
      <c r="C25" s="1">
        <v>44</v>
      </c>
      <c r="D25" s="1">
        <v>30</v>
      </c>
      <c r="E25" s="1">
        <v>0</v>
      </c>
      <c r="F25">
        <f t="shared" si="0"/>
        <v>1320</v>
      </c>
    </row>
    <row r="26" spans="1:6" ht="15.75" customHeight="1">
      <c r="A26" s="1">
        <v>10256</v>
      </c>
      <c r="B26" s="1">
        <v>53</v>
      </c>
      <c r="C26" s="1">
        <v>26.2</v>
      </c>
      <c r="D26" s="1">
        <v>15</v>
      </c>
      <c r="E26" s="1">
        <v>0</v>
      </c>
      <c r="F26">
        <f t="shared" si="0"/>
        <v>393</v>
      </c>
    </row>
    <row r="27" spans="1:6" ht="15.75" customHeight="1">
      <c r="A27" s="1">
        <v>10256</v>
      </c>
      <c r="B27" s="1">
        <v>77</v>
      </c>
      <c r="C27" s="1">
        <v>10.4</v>
      </c>
      <c r="D27" s="1">
        <v>12</v>
      </c>
      <c r="E27" s="1">
        <v>0</v>
      </c>
      <c r="F27">
        <f t="shared" si="0"/>
        <v>124.80000000000001</v>
      </c>
    </row>
    <row r="28" spans="1:6" ht="15.75" customHeight="1">
      <c r="A28" s="1">
        <v>10257</v>
      </c>
      <c r="B28" s="1">
        <v>27</v>
      </c>
      <c r="C28" s="1">
        <v>35.1</v>
      </c>
      <c r="D28" s="1">
        <v>25</v>
      </c>
      <c r="E28" s="1">
        <v>0</v>
      </c>
      <c r="F28">
        <f t="shared" si="0"/>
        <v>877.5</v>
      </c>
    </row>
    <row r="29" spans="1:6" ht="15.75" customHeight="1">
      <c r="A29" s="1">
        <v>10257</v>
      </c>
      <c r="B29" s="1">
        <v>39</v>
      </c>
      <c r="C29" s="1">
        <v>14.4</v>
      </c>
      <c r="D29" s="1">
        <v>6</v>
      </c>
      <c r="E29" s="1">
        <v>0</v>
      </c>
      <c r="F29">
        <f t="shared" si="0"/>
        <v>86.4</v>
      </c>
    </row>
    <row r="30" spans="1:6" ht="15.75" customHeight="1">
      <c r="A30" s="1">
        <v>10257</v>
      </c>
      <c r="B30" s="1">
        <v>77</v>
      </c>
      <c r="C30" s="1">
        <v>10.4</v>
      </c>
      <c r="D30" s="1">
        <v>15</v>
      </c>
      <c r="E30" s="1">
        <v>0</v>
      </c>
      <c r="F30">
        <f t="shared" si="0"/>
        <v>156</v>
      </c>
    </row>
    <row r="31" spans="1:6" ht="15.75" customHeight="1">
      <c r="A31" s="1">
        <v>10258</v>
      </c>
      <c r="B31" s="1">
        <v>2</v>
      </c>
      <c r="C31" s="1">
        <v>15.2</v>
      </c>
      <c r="D31" s="1">
        <v>50</v>
      </c>
      <c r="E31" s="1">
        <v>0.2</v>
      </c>
      <c r="F31">
        <f t="shared" si="0"/>
        <v>608</v>
      </c>
    </row>
    <row r="32" spans="1:6" ht="15.75" customHeight="1">
      <c r="A32" s="1">
        <v>10258</v>
      </c>
      <c r="B32" s="1">
        <v>5</v>
      </c>
      <c r="C32" s="1">
        <v>17</v>
      </c>
      <c r="D32" s="1">
        <v>65</v>
      </c>
      <c r="E32" s="1">
        <v>0.2</v>
      </c>
      <c r="F32">
        <f t="shared" si="0"/>
        <v>884</v>
      </c>
    </row>
    <row r="33" spans="1:6" ht="15.75" customHeight="1">
      <c r="A33" s="1">
        <v>10258</v>
      </c>
      <c r="B33" s="1">
        <v>32</v>
      </c>
      <c r="C33" s="1">
        <v>25.6</v>
      </c>
      <c r="D33" s="1">
        <v>6</v>
      </c>
      <c r="E33" s="1">
        <v>0.2</v>
      </c>
      <c r="F33">
        <f t="shared" si="0"/>
        <v>122.88000000000002</v>
      </c>
    </row>
    <row r="34" spans="1:6" ht="15.75" customHeight="1">
      <c r="A34" s="1">
        <v>10259</v>
      </c>
      <c r="B34" s="1">
        <v>21</v>
      </c>
      <c r="C34" s="1">
        <v>8</v>
      </c>
      <c r="D34" s="1">
        <v>10</v>
      </c>
      <c r="E34" s="1">
        <v>0</v>
      </c>
      <c r="F34">
        <f t="shared" si="0"/>
        <v>80</v>
      </c>
    </row>
    <row r="35" spans="1:6" ht="15.75" customHeight="1">
      <c r="A35" s="1">
        <v>10259</v>
      </c>
      <c r="B35" s="1">
        <v>37</v>
      </c>
      <c r="C35" s="1">
        <v>20.8</v>
      </c>
      <c r="D35" s="1">
        <v>1</v>
      </c>
      <c r="E35" s="1">
        <v>0</v>
      </c>
      <c r="F35">
        <f t="shared" si="0"/>
        <v>20.8</v>
      </c>
    </row>
    <row r="36" spans="1:6" ht="15.75" customHeight="1">
      <c r="A36" s="1">
        <v>10260</v>
      </c>
      <c r="B36" s="1">
        <v>41</v>
      </c>
      <c r="C36" s="1">
        <v>7.7</v>
      </c>
      <c r="D36" s="1">
        <v>16</v>
      </c>
      <c r="E36" s="1">
        <v>0.25</v>
      </c>
      <c r="F36">
        <f t="shared" si="0"/>
        <v>92.4</v>
      </c>
    </row>
    <row r="37" spans="1:6" ht="15.75" customHeight="1">
      <c r="A37" s="1">
        <v>10260</v>
      </c>
      <c r="B37" s="1">
        <v>57</v>
      </c>
      <c r="C37" s="1">
        <v>15.6</v>
      </c>
      <c r="D37" s="1">
        <v>50</v>
      </c>
      <c r="E37" s="1">
        <v>0</v>
      </c>
      <c r="F37">
        <f t="shared" si="0"/>
        <v>780</v>
      </c>
    </row>
    <row r="38" spans="1:6" ht="15.75" customHeight="1">
      <c r="A38" s="1">
        <v>10260</v>
      </c>
      <c r="B38" s="1">
        <v>62</v>
      </c>
      <c r="C38" s="1">
        <v>39.4</v>
      </c>
      <c r="D38" s="1">
        <v>15</v>
      </c>
      <c r="E38" s="1">
        <v>0.25</v>
      </c>
      <c r="F38">
        <f t="shared" si="0"/>
        <v>443.25</v>
      </c>
    </row>
    <row r="39" spans="1:6" ht="15.75" customHeight="1">
      <c r="A39" s="1">
        <v>10260</v>
      </c>
      <c r="B39" s="1">
        <v>70</v>
      </c>
      <c r="C39" s="1">
        <v>12</v>
      </c>
      <c r="D39" s="1">
        <v>21</v>
      </c>
      <c r="E39" s="1">
        <v>0.25</v>
      </c>
      <c r="F39">
        <f t="shared" si="0"/>
        <v>189</v>
      </c>
    </row>
    <row r="40" spans="1:6" ht="15.75" customHeight="1">
      <c r="A40" s="1">
        <v>10261</v>
      </c>
      <c r="B40" s="1">
        <v>21</v>
      </c>
      <c r="C40" s="1">
        <v>8</v>
      </c>
      <c r="D40" s="1">
        <v>20</v>
      </c>
      <c r="E40" s="1">
        <v>0</v>
      </c>
      <c r="F40">
        <f t="shared" si="0"/>
        <v>160</v>
      </c>
    </row>
    <row r="41" spans="1:6" ht="15.75" customHeight="1">
      <c r="A41" s="1">
        <v>10261</v>
      </c>
      <c r="B41" s="1">
        <v>35</v>
      </c>
      <c r="C41" s="1">
        <v>14.4</v>
      </c>
      <c r="D41" s="1">
        <v>20</v>
      </c>
      <c r="E41" s="1">
        <v>0</v>
      </c>
      <c r="F41">
        <f t="shared" si="0"/>
        <v>288</v>
      </c>
    </row>
    <row r="42" spans="1:6" ht="15.75" customHeight="1">
      <c r="A42" s="1">
        <v>10262</v>
      </c>
      <c r="B42" s="1">
        <v>5</v>
      </c>
      <c r="C42" s="1">
        <v>17</v>
      </c>
      <c r="D42" s="1">
        <v>12</v>
      </c>
      <c r="E42" s="1">
        <v>0.2</v>
      </c>
      <c r="F42">
        <f t="shared" si="0"/>
        <v>163.20000000000002</v>
      </c>
    </row>
    <row r="43" spans="1:6" ht="15.75" customHeight="1">
      <c r="A43" s="1">
        <v>10262</v>
      </c>
      <c r="B43" s="1">
        <v>7</v>
      </c>
      <c r="C43" s="1">
        <v>24</v>
      </c>
      <c r="D43" s="1">
        <v>15</v>
      </c>
      <c r="E43" s="1">
        <v>0</v>
      </c>
      <c r="F43">
        <f t="shared" si="0"/>
        <v>360</v>
      </c>
    </row>
    <row r="44" spans="1:6" ht="15.75" customHeight="1">
      <c r="A44" s="1">
        <v>10262</v>
      </c>
      <c r="B44" s="1">
        <v>56</v>
      </c>
      <c r="C44" s="1">
        <v>30.4</v>
      </c>
      <c r="D44" s="1">
        <v>2</v>
      </c>
      <c r="E44" s="1">
        <v>0</v>
      </c>
      <c r="F44">
        <f t="shared" si="0"/>
        <v>60.8</v>
      </c>
    </row>
    <row r="45" spans="1:6" ht="15.75" customHeight="1">
      <c r="A45" s="1">
        <v>10263</v>
      </c>
      <c r="B45" s="1">
        <v>16</v>
      </c>
      <c r="C45" s="1">
        <v>13.9</v>
      </c>
      <c r="D45" s="1">
        <v>60</v>
      </c>
      <c r="E45" s="1">
        <v>0.25</v>
      </c>
      <c r="F45">
        <f t="shared" si="0"/>
        <v>625.5</v>
      </c>
    </row>
    <row r="46" spans="1:6" ht="15.75" customHeight="1">
      <c r="A46" s="1">
        <v>10263</v>
      </c>
      <c r="B46" s="1">
        <v>24</v>
      </c>
      <c r="C46" s="1">
        <v>3.6</v>
      </c>
      <c r="D46" s="1">
        <v>28</v>
      </c>
      <c r="E46" s="1">
        <v>0</v>
      </c>
      <c r="F46">
        <f t="shared" si="0"/>
        <v>100.8</v>
      </c>
    </row>
    <row r="47" spans="1:6" ht="15.75" customHeight="1">
      <c r="A47" s="1">
        <v>10263</v>
      </c>
      <c r="B47" s="1">
        <v>30</v>
      </c>
      <c r="C47" s="1">
        <v>20.7</v>
      </c>
      <c r="D47" s="1">
        <v>60</v>
      </c>
      <c r="E47" s="1">
        <v>0.25</v>
      </c>
      <c r="F47">
        <f t="shared" si="0"/>
        <v>931.5</v>
      </c>
    </row>
    <row r="48" spans="1:6" ht="15.75" customHeight="1">
      <c r="A48" s="1">
        <v>10263</v>
      </c>
      <c r="B48" s="1">
        <v>74</v>
      </c>
      <c r="C48" s="1">
        <v>8</v>
      </c>
      <c r="D48" s="1">
        <v>36</v>
      </c>
      <c r="E48" s="1">
        <v>0.25</v>
      </c>
      <c r="F48">
        <f t="shared" si="0"/>
        <v>216</v>
      </c>
    </row>
    <row r="49" spans="1:6" ht="15.75" customHeight="1">
      <c r="A49" s="1">
        <v>10264</v>
      </c>
      <c r="B49" s="1">
        <v>2</v>
      </c>
      <c r="C49" s="1">
        <v>15.2</v>
      </c>
      <c r="D49" s="1">
        <v>35</v>
      </c>
      <c r="E49" s="1">
        <v>0</v>
      </c>
      <c r="F49">
        <f t="shared" si="0"/>
        <v>532</v>
      </c>
    </row>
    <row r="50" spans="1:6" ht="15.75" customHeight="1">
      <c r="A50" s="1">
        <v>10264</v>
      </c>
      <c r="B50" s="1">
        <v>41</v>
      </c>
      <c r="C50" s="1">
        <v>7.7</v>
      </c>
      <c r="D50" s="1">
        <v>25</v>
      </c>
      <c r="E50" s="1">
        <v>0.15</v>
      </c>
      <c r="F50">
        <f t="shared" si="0"/>
        <v>163.625</v>
      </c>
    </row>
    <row r="51" spans="1:6" ht="15.75" customHeight="1">
      <c r="A51" s="1">
        <v>10265</v>
      </c>
      <c r="B51" s="1">
        <v>17</v>
      </c>
      <c r="C51" s="1">
        <v>31.2</v>
      </c>
      <c r="D51" s="1">
        <v>30</v>
      </c>
      <c r="E51" s="1">
        <v>0</v>
      </c>
      <c r="F51">
        <f t="shared" si="0"/>
        <v>936</v>
      </c>
    </row>
    <row r="52" spans="1:6" ht="15.75" customHeight="1">
      <c r="A52" s="1">
        <v>10265</v>
      </c>
      <c r="B52" s="1">
        <v>70</v>
      </c>
      <c r="C52" s="1">
        <v>12</v>
      </c>
      <c r="D52" s="1">
        <v>20</v>
      </c>
      <c r="E52" s="1">
        <v>0</v>
      </c>
      <c r="F52">
        <f t="shared" si="0"/>
        <v>240</v>
      </c>
    </row>
    <row r="53" spans="1:6" ht="15.75" customHeight="1">
      <c r="A53" s="1">
        <v>10266</v>
      </c>
      <c r="B53" s="1">
        <v>12</v>
      </c>
      <c r="C53" s="1">
        <v>30.4</v>
      </c>
      <c r="D53" s="1">
        <v>12</v>
      </c>
      <c r="E53" s="1">
        <v>0.05</v>
      </c>
      <c r="F53">
        <f t="shared" si="0"/>
        <v>346.55999999999995</v>
      </c>
    </row>
    <row r="54" spans="1:6" ht="13">
      <c r="A54" s="1">
        <v>10267</v>
      </c>
      <c r="B54" s="1">
        <v>40</v>
      </c>
      <c r="C54" s="1">
        <v>14.7</v>
      </c>
      <c r="D54" s="1">
        <v>50</v>
      </c>
      <c r="E54" s="1">
        <v>0</v>
      </c>
      <c r="F54">
        <f t="shared" si="0"/>
        <v>735</v>
      </c>
    </row>
    <row r="55" spans="1:6" ht="13">
      <c r="A55" s="1">
        <v>10267</v>
      </c>
      <c r="B55" s="1">
        <v>59</v>
      </c>
      <c r="C55" s="1">
        <v>44</v>
      </c>
      <c r="D55" s="1">
        <v>70</v>
      </c>
      <c r="E55" s="1">
        <v>0.15</v>
      </c>
      <c r="F55">
        <f t="shared" si="0"/>
        <v>2618</v>
      </c>
    </row>
    <row r="56" spans="1:6" ht="13">
      <c r="A56" s="1">
        <v>10267</v>
      </c>
      <c r="B56" s="1">
        <v>76</v>
      </c>
      <c r="C56" s="1">
        <v>14.4</v>
      </c>
      <c r="D56" s="1">
        <v>15</v>
      </c>
      <c r="E56" s="1">
        <v>0.15</v>
      </c>
      <c r="F56">
        <f t="shared" si="0"/>
        <v>183.6</v>
      </c>
    </row>
    <row r="57" spans="1:6" ht="13">
      <c r="A57" s="1">
        <v>10268</v>
      </c>
      <c r="B57" s="1">
        <v>29</v>
      </c>
      <c r="C57" s="1">
        <v>99</v>
      </c>
      <c r="D57" s="1">
        <v>10</v>
      </c>
      <c r="E57" s="1">
        <v>0</v>
      </c>
      <c r="F57">
        <f t="shared" si="0"/>
        <v>990</v>
      </c>
    </row>
    <row r="58" spans="1:6" ht="13">
      <c r="A58" s="1">
        <v>10268</v>
      </c>
      <c r="B58" s="1">
        <v>72</v>
      </c>
      <c r="C58" s="1">
        <v>27.8</v>
      </c>
      <c r="D58" s="1">
        <v>4</v>
      </c>
      <c r="E58" s="1">
        <v>0</v>
      </c>
      <c r="F58">
        <f t="shared" si="0"/>
        <v>111.2</v>
      </c>
    </row>
    <row r="59" spans="1:6" ht="13">
      <c r="A59" s="1">
        <v>10269</v>
      </c>
      <c r="B59" s="1">
        <v>33</v>
      </c>
      <c r="C59" s="1">
        <v>2</v>
      </c>
      <c r="D59" s="1">
        <v>60</v>
      </c>
      <c r="E59" s="1">
        <v>0.05</v>
      </c>
      <c r="F59">
        <f t="shared" si="0"/>
        <v>114</v>
      </c>
    </row>
    <row r="60" spans="1:6" ht="13">
      <c r="A60" s="1">
        <v>10269</v>
      </c>
      <c r="B60" s="1">
        <v>72</v>
      </c>
      <c r="C60" s="1">
        <v>27.8</v>
      </c>
      <c r="D60" s="1">
        <v>20</v>
      </c>
      <c r="E60" s="1">
        <v>0.05</v>
      </c>
      <c r="F60">
        <f t="shared" si="0"/>
        <v>528.19999999999993</v>
      </c>
    </row>
    <row r="61" spans="1:6" ht="13">
      <c r="A61" s="1">
        <v>10270</v>
      </c>
      <c r="B61" s="1">
        <v>36</v>
      </c>
      <c r="C61" s="1">
        <v>15.2</v>
      </c>
      <c r="D61" s="1">
        <v>30</v>
      </c>
      <c r="E61" s="1">
        <v>0</v>
      </c>
      <c r="F61">
        <f t="shared" si="0"/>
        <v>456</v>
      </c>
    </row>
    <row r="62" spans="1:6" ht="13">
      <c r="A62" s="1">
        <v>10270</v>
      </c>
      <c r="B62" s="1">
        <v>43</v>
      </c>
      <c r="C62" s="1">
        <v>36.799999999999997</v>
      </c>
      <c r="D62" s="1">
        <v>25</v>
      </c>
      <c r="E62" s="1">
        <v>0</v>
      </c>
      <c r="F62">
        <f t="shared" si="0"/>
        <v>919.99999999999989</v>
      </c>
    </row>
    <row r="63" spans="1:6" ht="13">
      <c r="A63" s="1">
        <v>10271</v>
      </c>
      <c r="B63" s="1">
        <v>33</v>
      </c>
      <c r="C63" s="1">
        <v>2</v>
      </c>
      <c r="D63" s="1">
        <v>24</v>
      </c>
      <c r="E63" s="1">
        <v>0</v>
      </c>
      <c r="F63">
        <f t="shared" si="0"/>
        <v>48</v>
      </c>
    </row>
    <row r="64" spans="1:6" ht="13">
      <c r="A64" s="1">
        <v>10272</v>
      </c>
      <c r="B64" s="1">
        <v>20</v>
      </c>
      <c r="C64" s="1">
        <v>64.8</v>
      </c>
      <c r="D64" s="1">
        <v>6</v>
      </c>
      <c r="E64" s="1">
        <v>0</v>
      </c>
      <c r="F64">
        <f t="shared" si="0"/>
        <v>388.79999999999995</v>
      </c>
    </row>
    <row r="65" spans="1:6" ht="13">
      <c r="A65" s="1">
        <v>10272</v>
      </c>
      <c r="B65" s="1">
        <v>31</v>
      </c>
      <c r="C65" s="1">
        <v>10</v>
      </c>
      <c r="D65" s="1">
        <v>40</v>
      </c>
      <c r="E65" s="1">
        <v>0</v>
      </c>
      <c r="F65">
        <f t="shared" si="0"/>
        <v>400</v>
      </c>
    </row>
    <row r="66" spans="1:6" ht="13">
      <c r="A66" s="1">
        <v>10272</v>
      </c>
      <c r="B66" s="1">
        <v>72</v>
      </c>
      <c r="C66" s="1">
        <v>27.8</v>
      </c>
      <c r="D66" s="1">
        <v>24</v>
      </c>
      <c r="E66" s="1">
        <v>0</v>
      </c>
      <c r="F66">
        <f t="shared" si="0"/>
        <v>667.2</v>
      </c>
    </row>
    <row r="67" spans="1:6" ht="13">
      <c r="A67" s="1">
        <v>10273</v>
      </c>
      <c r="B67" s="1">
        <v>10</v>
      </c>
      <c r="C67" s="1">
        <v>24.8</v>
      </c>
      <c r="D67" s="1">
        <v>24</v>
      </c>
      <c r="E67" s="1">
        <v>0.05</v>
      </c>
      <c r="F67">
        <f t="shared" ref="F67:F130" si="1">C67*D67*(1-E67)</f>
        <v>565.44000000000005</v>
      </c>
    </row>
    <row r="68" spans="1:6" ht="13">
      <c r="A68" s="1">
        <v>10273</v>
      </c>
      <c r="B68" s="1">
        <v>31</v>
      </c>
      <c r="C68" s="1">
        <v>10</v>
      </c>
      <c r="D68" s="1">
        <v>15</v>
      </c>
      <c r="E68" s="1">
        <v>0.05</v>
      </c>
      <c r="F68">
        <f t="shared" si="1"/>
        <v>142.5</v>
      </c>
    </row>
    <row r="69" spans="1:6" ht="13">
      <c r="A69" s="1">
        <v>10273</v>
      </c>
      <c r="B69" s="1">
        <v>33</v>
      </c>
      <c r="C69" s="1">
        <v>2</v>
      </c>
      <c r="D69" s="1">
        <v>20</v>
      </c>
      <c r="E69" s="1">
        <v>0</v>
      </c>
      <c r="F69">
        <f t="shared" si="1"/>
        <v>40</v>
      </c>
    </row>
    <row r="70" spans="1:6" ht="13">
      <c r="A70" s="1">
        <v>10273</v>
      </c>
      <c r="B70" s="1">
        <v>40</v>
      </c>
      <c r="C70" s="1">
        <v>14.7</v>
      </c>
      <c r="D70" s="1">
        <v>60</v>
      </c>
      <c r="E70" s="1">
        <v>0.05</v>
      </c>
      <c r="F70">
        <f t="shared" si="1"/>
        <v>837.9</v>
      </c>
    </row>
    <row r="71" spans="1:6" ht="13">
      <c r="A71" s="1">
        <v>10273</v>
      </c>
      <c r="B71" s="1">
        <v>76</v>
      </c>
      <c r="C71" s="1">
        <v>14.4</v>
      </c>
      <c r="D71" s="1">
        <v>33</v>
      </c>
      <c r="E71" s="1">
        <v>0.05</v>
      </c>
      <c r="F71">
        <f t="shared" si="1"/>
        <v>451.43999999999994</v>
      </c>
    </row>
    <row r="72" spans="1:6" ht="13">
      <c r="A72" s="1">
        <v>10274</v>
      </c>
      <c r="B72" s="1">
        <v>71</v>
      </c>
      <c r="C72" s="1">
        <v>17.2</v>
      </c>
      <c r="D72" s="1">
        <v>20</v>
      </c>
      <c r="E72" s="1">
        <v>0</v>
      </c>
      <c r="F72">
        <f t="shared" si="1"/>
        <v>344</v>
      </c>
    </row>
    <row r="73" spans="1:6" ht="13">
      <c r="A73" s="1">
        <v>10274</v>
      </c>
      <c r="B73" s="1">
        <v>72</v>
      </c>
      <c r="C73" s="1">
        <v>27.8</v>
      </c>
      <c r="D73" s="1">
        <v>7</v>
      </c>
      <c r="E73" s="1">
        <v>0</v>
      </c>
      <c r="F73">
        <f t="shared" si="1"/>
        <v>194.6</v>
      </c>
    </row>
    <row r="74" spans="1:6" ht="13">
      <c r="A74" s="1">
        <v>10275</v>
      </c>
      <c r="B74" s="1">
        <v>24</v>
      </c>
      <c r="C74" s="1">
        <v>3.6</v>
      </c>
      <c r="D74" s="1">
        <v>12</v>
      </c>
      <c r="E74" s="1">
        <v>0.05</v>
      </c>
      <c r="F74">
        <f t="shared" si="1"/>
        <v>41.04</v>
      </c>
    </row>
    <row r="75" spans="1:6" ht="13">
      <c r="A75" s="1">
        <v>10275</v>
      </c>
      <c r="B75" s="1">
        <v>59</v>
      </c>
      <c r="C75" s="1">
        <v>44</v>
      </c>
      <c r="D75" s="1">
        <v>6</v>
      </c>
      <c r="E75" s="1">
        <v>0.05</v>
      </c>
      <c r="F75">
        <f t="shared" si="1"/>
        <v>250.79999999999998</v>
      </c>
    </row>
    <row r="76" spans="1:6" ht="13">
      <c r="A76" s="1">
        <v>10276</v>
      </c>
      <c r="B76" s="1">
        <v>10</v>
      </c>
      <c r="C76" s="1">
        <v>24.8</v>
      </c>
      <c r="D76" s="1">
        <v>15</v>
      </c>
      <c r="E76" s="1">
        <v>0</v>
      </c>
      <c r="F76">
        <f t="shared" si="1"/>
        <v>372</v>
      </c>
    </row>
    <row r="77" spans="1:6" ht="13">
      <c r="A77" s="1">
        <v>10276</v>
      </c>
      <c r="B77" s="1">
        <v>13</v>
      </c>
      <c r="C77" s="1">
        <v>4.8</v>
      </c>
      <c r="D77" s="1">
        <v>10</v>
      </c>
      <c r="E77" s="1">
        <v>0</v>
      </c>
      <c r="F77">
        <f t="shared" si="1"/>
        <v>48</v>
      </c>
    </row>
    <row r="78" spans="1:6" ht="13">
      <c r="A78" s="1">
        <v>10277</v>
      </c>
      <c r="B78" s="1">
        <v>28</v>
      </c>
      <c r="C78" s="1">
        <v>36.4</v>
      </c>
      <c r="D78" s="1">
        <v>20</v>
      </c>
      <c r="E78" s="1">
        <v>0</v>
      </c>
      <c r="F78">
        <f t="shared" si="1"/>
        <v>728</v>
      </c>
    </row>
    <row r="79" spans="1:6" ht="13">
      <c r="A79" s="1">
        <v>10277</v>
      </c>
      <c r="B79" s="1">
        <v>62</v>
      </c>
      <c r="C79" s="1">
        <v>39.4</v>
      </c>
      <c r="D79" s="1">
        <v>12</v>
      </c>
      <c r="E79" s="1">
        <v>0</v>
      </c>
      <c r="F79">
        <f t="shared" si="1"/>
        <v>472.79999999999995</v>
      </c>
    </row>
    <row r="80" spans="1:6" ht="13">
      <c r="A80" s="1">
        <v>10278</v>
      </c>
      <c r="B80" s="1">
        <v>44</v>
      </c>
      <c r="C80" s="1">
        <v>15.5</v>
      </c>
      <c r="D80" s="1">
        <v>16</v>
      </c>
      <c r="E80" s="1">
        <v>0</v>
      </c>
      <c r="F80">
        <f t="shared" si="1"/>
        <v>248</v>
      </c>
    </row>
    <row r="81" spans="1:6" ht="13">
      <c r="A81" s="1">
        <v>10278</v>
      </c>
      <c r="B81" s="1">
        <v>59</v>
      </c>
      <c r="C81" s="1">
        <v>44</v>
      </c>
      <c r="D81" s="1">
        <v>15</v>
      </c>
      <c r="E81" s="1">
        <v>0</v>
      </c>
      <c r="F81">
        <f t="shared" si="1"/>
        <v>660</v>
      </c>
    </row>
    <row r="82" spans="1:6" ht="13">
      <c r="A82" s="1">
        <v>10278</v>
      </c>
      <c r="B82" s="1">
        <v>63</v>
      </c>
      <c r="C82" s="1">
        <v>35.1</v>
      </c>
      <c r="D82" s="1">
        <v>8</v>
      </c>
      <c r="E82" s="1">
        <v>0</v>
      </c>
      <c r="F82">
        <f t="shared" si="1"/>
        <v>280.8</v>
      </c>
    </row>
    <row r="83" spans="1:6" ht="13">
      <c r="A83" s="1">
        <v>10278</v>
      </c>
      <c r="B83" s="1">
        <v>73</v>
      </c>
      <c r="C83" s="1">
        <v>12</v>
      </c>
      <c r="D83" s="1">
        <v>25</v>
      </c>
      <c r="E83" s="1">
        <v>0</v>
      </c>
      <c r="F83">
        <f t="shared" si="1"/>
        <v>300</v>
      </c>
    </row>
    <row r="84" spans="1:6" ht="13">
      <c r="A84" s="1">
        <v>10279</v>
      </c>
      <c r="B84" s="1">
        <v>17</v>
      </c>
      <c r="C84" s="1">
        <v>31.2</v>
      </c>
      <c r="D84" s="1">
        <v>15</v>
      </c>
      <c r="E84" s="1">
        <v>0.25</v>
      </c>
      <c r="F84">
        <f t="shared" si="1"/>
        <v>351</v>
      </c>
    </row>
    <row r="85" spans="1:6" ht="13">
      <c r="A85" s="1">
        <v>10280</v>
      </c>
      <c r="B85" s="1">
        <v>24</v>
      </c>
      <c r="C85" s="1">
        <v>3.6</v>
      </c>
      <c r="D85" s="1">
        <v>12</v>
      </c>
      <c r="E85" s="1">
        <v>0</v>
      </c>
      <c r="F85">
        <f t="shared" si="1"/>
        <v>43.2</v>
      </c>
    </row>
    <row r="86" spans="1:6" ht="13">
      <c r="A86" s="1">
        <v>10280</v>
      </c>
      <c r="B86" s="1">
        <v>55</v>
      </c>
      <c r="C86" s="1">
        <v>19.2</v>
      </c>
      <c r="D86" s="1">
        <v>20</v>
      </c>
      <c r="E86" s="1">
        <v>0</v>
      </c>
      <c r="F86">
        <f t="shared" si="1"/>
        <v>384</v>
      </c>
    </row>
    <row r="87" spans="1:6" ht="13">
      <c r="A87" s="1">
        <v>10280</v>
      </c>
      <c r="B87" s="1">
        <v>75</v>
      </c>
      <c r="C87" s="1">
        <v>6.2</v>
      </c>
      <c r="D87" s="1">
        <v>30</v>
      </c>
      <c r="E87" s="1">
        <v>0</v>
      </c>
      <c r="F87">
        <f t="shared" si="1"/>
        <v>186</v>
      </c>
    </row>
    <row r="88" spans="1:6" ht="13">
      <c r="A88" s="1">
        <v>10281</v>
      </c>
      <c r="B88" s="1">
        <v>19</v>
      </c>
      <c r="C88" s="1">
        <v>7.3</v>
      </c>
      <c r="D88" s="1">
        <v>1</v>
      </c>
      <c r="E88" s="1">
        <v>0</v>
      </c>
      <c r="F88">
        <f t="shared" si="1"/>
        <v>7.3</v>
      </c>
    </row>
    <row r="89" spans="1:6" ht="13">
      <c r="A89" s="1">
        <v>10281</v>
      </c>
      <c r="B89" s="1">
        <v>24</v>
      </c>
      <c r="C89" s="1">
        <v>3.6</v>
      </c>
      <c r="D89" s="1">
        <v>6</v>
      </c>
      <c r="E89" s="1">
        <v>0</v>
      </c>
      <c r="F89">
        <f t="shared" si="1"/>
        <v>21.6</v>
      </c>
    </row>
    <row r="90" spans="1:6" ht="13">
      <c r="A90" s="1">
        <v>10281</v>
      </c>
      <c r="B90" s="1">
        <v>35</v>
      </c>
      <c r="C90" s="1">
        <v>14.4</v>
      </c>
      <c r="D90" s="1">
        <v>4</v>
      </c>
      <c r="E90" s="1">
        <v>0</v>
      </c>
      <c r="F90">
        <f t="shared" si="1"/>
        <v>57.6</v>
      </c>
    </row>
    <row r="91" spans="1:6" ht="13">
      <c r="A91" s="1">
        <v>10282</v>
      </c>
      <c r="B91" s="1">
        <v>30</v>
      </c>
      <c r="C91" s="1">
        <v>20.7</v>
      </c>
      <c r="D91" s="1">
        <v>6</v>
      </c>
      <c r="E91" s="1">
        <v>0</v>
      </c>
      <c r="F91">
        <f t="shared" si="1"/>
        <v>124.19999999999999</v>
      </c>
    </row>
    <row r="92" spans="1:6" ht="13">
      <c r="A92" s="1">
        <v>10282</v>
      </c>
      <c r="B92" s="1">
        <v>57</v>
      </c>
      <c r="C92" s="1">
        <v>15.6</v>
      </c>
      <c r="D92" s="1">
        <v>2</v>
      </c>
      <c r="E92" s="1">
        <v>0</v>
      </c>
      <c r="F92">
        <f t="shared" si="1"/>
        <v>31.2</v>
      </c>
    </row>
    <row r="93" spans="1:6" ht="13">
      <c r="A93" s="1">
        <v>10283</v>
      </c>
      <c r="B93" s="1">
        <v>15</v>
      </c>
      <c r="C93" s="1">
        <v>12.4</v>
      </c>
      <c r="D93" s="1">
        <v>20</v>
      </c>
      <c r="E93" s="1">
        <v>0</v>
      </c>
      <c r="F93">
        <f t="shared" si="1"/>
        <v>248</v>
      </c>
    </row>
    <row r="94" spans="1:6" ht="13">
      <c r="A94" s="1">
        <v>10283</v>
      </c>
      <c r="B94" s="1">
        <v>19</v>
      </c>
      <c r="C94" s="1">
        <v>7.3</v>
      </c>
      <c r="D94" s="1">
        <v>18</v>
      </c>
      <c r="E94" s="1">
        <v>0</v>
      </c>
      <c r="F94">
        <f t="shared" si="1"/>
        <v>131.4</v>
      </c>
    </row>
    <row r="95" spans="1:6" ht="13">
      <c r="A95" s="1">
        <v>10283</v>
      </c>
      <c r="B95" s="1">
        <v>60</v>
      </c>
      <c r="C95" s="1">
        <v>27.2</v>
      </c>
      <c r="D95" s="1">
        <v>35</v>
      </c>
      <c r="E95" s="1">
        <v>0</v>
      </c>
      <c r="F95">
        <f t="shared" si="1"/>
        <v>952</v>
      </c>
    </row>
    <row r="96" spans="1:6" ht="13">
      <c r="A96" s="1">
        <v>10283</v>
      </c>
      <c r="B96" s="1">
        <v>72</v>
      </c>
      <c r="C96" s="1">
        <v>27.8</v>
      </c>
      <c r="D96" s="1">
        <v>3</v>
      </c>
      <c r="E96" s="1">
        <v>0</v>
      </c>
      <c r="F96">
        <f t="shared" si="1"/>
        <v>83.4</v>
      </c>
    </row>
    <row r="97" spans="1:6" ht="13">
      <c r="A97" s="1">
        <v>10284</v>
      </c>
      <c r="B97" s="1">
        <v>27</v>
      </c>
      <c r="C97" s="1">
        <v>35.1</v>
      </c>
      <c r="D97" s="1">
        <v>15</v>
      </c>
      <c r="E97" s="1">
        <v>0.25</v>
      </c>
      <c r="F97">
        <f t="shared" si="1"/>
        <v>394.875</v>
      </c>
    </row>
    <row r="98" spans="1:6" ht="13">
      <c r="A98" s="1">
        <v>10284</v>
      </c>
      <c r="B98" s="1">
        <v>44</v>
      </c>
      <c r="C98" s="1">
        <v>15.5</v>
      </c>
      <c r="D98" s="1">
        <v>21</v>
      </c>
      <c r="E98" s="1">
        <v>0</v>
      </c>
      <c r="F98">
        <f t="shared" si="1"/>
        <v>325.5</v>
      </c>
    </row>
    <row r="99" spans="1:6" ht="13">
      <c r="A99" s="1">
        <v>10284</v>
      </c>
      <c r="B99" s="1">
        <v>60</v>
      </c>
      <c r="C99" s="1">
        <v>27.2</v>
      </c>
      <c r="D99" s="1">
        <v>20</v>
      </c>
      <c r="E99" s="1">
        <v>0.25</v>
      </c>
      <c r="F99">
        <f t="shared" si="1"/>
        <v>408</v>
      </c>
    </row>
    <row r="100" spans="1:6" ht="13">
      <c r="A100" s="1">
        <v>10284</v>
      </c>
      <c r="B100" s="1">
        <v>67</v>
      </c>
      <c r="C100" s="1">
        <v>11.2</v>
      </c>
      <c r="D100" s="1">
        <v>5</v>
      </c>
      <c r="E100" s="1">
        <v>0.25</v>
      </c>
      <c r="F100">
        <f t="shared" si="1"/>
        <v>42</v>
      </c>
    </row>
    <row r="101" spans="1:6" ht="13">
      <c r="A101" s="1">
        <v>10285</v>
      </c>
      <c r="B101" s="1">
        <v>1</v>
      </c>
      <c r="C101" s="1">
        <v>14.4</v>
      </c>
      <c r="D101" s="1">
        <v>45</v>
      </c>
      <c r="E101" s="1">
        <v>0.2</v>
      </c>
      <c r="F101">
        <f t="shared" si="1"/>
        <v>518.4</v>
      </c>
    </row>
    <row r="102" spans="1:6" ht="13">
      <c r="A102" s="1">
        <v>10285</v>
      </c>
      <c r="B102" s="1">
        <v>40</v>
      </c>
      <c r="C102" s="1">
        <v>14.7</v>
      </c>
      <c r="D102" s="1">
        <v>40</v>
      </c>
      <c r="E102" s="1">
        <v>0.2</v>
      </c>
      <c r="F102">
        <f t="shared" si="1"/>
        <v>470.40000000000003</v>
      </c>
    </row>
    <row r="103" spans="1:6" ht="13">
      <c r="A103" s="1">
        <v>10285</v>
      </c>
      <c r="B103" s="1">
        <v>53</v>
      </c>
      <c r="C103" s="1">
        <v>26.2</v>
      </c>
      <c r="D103" s="1">
        <v>36</v>
      </c>
      <c r="E103" s="1">
        <v>0.2</v>
      </c>
      <c r="F103">
        <f t="shared" si="1"/>
        <v>754.56</v>
      </c>
    </row>
    <row r="104" spans="1:6" ht="13">
      <c r="A104" s="1">
        <v>10286</v>
      </c>
      <c r="B104" s="1">
        <v>35</v>
      </c>
      <c r="C104" s="1">
        <v>14.4</v>
      </c>
      <c r="D104" s="1">
        <v>100</v>
      </c>
      <c r="E104" s="1">
        <v>0</v>
      </c>
      <c r="F104">
        <f t="shared" si="1"/>
        <v>1440</v>
      </c>
    </row>
    <row r="105" spans="1:6" ht="13">
      <c r="A105" s="1">
        <v>10286</v>
      </c>
      <c r="B105" s="1">
        <v>62</v>
      </c>
      <c r="C105" s="1">
        <v>39.4</v>
      </c>
      <c r="D105" s="1">
        <v>40</v>
      </c>
      <c r="E105" s="1">
        <v>0</v>
      </c>
      <c r="F105">
        <f t="shared" si="1"/>
        <v>1576</v>
      </c>
    </row>
    <row r="106" spans="1:6" ht="13">
      <c r="A106" s="1">
        <v>10287</v>
      </c>
      <c r="B106" s="1">
        <v>16</v>
      </c>
      <c r="C106" s="1">
        <v>13.9</v>
      </c>
      <c r="D106" s="1">
        <v>40</v>
      </c>
      <c r="E106" s="1">
        <v>0.15</v>
      </c>
      <c r="F106">
        <f t="shared" si="1"/>
        <v>472.59999999999997</v>
      </c>
    </row>
    <row r="107" spans="1:6" ht="13">
      <c r="A107" s="1">
        <v>10287</v>
      </c>
      <c r="B107" s="1">
        <v>34</v>
      </c>
      <c r="C107" s="1">
        <v>11.2</v>
      </c>
      <c r="D107" s="1">
        <v>20</v>
      </c>
      <c r="E107" s="1">
        <v>0</v>
      </c>
      <c r="F107">
        <f t="shared" si="1"/>
        <v>224</v>
      </c>
    </row>
    <row r="108" spans="1:6" ht="13">
      <c r="A108" s="1">
        <v>10287</v>
      </c>
      <c r="B108" s="1">
        <v>46</v>
      </c>
      <c r="C108" s="1">
        <v>9.6</v>
      </c>
      <c r="D108" s="1">
        <v>15</v>
      </c>
      <c r="E108" s="1">
        <v>0.15</v>
      </c>
      <c r="F108">
        <f t="shared" si="1"/>
        <v>122.39999999999999</v>
      </c>
    </row>
    <row r="109" spans="1:6" ht="13">
      <c r="A109" s="1">
        <v>10288</v>
      </c>
      <c r="B109" s="1">
        <v>54</v>
      </c>
      <c r="C109" s="1">
        <v>5.9</v>
      </c>
      <c r="D109" s="1">
        <v>10</v>
      </c>
      <c r="E109" s="1">
        <v>0.1</v>
      </c>
      <c r="F109">
        <f t="shared" si="1"/>
        <v>53.1</v>
      </c>
    </row>
    <row r="110" spans="1:6" ht="13">
      <c r="A110" s="1">
        <v>10288</v>
      </c>
      <c r="B110" s="1">
        <v>68</v>
      </c>
      <c r="C110" s="1">
        <v>10</v>
      </c>
      <c r="D110" s="1">
        <v>3</v>
      </c>
      <c r="E110" s="1">
        <v>0.1</v>
      </c>
      <c r="F110">
        <f t="shared" si="1"/>
        <v>27</v>
      </c>
    </row>
    <row r="111" spans="1:6" ht="13">
      <c r="A111" s="1">
        <v>10289</v>
      </c>
      <c r="B111" s="1">
        <v>3</v>
      </c>
      <c r="C111" s="1">
        <v>8</v>
      </c>
      <c r="D111" s="1">
        <v>30</v>
      </c>
      <c r="E111" s="1">
        <v>0</v>
      </c>
      <c r="F111">
        <f t="shared" si="1"/>
        <v>240</v>
      </c>
    </row>
    <row r="112" spans="1:6" ht="13">
      <c r="A112" s="1">
        <v>10289</v>
      </c>
      <c r="B112" s="1">
        <v>64</v>
      </c>
      <c r="C112" s="1">
        <v>26.6</v>
      </c>
      <c r="D112" s="1">
        <v>9</v>
      </c>
      <c r="E112" s="1">
        <v>0</v>
      </c>
      <c r="F112">
        <f t="shared" si="1"/>
        <v>239.4</v>
      </c>
    </row>
    <row r="113" spans="1:6" ht="13">
      <c r="A113" s="1">
        <v>10290</v>
      </c>
      <c r="B113" s="1">
        <v>5</v>
      </c>
      <c r="C113" s="1">
        <v>17</v>
      </c>
      <c r="D113" s="1">
        <v>20</v>
      </c>
      <c r="E113" s="1">
        <v>0</v>
      </c>
      <c r="F113">
        <f t="shared" si="1"/>
        <v>340</v>
      </c>
    </row>
    <row r="114" spans="1:6" ht="13">
      <c r="A114" s="1">
        <v>10290</v>
      </c>
      <c r="B114" s="1">
        <v>29</v>
      </c>
      <c r="C114" s="1">
        <v>99</v>
      </c>
      <c r="D114" s="1">
        <v>15</v>
      </c>
      <c r="E114" s="1">
        <v>0</v>
      </c>
      <c r="F114">
        <f t="shared" si="1"/>
        <v>1485</v>
      </c>
    </row>
    <row r="115" spans="1:6" ht="13">
      <c r="A115" s="1">
        <v>10290</v>
      </c>
      <c r="B115" s="1">
        <v>49</v>
      </c>
      <c r="C115" s="1">
        <v>16</v>
      </c>
      <c r="D115" s="1">
        <v>15</v>
      </c>
      <c r="E115" s="1">
        <v>0</v>
      </c>
      <c r="F115">
        <f t="shared" si="1"/>
        <v>240</v>
      </c>
    </row>
    <row r="116" spans="1:6" ht="13">
      <c r="A116" s="1">
        <v>10290</v>
      </c>
      <c r="B116" s="1">
        <v>77</v>
      </c>
      <c r="C116" s="1">
        <v>10.4</v>
      </c>
      <c r="D116" s="1">
        <v>10</v>
      </c>
      <c r="E116" s="1">
        <v>0</v>
      </c>
      <c r="F116">
        <f t="shared" si="1"/>
        <v>104</v>
      </c>
    </row>
    <row r="117" spans="1:6" ht="13">
      <c r="A117" s="1">
        <v>10291</v>
      </c>
      <c r="B117" s="1">
        <v>13</v>
      </c>
      <c r="C117" s="1">
        <v>4.8</v>
      </c>
      <c r="D117" s="1">
        <v>20</v>
      </c>
      <c r="E117" s="1">
        <v>0.1</v>
      </c>
      <c r="F117">
        <f t="shared" si="1"/>
        <v>86.4</v>
      </c>
    </row>
    <row r="118" spans="1:6" ht="13">
      <c r="A118" s="1">
        <v>10291</v>
      </c>
      <c r="B118" s="1">
        <v>44</v>
      </c>
      <c r="C118" s="1">
        <v>15.5</v>
      </c>
      <c r="D118" s="1">
        <v>24</v>
      </c>
      <c r="E118" s="1">
        <v>0.1</v>
      </c>
      <c r="F118">
        <f t="shared" si="1"/>
        <v>334.8</v>
      </c>
    </row>
    <row r="119" spans="1:6" ht="13">
      <c r="A119" s="1">
        <v>10291</v>
      </c>
      <c r="B119" s="1">
        <v>51</v>
      </c>
      <c r="C119" s="1">
        <v>42.4</v>
      </c>
      <c r="D119" s="1">
        <v>2</v>
      </c>
      <c r="E119" s="1">
        <v>0.1</v>
      </c>
      <c r="F119">
        <f t="shared" si="1"/>
        <v>76.319999999999993</v>
      </c>
    </row>
    <row r="120" spans="1:6" ht="13">
      <c r="A120" s="1">
        <v>10292</v>
      </c>
      <c r="B120" s="1">
        <v>20</v>
      </c>
      <c r="C120" s="1">
        <v>64.8</v>
      </c>
      <c r="D120" s="1">
        <v>20</v>
      </c>
      <c r="E120" s="1">
        <v>0</v>
      </c>
      <c r="F120">
        <f t="shared" si="1"/>
        <v>1296</v>
      </c>
    </row>
    <row r="121" spans="1:6" ht="13">
      <c r="A121" s="1">
        <v>10293</v>
      </c>
      <c r="B121" s="1">
        <v>18</v>
      </c>
      <c r="C121" s="1">
        <v>50</v>
      </c>
      <c r="D121" s="1">
        <v>12</v>
      </c>
      <c r="E121" s="1">
        <v>0</v>
      </c>
      <c r="F121">
        <f t="shared" si="1"/>
        <v>600</v>
      </c>
    </row>
    <row r="122" spans="1:6" ht="13">
      <c r="A122" s="1">
        <v>10293</v>
      </c>
      <c r="B122" s="1">
        <v>24</v>
      </c>
      <c r="C122" s="1">
        <v>3.6</v>
      </c>
      <c r="D122" s="1">
        <v>10</v>
      </c>
      <c r="E122" s="1">
        <v>0</v>
      </c>
      <c r="F122">
        <f t="shared" si="1"/>
        <v>36</v>
      </c>
    </row>
    <row r="123" spans="1:6" ht="13">
      <c r="A123" s="1">
        <v>10293</v>
      </c>
      <c r="B123" s="1">
        <v>63</v>
      </c>
      <c r="C123" s="1">
        <v>35.1</v>
      </c>
      <c r="D123" s="1">
        <v>5</v>
      </c>
      <c r="E123" s="1">
        <v>0</v>
      </c>
      <c r="F123">
        <f t="shared" si="1"/>
        <v>175.5</v>
      </c>
    </row>
    <row r="124" spans="1:6" ht="13">
      <c r="A124" s="1">
        <v>10293</v>
      </c>
      <c r="B124" s="1">
        <v>75</v>
      </c>
      <c r="C124" s="1">
        <v>6.2</v>
      </c>
      <c r="D124" s="1">
        <v>6</v>
      </c>
      <c r="E124" s="1">
        <v>0</v>
      </c>
      <c r="F124">
        <f t="shared" si="1"/>
        <v>37.200000000000003</v>
      </c>
    </row>
    <row r="125" spans="1:6" ht="13">
      <c r="A125" s="1">
        <v>10294</v>
      </c>
      <c r="B125" s="1">
        <v>1</v>
      </c>
      <c r="C125" s="1">
        <v>14.4</v>
      </c>
      <c r="D125" s="1">
        <v>18</v>
      </c>
      <c r="E125" s="1">
        <v>0</v>
      </c>
      <c r="F125">
        <f t="shared" si="1"/>
        <v>259.2</v>
      </c>
    </row>
    <row r="126" spans="1:6" ht="13">
      <c r="A126" s="1">
        <v>10294</v>
      </c>
      <c r="B126" s="1">
        <v>17</v>
      </c>
      <c r="C126" s="1">
        <v>31.2</v>
      </c>
      <c r="D126" s="1">
        <v>15</v>
      </c>
      <c r="E126" s="1">
        <v>0</v>
      </c>
      <c r="F126">
        <f t="shared" si="1"/>
        <v>468</v>
      </c>
    </row>
    <row r="127" spans="1:6" ht="13">
      <c r="A127" s="1">
        <v>10294</v>
      </c>
      <c r="B127" s="1">
        <v>43</v>
      </c>
      <c r="C127" s="1">
        <v>36.799999999999997</v>
      </c>
      <c r="D127" s="1">
        <v>15</v>
      </c>
      <c r="E127" s="1">
        <v>0</v>
      </c>
      <c r="F127">
        <f t="shared" si="1"/>
        <v>552</v>
      </c>
    </row>
    <row r="128" spans="1:6" ht="13">
      <c r="A128" s="1">
        <v>10294</v>
      </c>
      <c r="B128" s="1">
        <v>60</v>
      </c>
      <c r="C128" s="1">
        <v>27.2</v>
      </c>
      <c r="D128" s="1">
        <v>21</v>
      </c>
      <c r="E128" s="1">
        <v>0</v>
      </c>
      <c r="F128">
        <f t="shared" si="1"/>
        <v>571.19999999999993</v>
      </c>
    </row>
    <row r="129" spans="1:6" ht="13">
      <c r="A129" s="1">
        <v>10294</v>
      </c>
      <c r="B129" s="1">
        <v>75</v>
      </c>
      <c r="C129" s="1">
        <v>6.2</v>
      </c>
      <c r="D129" s="1">
        <v>6</v>
      </c>
      <c r="E129" s="1">
        <v>0</v>
      </c>
      <c r="F129">
        <f t="shared" si="1"/>
        <v>37.200000000000003</v>
      </c>
    </row>
    <row r="130" spans="1:6" ht="13">
      <c r="A130" s="1">
        <v>10295</v>
      </c>
      <c r="B130" s="1">
        <v>56</v>
      </c>
      <c r="C130" s="1">
        <v>30.4</v>
      </c>
      <c r="D130" s="1">
        <v>4</v>
      </c>
      <c r="E130" s="1">
        <v>0</v>
      </c>
      <c r="F130">
        <f t="shared" si="1"/>
        <v>121.6</v>
      </c>
    </row>
    <row r="131" spans="1:6" ht="13">
      <c r="A131" s="1">
        <v>10296</v>
      </c>
      <c r="B131" s="1">
        <v>11</v>
      </c>
      <c r="C131" s="1">
        <v>16.8</v>
      </c>
      <c r="D131" s="1">
        <v>12</v>
      </c>
      <c r="E131" s="1">
        <v>0</v>
      </c>
      <c r="F131">
        <f t="shared" ref="F131:F194" si="2">C131*D131*(1-E131)</f>
        <v>201.60000000000002</v>
      </c>
    </row>
    <row r="132" spans="1:6" ht="13">
      <c r="A132" s="1">
        <v>10296</v>
      </c>
      <c r="B132" s="1">
        <v>16</v>
      </c>
      <c r="C132" s="1">
        <v>13.9</v>
      </c>
      <c r="D132" s="1">
        <v>30</v>
      </c>
      <c r="E132" s="1">
        <v>0</v>
      </c>
      <c r="F132">
        <f t="shared" si="2"/>
        <v>417</v>
      </c>
    </row>
    <row r="133" spans="1:6" ht="13">
      <c r="A133" s="1">
        <v>10296</v>
      </c>
      <c r="B133" s="1">
        <v>69</v>
      </c>
      <c r="C133" s="1">
        <v>28.8</v>
      </c>
      <c r="D133" s="1">
        <v>15</v>
      </c>
      <c r="E133" s="1">
        <v>0</v>
      </c>
      <c r="F133">
        <f t="shared" si="2"/>
        <v>432</v>
      </c>
    </row>
    <row r="134" spans="1:6" ht="13">
      <c r="A134" s="1">
        <v>10297</v>
      </c>
      <c r="B134" s="1">
        <v>39</v>
      </c>
      <c r="C134" s="1">
        <v>14.4</v>
      </c>
      <c r="D134" s="1">
        <v>60</v>
      </c>
      <c r="E134" s="1">
        <v>0</v>
      </c>
      <c r="F134">
        <f t="shared" si="2"/>
        <v>864</v>
      </c>
    </row>
    <row r="135" spans="1:6" ht="13">
      <c r="A135" s="1">
        <v>10297</v>
      </c>
      <c r="B135" s="1">
        <v>72</v>
      </c>
      <c r="C135" s="1">
        <v>27.8</v>
      </c>
      <c r="D135" s="1">
        <v>20</v>
      </c>
      <c r="E135" s="1">
        <v>0</v>
      </c>
      <c r="F135">
        <f t="shared" si="2"/>
        <v>556</v>
      </c>
    </row>
    <row r="136" spans="1:6" ht="13">
      <c r="A136" s="1">
        <v>10298</v>
      </c>
      <c r="B136" s="1">
        <v>2</v>
      </c>
      <c r="C136" s="1">
        <v>15.2</v>
      </c>
      <c r="D136" s="1">
        <v>40</v>
      </c>
      <c r="E136" s="1">
        <v>0</v>
      </c>
      <c r="F136">
        <f t="shared" si="2"/>
        <v>608</v>
      </c>
    </row>
    <row r="137" spans="1:6" ht="13">
      <c r="A137" s="1">
        <v>10298</v>
      </c>
      <c r="B137" s="1">
        <v>36</v>
      </c>
      <c r="C137" s="1">
        <v>15.2</v>
      </c>
      <c r="D137" s="1">
        <v>40</v>
      </c>
      <c r="E137" s="1">
        <v>0.25</v>
      </c>
      <c r="F137">
        <f t="shared" si="2"/>
        <v>456</v>
      </c>
    </row>
    <row r="138" spans="1:6" ht="13">
      <c r="A138" s="1">
        <v>10298</v>
      </c>
      <c r="B138" s="1">
        <v>59</v>
      </c>
      <c r="C138" s="1">
        <v>44</v>
      </c>
      <c r="D138" s="1">
        <v>30</v>
      </c>
      <c r="E138" s="1">
        <v>0.25</v>
      </c>
      <c r="F138">
        <f t="shared" si="2"/>
        <v>990</v>
      </c>
    </row>
    <row r="139" spans="1:6" ht="13">
      <c r="A139" s="1">
        <v>10298</v>
      </c>
      <c r="B139" s="1">
        <v>62</v>
      </c>
      <c r="C139" s="1">
        <v>39.4</v>
      </c>
      <c r="D139" s="1">
        <v>15</v>
      </c>
      <c r="E139" s="1">
        <v>0</v>
      </c>
      <c r="F139">
        <f t="shared" si="2"/>
        <v>591</v>
      </c>
    </row>
    <row r="140" spans="1:6" ht="13">
      <c r="A140" s="1">
        <v>10299</v>
      </c>
      <c r="B140" s="1">
        <v>19</v>
      </c>
      <c r="C140" s="1">
        <v>7.3</v>
      </c>
      <c r="D140" s="1">
        <v>15</v>
      </c>
      <c r="E140" s="1">
        <v>0</v>
      </c>
      <c r="F140">
        <f t="shared" si="2"/>
        <v>109.5</v>
      </c>
    </row>
    <row r="141" spans="1:6" ht="13">
      <c r="A141" s="1">
        <v>10299</v>
      </c>
      <c r="B141" s="1">
        <v>70</v>
      </c>
      <c r="C141" s="1">
        <v>12</v>
      </c>
      <c r="D141" s="1">
        <v>20</v>
      </c>
      <c r="E141" s="1">
        <v>0</v>
      </c>
      <c r="F141">
        <f t="shared" si="2"/>
        <v>240</v>
      </c>
    </row>
    <row r="142" spans="1:6" ht="13">
      <c r="A142" s="1">
        <v>10300</v>
      </c>
      <c r="B142" s="1">
        <v>66</v>
      </c>
      <c r="C142" s="1">
        <v>13.6</v>
      </c>
      <c r="D142" s="1">
        <v>30</v>
      </c>
      <c r="E142" s="1">
        <v>0</v>
      </c>
      <c r="F142">
        <f t="shared" si="2"/>
        <v>408</v>
      </c>
    </row>
    <row r="143" spans="1:6" ht="13">
      <c r="A143" s="1">
        <v>10300</v>
      </c>
      <c r="B143" s="1">
        <v>68</v>
      </c>
      <c r="C143" s="1">
        <v>10</v>
      </c>
      <c r="D143" s="1">
        <v>20</v>
      </c>
      <c r="E143" s="1">
        <v>0</v>
      </c>
      <c r="F143">
        <f t="shared" si="2"/>
        <v>200</v>
      </c>
    </row>
    <row r="144" spans="1:6" ht="13">
      <c r="A144" s="1">
        <v>10301</v>
      </c>
      <c r="B144" s="1">
        <v>40</v>
      </c>
      <c r="C144" s="1">
        <v>14.7</v>
      </c>
      <c r="D144" s="1">
        <v>10</v>
      </c>
      <c r="E144" s="1">
        <v>0</v>
      </c>
      <c r="F144">
        <f t="shared" si="2"/>
        <v>147</v>
      </c>
    </row>
    <row r="145" spans="1:6" ht="13">
      <c r="A145" s="1">
        <v>10301</v>
      </c>
      <c r="B145" s="1">
        <v>56</v>
      </c>
      <c r="C145" s="1">
        <v>30.4</v>
      </c>
      <c r="D145" s="1">
        <v>20</v>
      </c>
      <c r="E145" s="1">
        <v>0</v>
      </c>
      <c r="F145">
        <f t="shared" si="2"/>
        <v>608</v>
      </c>
    </row>
    <row r="146" spans="1:6" ht="13">
      <c r="A146" s="1">
        <v>10302</v>
      </c>
      <c r="B146" s="1">
        <v>17</v>
      </c>
      <c r="C146" s="1">
        <v>31.2</v>
      </c>
      <c r="D146" s="1">
        <v>40</v>
      </c>
      <c r="E146" s="1">
        <v>0</v>
      </c>
      <c r="F146">
        <f t="shared" si="2"/>
        <v>1248</v>
      </c>
    </row>
    <row r="147" spans="1:6" ht="13">
      <c r="A147" s="1">
        <v>10302</v>
      </c>
      <c r="B147" s="1">
        <v>28</v>
      </c>
      <c r="C147" s="1">
        <v>36.4</v>
      </c>
      <c r="D147" s="1">
        <v>28</v>
      </c>
      <c r="E147" s="1">
        <v>0</v>
      </c>
      <c r="F147">
        <f t="shared" si="2"/>
        <v>1019.1999999999999</v>
      </c>
    </row>
    <row r="148" spans="1:6" ht="13">
      <c r="A148" s="1">
        <v>10302</v>
      </c>
      <c r="B148" s="1">
        <v>43</v>
      </c>
      <c r="C148" s="1">
        <v>36.799999999999997</v>
      </c>
      <c r="D148" s="1">
        <v>12</v>
      </c>
      <c r="E148" s="1">
        <v>0</v>
      </c>
      <c r="F148">
        <f t="shared" si="2"/>
        <v>441.59999999999997</v>
      </c>
    </row>
    <row r="149" spans="1:6" ht="13">
      <c r="A149" s="1">
        <v>10303</v>
      </c>
      <c r="B149" s="1">
        <v>40</v>
      </c>
      <c r="C149" s="1">
        <v>14.7</v>
      </c>
      <c r="D149" s="1">
        <v>40</v>
      </c>
      <c r="E149" s="1">
        <v>0.1</v>
      </c>
      <c r="F149">
        <f t="shared" si="2"/>
        <v>529.20000000000005</v>
      </c>
    </row>
    <row r="150" spans="1:6" ht="13">
      <c r="A150" s="1">
        <v>10303</v>
      </c>
      <c r="B150" s="1">
        <v>65</v>
      </c>
      <c r="C150" s="1">
        <v>16.8</v>
      </c>
      <c r="D150" s="1">
        <v>30</v>
      </c>
      <c r="E150" s="1">
        <v>0.1</v>
      </c>
      <c r="F150">
        <f t="shared" si="2"/>
        <v>453.6</v>
      </c>
    </row>
    <row r="151" spans="1:6" ht="13">
      <c r="A151" s="1">
        <v>10303</v>
      </c>
      <c r="B151" s="1">
        <v>68</v>
      </c>
      <c r="C151" s="1">
        <v>10</v>
      </c>
      <c r="D151" s="1">
        <v>15</v>
      </c>
      <c r="E151" s="1">
        <v>0.1</v>
      </c>
      <c r="F151">
        <f t="shared" si="2"/>
        <v>135</v>
      </c>
    </row>
    <row r="152" spans="1:6" ht="13">
      <c r="A152" s="1">
        <v>10304</v>
      </c>
      <c r="B152" s="1">
        <v>49</v>
      </c>
      <c r="C152" s="1">
        <v>16</v>
      </c>
      <c r="D152" s="1">
        <v>30</v>
      </c>
      <c r="E152" s="1">
        <v>0</v>
      </c>
      <c r="F152">
        <f t="shared" si="2"/>
        <v>480</v>
      </c>
    </row>
    <row r="153" spans="1:6" ht="13">
      <c r="A153" s="1">
        <v>10304</v>
      </c>
      <c r="B153" s="1">
        <v>59</v>
      </c>
      <c r="C153" s="1">
        <v>44</v>
      </c>
      <c r="D153" s="1">
        <v>10</v>
      </c>
      <c r="E153" s="1">
        <v>0</v>
      </c>
      <c r="F153">
        <f t="shared" si="2"/>
        <v>440</v>
      </c>
    </row>
    <row r="154" spans="1:6" ht="13">
      <c r="A154" s="1">
        <v>10304</v>
      </c>
      <c r="B154" s="1">
        <v>71</v>
      </c>
      <c r="C154" s="1">
        <v>17.2</v>
      </c>
      <c r="D154" s="1">
        <v>2</v>
      </c>
      <c r="E154" s="1">
        <v>0</v>
      </c>
      <c r="F154">
        <f t="shared" si="2"/>
        <v>34.4</v>
      </c>
    </row>
    <row r="155" spans="1:6" ht="13">
      <c r="A155" s="1">
        <v>10305</v>
      </c>
      <c r="B155" s="1">
        <v>18</v>
      </c>
      <c r="C155" s="1">
        <v>50</v>
      </c>
      <c r="D155" s="1">
        <v>25</v>
      </c>
      <c r="E155" s="1">
        <v>0.1</v>
      </c>
      <c r="F155">
        <f t="shared" si="2"/>
        <v>1125</v>
      </c>
    </row>
    <row r="156" spans="1:6" ht="13">
      <c r="A156" s="1">
        <v>10305</v>
      </c>
      <c r="B156" s="1">
        <v>29</v>
      </c>
      <c r="C156" s="1">
        <v>99</v>
      </c>
      <c r="D156" s="1">
        <v>25</v>
      </c>
      <c r="E156" s="1">
        <v>0.1</v>
      </c>
      <c r="F156">
        <f t="shared" si="2"/>
        <v>2227.5</v>
      </c>
    </row>
    <row r="157" spans="1:6" ht="13">
      <c r="A157" s="1">
        <v>10305</v>
      </c>
      <c r="B157" s="1">
        <v>39</v>
      </c>
      <c r="C157" s="1">
        <v>14.4</v>
      </c>
      <c r="D157" s="1">
        <v>30</v>
      </c>
      <c r="E157" s="1">
        <v>0.1</v>
      </c>
      <c r="F157">
        <f t="shared" si="2"/>
        <v>388.8</v>
      </c>
    </row>
    <row r="158" spans="1:6" ht="13">
      <c r="A158" s="1">
        <v>10306</v>
      </c>
      <c r="B158" s="1">
        <v>30</v>
      </c>
      <c r="C158" s="1">
        <v>20.7</v>
      </c>
      <c r="D158" s="1">
        <v>10</v>
      </c>
      <c r="E158" s="1">
        <v>0</v>
      </c>
      <c r="F158">
        <f t="shared" si="2"/>
        <v>207</v>
      </c>
    </row>
    <row r="159" spans="1:6" ht="13">
      <c r="A159" s="1">
        <v>10306</v>
      </c>
      <c r="B159" s="1">
        <v>53</v>
      </c>
      <c r="C159" s="1">
        <v>26.2</v>
      </c>
      <c r="D159" s="1">
        <v>10</v>
      </c>
      <c r="E159" s="1">
        <v>0</v>
      </c>
      <c r="F159">
        <f t="shared" si="2"/>
        <v>262</v>
      </c>
    </row>
    <row r="160" spans="1:6" ht="13">
      <c r="A160" s="1">
        <v>10306</v>
      </c>
      <c r="B160" s="1">
        <v>54</v>
      </c>
      <c r="C160" s="1">
        <v>5.9</v>
      </c>
      <c r="D160" s="1">
        <v>5</v>
      </c>
      <c r="E160" s="1">
        <v>0</v>
      </c>
      <c r="F160">
        <f t="shared" si="2"/>
        <v>29.5</v>
      </c>
    </row>
    <row r="161" spans="1:6" ht="13">
      <c r="A161" s="1">
        <v>10307</v>
      </c>
      <c r="B161" s="1">
        <v>62</v>
      </c>
      <c r="C161" s="1">
        <v>39.4</v>
      </c>
      <c r="D161" s="1">
        <v>10</v>
      </c>
      <c r="E161" s="1">
        <v>0</v>
      </c>
      <c r="F161">
        <f t="shared" si="2"/>
        <v>394</v>
      </c>
    </row>
    <row r="162" spans="1:6" ht="13">
      <c r="A162" s="1">
        <v>10307</v>
      </c>
      <c r="B162" s="1">
        <v>68</v>
      </c>
      <c r="C162" s="1">
        <v>10</v>
      </c>
      <c r="D162" s="1">
        <v>3</v>
      </c>
      <c r="E162" s="1">
        <v>0</v>
      </c>
      <c r="F162">
        <f t="shared" si="2"/>
        <v>30</v>
      </c>
    </row>
    <row r="163" spans="1:6" ht="13">
      <c r="A163" s="1">
        <v>10308</v>
      </c>
      <c r="B163" s="1">
        <v>69</v>
      </c>
      <c r="C163" s="1">
        <v>28.8</v>
      </c>
      <c r="D163" s="1">
        <v>1</v>
      </c>
      <c r="E163" s="1">
        <v>0</v>
      </c>
      <c r="F163">
        <f t="shared" si="2"/>
        <v>28.8</v>
      </c>
    </row>
    <row r="164" spans="1:6" ht="13">
      <c r="A164" s="1">
        <v>10308</v>
      </c>
      <c r="B164" s="1">
        <v>70</v>
      </c>
      <c r="C164" s="1">
        <v>12</v>
      </c>
      <c r="D164" s="1">
        <v>5</v>
      </c>
      <c r="E164" s="1">
        <v>0</v>
      </c>
      <c r="F164">
        <f t="shared" si="2"/>
        <v>60</v>
      </c>
    </row>
    <row r="165" spans="1:6" ht="13">
      <c r="A165" s="1">
        <v>10309</v>
      </c>
      <c r="B165" s="1">
        <v>4</v>
      </c>
      <c r="C165" s="1">
        <v>17.600000000000001</v>
      </c>
      <c r="D165" s="1">
        <v>20</v>
      </c>
      <c r="E165" s="1">
        <v>0</v>
      </c>
      <c r="F165">
        <f t="shared" si="2"/>
        <v>352</v>
      </c>
    </row>
    <row r="166" spans="1:6" ht="13">
      <c r="A166" s="1">
        <v>10309</v>
      </c>
      <c r="B166" s="1">
        <v>6</v>
      </c>
      <c r="C166" s="1">
        <v>20</v>
      </c>
      <c r="D166" s="1">
        <v>30</v>
      </c>
      <c r="E166" s="1">
        <v>0</v>
      </c>
      <c r="F166">
        <f t="shared" si="2"/>
        <v>600</v>
      </c>
    </row>
    <row r="167" spans="1:6" ht="13">
      <c r="A167" s="1">
        <v>10309</v>
      </c>
      <c r="B167" s="1">
        <v>42</v>
      </c>
      <c r="C167" s="1">
        <v>11.2</v>
      </c>
      <c r="D167" s="1">
        <v>2</v>
      </c>
      <c r="E167" s="1">
        <v>0</v>
      </c>
      <c r="F167">
        <f t="shared" si="2"/>
        <v>22.4</v>
      </c>
    </row>
    <row r="168" spans="1:6" ht="13">
      <c r="A168" s="1">
        <v>10309</v>
      </c>
      <c r="B168" s="1">
        <v>43</v>
      </c>
      <c r="C168" s="1">
        <v>36.799999999999997</v>
      </c>
      <c r="D168" s="1">
        <v>20</v>
      </c>
      <c r="E168" s="1">
        <v>0</v>
      </c>
      <c r="F168">
        <f t="shared" si="2"/>
        <v>736</v>
      </c>
    </row>
    <row r="169" spans="1:6" ht="13">
      <c r="A169" s="1">
        <v>10309</v>
      </c>
      <c r="B169" s="1">
        <v>71</v>
      </c>
      <c r="C169" s="1">
        <v>17.2</v>
      </c>
      <c r="D169" s="1">
        <v>3</v>
      </c>
      <c r="E169" s="1">
        <v>0</v>
      </c>
      <c r="F169">
        <f t="shared" si="2"/>
        <v>51.599999999999994</v>
      </c>
    </row>
    <row r="170" spans="1:6" ht="13">
      <c r="A170" s="1">
        <v>10310</v>
      </c>
      <c r="B170" s="1">
        <v>16</v>
      </c>
      <c r="C170" s="1">
        <v>13.9</v>
      </c>
      <c r="D170" s="1">
        <v>10</v>
      </c>
      <c r="E170" s="1">
        <v>0</v>
      </c>
      <c r="F170">
        <f t="shared" si="2"/>
        <v>139</v>
      </c>
    </row>
    <row r="171" spans="1:6" ht="13">
      <c r="A171" s="1">
        <v>10310</v>
      </c>
      <c r="B171" s="1">
        <v>62</v>
      </c>
      <c r="C171" s="1">
        <v>39.4</v>
      </c>
      <c r="D171" s="1">
        <v>5</v>
      </c>
      <c r="E171" s="1">
        <v>0</v>
      </c>
      <c r="F171">
        <f t="shared" si="2"/>
        <v>197</v>
      </c>
    </row>
    <row r="172" spans="1:6" ht="13">
      <c r="A172" s="1">
        <v>10311</v>
      </c>
      <c r="B172" s="1">
        <v>42</v>
      </c>
      <c r="C172" s="1">
        <v>11.2</v>
      </c>
      <c r="D172" s="1">
        <v>6</v>
      </c>
      <c r="E172" s="1">
        <v>0</v>
      </c>
      <c r="F172">
        <f t="shared" si="2"/>
        <v>67.199999999999989</v>
      </c>
    </row>
    <row r="173" spans="1:6" ht="13">
      <c r="A173" s="1">
        <v>10311</v>
      </c>
      <c r="B173" s="1">
        <v>69</v>
      </c>
      <c r="C173" s="1">
        <v>28.8</v>
      </c>
      <c r="D173" s="1">
        <v>7</v>
      </c>
      <c r="E173" s="1">
        <v>0</v>
      </c>
      <c r="F173">
        <f t="shared" si="2"/>
        <v>201.6</v>
      </c>
    </row>
    <row r="174" spans="1:6" ht="13">
      <c r="A174" s="1">
        <v>10312</v>
      </c>
      <c r="B174" s="1">
        <v>28</v>
      </c>
      <c r="C174" s="1">
        <v>36.4</v>
      </c>
      <c r="D174" s="1">
        <v>4</v>
      </c>
      <c r="E174" s="1">
        <v>0</v>
      </c>
      <c r="F174">
        <f t="shared" si="2"/>
        <v>145.6</v>
      </c>
    </row>
    <row r="175" spans="1:6" ht="13">
      <c r="A175" s="1">
        <v>10312</v>
      </c>
      <c r="B175" s="1">
        <v>43</v>
      </c>
      <c r="C175" s="1">
        <v>36.799999999999997</v>
      </c>
      <c r="D175" s="1">
        <v>24</v>
      </c>
      <c r="E175" s="1">
        <v>0</v>
      </c>
      <c r="F175">
        <f t="shared" si="2"/>
        <v>883.19999999999993</v>
      </c>
    </row>
    <row r="176" spans="1:6" ht="13">
      <c r="A176" s="1">
        <v>10312</v>
      </c>
      <c r="B176" s="1">
        <v>53</v>
      </c>
      <c r="C176" s="1">
        <v>26.2</v>
      </c>
      <c r="D176" s="1">
        <v>20</v>
      </c>
      <c r="E176" s="1">
        <v>0</v>
      </c>
      <c r="F176">
        <f t="shared" si="2"/>
        <v>524</v>
      </c>
    </row>
    <row r="177" spans="1:6" ht="13">
      <c r="A177" s="1">
        <v>10312</v>
      </c>
      <c r="B177" s="1">
        <v>75</v>
      </c>
      <c r="C177" s="1">
        <v>6.2</v>
      </c>
      <c r="D177" s="1">
        <v>10</v>
      </c>
      <c r="E177" s="1">
        <v>0</v>
      </c>
      <c r="F177">
        <f t="shared" si="2"/>
        <v>62</v>
      </c>
    </row>
    <row r="178" spans="1:6" ht="13">
      <c r="A178" s="1">
        <v>10313</v>
      </c>
      <c r="B178" s="1">
        <v>36</v>
      </c>
      <c r="C178" s="1">
        <v>15.2</v>
      </c>
      <c r="D178" s="1">
        <v>12</v>
      </c>
      <c r="E178" s="1">
        <v>0</v>
      </c>
      <c r="F178">
        <f t="shared" si="2"/>
        <v>182.39999999999998</v>
      </c>
    </row>
    <row r="179" spans="1:6" ht="13">
      <c r="A179" s="1">
        <v>10314</v>
      </c>
      <c r="B179" s="1">
        <v>32</v>
      </c>
      <c r="C179" s="1">
        <v>25.6</v>
      </c>
      <c r="D179" s="1">
        <v>40</v>
      </c>
      <c r="E179" s="1">
        <v>0.1</v>
      </c>
      <c r="F179">
        <f t="shared" si="2"/>
        <v>921.6</v>
      </c>
    </row>
    <row r="180" spans="1:6" ht="13">
      <c r="A180" s="1">
        <v>10314</v>
      </c>
      <c r="B180" s="1">
        <v>58</v>
      </c>
      <c r="C180" s="1">
        <v>10.6</v>
      </c>
      <c r="D180" s="1">
        <v>30</v>
      </c>
      <c r="E180" s="1">
        <v>0.1</v>
      </c>
      <c r="F180">
        <f t="shared" si="2"/>
        <v>286.2</v>
      </c>
    </row>
    <row r="181" spans="1:6" ht="13">
      <c r="A181" s="1">
        <v>10314</v>
      </c>
      <c r="B181" s="1">
        <v>62</v>
      </c>
      <c r="C181" s="1">
        <v>39.4</v>
      </c>
      <c r="D181" s="1">
        <v>25</v>
      </c>
      <c r="E181" s="1">
        <v>0.1</v>
      </c>
      <c r="F181">
        <f t="shared" si="2"/>
        <v>886.5</v>
      </c>
    </row>
    <row r="182" spans="1:6" ht="13">
      <c r="A182" s="1">
        <v>10315</v>
      </c>
      <c r="B182" s="1">
        <v>34</v>
      </c>
      <c r="C182" s="1">
        <v>11.2</v>
      </c>
      <c r="D182" s="1">
        <v>14</v>
      </c>
      <c r="E182" s="1">
        <v>0</v>
      </c>
      <c r="F182">
        <f t="shared" si="2"/>
        <v>156.79999999999998</v>
      </c>
    </row>
    <row r="183" spans="1:6" ht="13">
      <c r="A183" s="1">
        <v>10315</v>
      </c>
      <c r="B183" s="1">
        <v>70</v>
      </c>
      <c r="C183" s="1">
        <v>12</v>
      </c>
      <c r="D183" s="1">
        <v>30</v>
      </c>
      <c r="E183" s="1">
        <v>0</v>
      </c>
      <c r="F183">
        <f t="shared" si="2"/>
        <v>360</v>
      </c>
    </row>
    <row r="184" spans="1:6" ht="13">
      <c r="A184" s="1">
        <v>10316</v>
      </c>
      <c r="B184" s="1">
        <v>41</v>
      </c>
      <c r="C184" s="1">
        <v>7.7</v>
      </c>
      <c r="D184" s="1">
        <v>10</v>
      </c>
      <c r="E184" s="1">
        <v>0</v>
      </c>
      <c r="F184">
        <f t="shared" si="2"/>
        <v>77</v>
      </c>
    </row>
    <row r="185" spans="1:6" ht="13">
      <c r="A185" s="1">
        <v>10316</v>
      </c>
      <c r="B185" s="1">
        <v>62</v>
      </c>
      <c r="C185" s="1">
        <v>39.4</v>
      </c>
      <c r="D185" s="1">
        <v>70</v>
      </c>
      <c r="E185" s="1">
        <v>0</v>
      </c>
      <c r="F185">
        <f t="shared" si="2"/>
        <v>2758</v>
      </c>
    </row>
    <row r="186" spans="1:6" ht="13">
      <c r="A186" s="1">
        <v>10317</v>
      </c>
      <c r="B186" s="1">
        <v>1</v>
      </c>
      <c r="C186" s="1">
        <v>14.4</v>
      </c>
      <c r="D186" s="1">
        <v>20</v>
      </c>
      <c r="E186" s="1">
        <v>0</v>
      </c>
      <c r="F186">
        <f t="shared" si="2"/>
        <v>288</v>
      </c>
    </row>
    <row r="187" spans="1:6" ht="13">
      <c r="A187" s="1">
        <v>10318</v>
      </c>
      <c r="B187" s="1">
        <v>41</v>
      </c>
      <c r="C187" s="1">
        <v>7.7</v>
      </c>
      <c r="D187" s="1">
        <v>20</v>
      </c>
      <c r="E187" s="1">
        <v>0</v>
      </c>
      <c r="F187">
        <f t="shared" si="2"/>
        <v>154</v>
      </c>
    </row>
    <row r="188" spans="1:6" ht="13">
      <c r="A188" s="1">
        <v>10318</v>
      </c>
      <c r="B188" s="1">
        <v>76</v>
      </c>
      <c r="C188" s="1">
        <v>14.4</v>
      </c>
      <c r="D188" s="1">
        <v>6</v>
      </c>
      <c r="E188" s="1">
        <v>0</v>
      </c>
      <c r="F188">
        <f t="shared" si="2"/>
        <v>86.4</v>
      </c>
    </row>
    <row r="189" spans="1:6" ht="13">
      <c r="A189" s="1">
        <v>10319</v>
      </c>
      <c r="B189" s="1">
        <v>17</v>
      </c>
      <c r="C189" s="1">
        <v>31.2</v>
      </c>
      <c r="D189" s="1">
        <v>8</v>
      </c>
      <c r="E189" s="1">
        <v>0</v>
      </c>
      <c r="F189">
        <f t="shared" si="2"/>
        <v>249.6</v>
      </c>
    </row>
    <row r="190" spans="1:6" ht="13">
      <c r="A190" s="1">
        <v>10319</v>
      </c>
      <c r="B190" s="1">
        <v>28</v>
      </c>
      <c r="C190" s="1">
        <v>36.4</v>
      </c>
      <c r="D190" s="1">
        <v>14</v>
      </c>
      <c r="E190" s="1">
        <v>0</v>
      </c>
      <c r="F190">
        <f t="shared" si="2"/>
        <v>509.59999999999997</v>
      </c>
    </row>
    <row r="191" spans="1:6" ht="13">
      <c r="A191" s="1">
        <v>10319</v>
      </c>
      <c r="B191" s="1">
        <v>76</v>
      </c>
      <c r="C191" s="1">
        <v>14.4</v>
      </c>
      <c r="D191" s="1">
        <v>30</v>
      </c>
      <c r="E191" s="1">
        <v>0</v>
      </c>
      <c r="F191">
        <f t="shared" si="2"/>
        <v>432</v>
      </c>
    </row>
    <row r="192" spans="1:6" ht="13">
      <c r="A192" s="1">
        <v>10320</v>
      </c>
      <c r="B192" s="1">
        <v>71</v>
      </c>
      <c r="C192" s="1">
        <v>17.2</v>
      </c>
      <c r="D192" s="1">
        <v>30</v>
      </c>
      <c r="E192" s="1">
        <v>0</v>
      </c>
      <c r="F192">
        <f t="shared" si="2"/>
        <v>516</v>
      </c>
    </row>
    <row r="193" spans="1:6" ht="13">
      <c r="A193" s="1">
        <v>10321</v>
      </c>
      <c r="B193" s="1">
        <v>35</v>
      </c>
      <c r="C193" s="1">
        <v>14.4</v>
      </c>
      <c r="D193" s="1">
        <v>10</v>
      </c>
      <c r="E193" s="1">
        <v>0</v>
      </c>
      <c r="F193">
        <f t="shared" si="2"/>
        <v>144</v>
      </c>
    </row>
    <row r="194" spans="1:6" ht="13">
      <c r="A194" s="1">
        <v>10322</v>
      </c>
      <c r="B194" s="1">
        <v>52</v>
      </c>
      <c r="C194" s="1">
        <v>5.6</v>
      </c>
      <c r="D194" s="1">
        <v>20</v>
      </c>
      <c r="E194" s="1">
        <v>0</v>
      </c>
      <c r="F194">
        <f t="shared" si="2"/>
        <v>112</v>
      </c>
    </row>
    <row r="195" spans="1:6" ht="13">
      <c r="A195" s="1">
        <v>10323</v>
      </c>
      <c r="B195" s="1">
        <v>15</v>
      </c>
      <c r="C195" s="1">
        <v>12.4</v>
      </c>
      <c r="D195" s="1">
        <v>5</v>
      </c>
      <c r="E195" s="1">
        <v>0</v>
      </c>
      <c r="F195">
        <f t="shared" ref="F195:F258" si="3">C195*D195*(1-E195)</f>
        <v>62</v>
      </c>
    </row>
    <row r="196" spans="1:6" ht="13">
      <c r="A196" s="1">
        <v>10323</v>
      </c>
      <c r="B196" s="1">
        <v>25</v>
      </c>
      <c r="C196" s="1">
        <v>11.2</v>
      </c>
      <c r="D196" s="1">
        <v>4</v>
      </c>
      <c r="E196" s="1">
        <v>0</v>
      </c>
      <c r="F196">
        <f t="shared" si="3"/>
        <v>44.8</v>
      </c>
    </row>
    <row r="197" spans="1:6" ht="13">
      <c r="A197" s="1">
        <v>10323</v>
      </c>
      <c r="B197" s="1">
        <v>39</v>
      </c>
      <c r="C197" s="1">
        <v>14.4</v>
      </c>
      <c r="D197" s="1">
        <v>4</v>
      </c>
      <c r="E197" s="1">
        <v>0</v>
      </c>
      <c r="F197">
        <f t="shared" si="3"/>
        <v>57.6</v>
      </c>
    </row>
    <row r="198" spans="1:6" ht="13">
      <c r="A198" s="1">
        <v>10324</v>
      </c>
      <c r="B198" s="1">
        <v>16</v>
      </c>
      <c r="C198" s="1">
        <v>13.9</v>
      </c>
      <c r="D198" s="1">
        <v>21</v>
      </c>
      <c r="E198" s="1">
        <v>0.15</v>
      </c>
      <c r="F198">
        <f t="shared" si="3"/>
        <v>248.11500000000001</v>
      </c>
    </row>
    <row r="199" spans="1:6" ht="13">
      <c r="A199" s="1">
        <v>10324</v>
      </c>
      <c r="B199" s="1">
        <v>35</v>
      </c>
      <c r="C199" s="1">
        <v>14.4</v>
      </c>
      <c r="D199" s="1">
        <v>70</v>
      </c>
      <c r="E199" s="1">
        <v>0.15</v>
      </c>
      <c r="F199">
        <f t="shared" si="3"/>
        <v>856.8</v>
      </c>
    </row>
    <row r="200" spans="1:6" ht="13">
      <c r="A200" s="1">
        <v>10324</v>
      </c>
      <c r="B200" s="1">
        <v>46</v>
      </c>
      <c r="C200" s="1">
        <v>9.6</v>
      </c>
      <c r="D200" s="1">
        <v>30</v>
      </c>
      <c r="E200" s="1">
        <v>0</v>
      </c>
      <c r="F200">
        <f t="shared" si="3"/>
        <v>288</v>
      </c>
    </row>
    <row r="201" spans="1:6" ht="13">
      <c r="A201" s="1">
        <v>10324</v>
      </c>
      <c r="B201" s="1">
        <v>59</v>
      </c>
      <c r="C201" s="1">
        <v>44</v>
      </c>
      <c r="D201" s="1">
        <v>40</v>
      </c>
      <c r="E201" s="1">
        <v>0.15</v>
      </c>
      <c r="F201">
        <f t="shared" si="3"/>
        <v>1496</v>
      </c>
    </row>
    <row r="202" spans="1:6" ht="13">
      <c r="A202" s="1">
        <v>10324</v>
      </c>
      <c r="B202" s="1">
        <v>63</v>
      </c>
      <c r="C202" s="1">
        <v>35.1</v>
      </c>
      <c r="D202" s="1">
        <v>80</v>
      </c>
      <c r="E202" s="1">
        <v>0.15</v>
      </c>
      <c r="F202">
        <f t="shared" si="3"/>
        <v>2386.7999999999997</v>
      </c>
    </row>
    <row r="203" spans="1:6" ht="13">
      <c r="A203" s="1">
        <v>10325</v>
      </c>
      <c r="B203" s="1">
        <v>6</v>
      </c>
      <c r="C203" s="1">
        <v>20</v>
      </c>
      <c r="D203" s="1">
        <v>6</v>
      </c>
      <c r="E203" s="1">
        <v>0</v>
      </c>
      <c r="F203">
        <f t="shared" si="3"/>
        <v>120</v>
      </c>
    </row>
    <row r="204" spans="1:6" ht="13">
      <c r="A204" s="1">
        <v>10325</v>
      </c>
      <c r="B204" s="1">
        <v>13</v>
      </c>
      <c r="C204" s="1">
        <v>4.8</v>
      </c>
      <c r="D204" s="1">
        <v>12</v>
      </c>
      <c r="E204" s="1">
        <v>0</v>
      </c>
      <c r="F204">
        <f t="shared" si="3"/>
        <v>57.599999999999994</v>
      </c>
    </row>
    <row r="205" spans="1:6" ht="13">
      <c r="A205" s="1">
        <v>10325</v>
      </c>
      <c r="B205" s="1">
        <v>14</v>
      </c>
      <c r="C205" s="1">
        <v>18.600000000000001</v>
      </c>
      <c r="D205" s="1">
        <v>9</v>
      </c>
      <c r="E205" s="1">
        <v>0</v>
      </c>
      <c r="F205">
        <f t="shared" si="3"/>
        <v>167.4</v>
      </c>
    </row>
    <row r="206" spans="1:6" ht="13">
      <c r="A206" s="1">
        <v>10325</v>
      </c>
      <c r="B206" s="1">
        <v>31</v>
      </c>
      <c r="C206" s="1">
        <v>10</v>
      </c>
      <c r="D206" s="1">
        <v>4</v>
      </c>
      <c r="E206" s="1">
        <v>0</v>
      </c>
      <c r="F206">
        <f t="shared" si="3"/>
        <v>40</v>
      </c>
    </row>
    <row r="207" spans="1:6" ht="13">
      <c r="A207" s="1">
        <v>10325</v>
      </c>
      <c r="B207" s="1">
        <v>72</v>
      </c>
      <c r="C207" s="1">
        <v>27.8</v>
      </c>
      <c r="D207" s="1">
        <v>40</v>
      </c>
      <c r="E207" s="1">
        <v>0</v>
      </c>
      <c r="F207">
        <f t="shared" si="3"/>
        <v>1112</v>
      </c>
    </row>
    <row r="208" spans="1:6" ht="13">
      <c r="A208" s="1">
        <v>10326</v>
      </c>
      <c r="B208" s="1">
        <v>4</v>
      </c>
      <c r="C208" s="1">
        <v>17.600000000000001</v>
      </c>
      <c r="D208" s="1">
        <v>24</v>
      </c>
      <c r="E208" s="1">
        <v>0</v>
      </c>
      <c r="F208">
        <f t="shared" si="3"/>
        <v>422.40000000000003</v>
      </c>
    </row>
    <row r="209" spans="1:6" ht="13">
      <c r="A209" s="1">
        <v>10326</v>
      </c>
      <c r="B209" s="1">
        <v>57</v>
      </c>
      <c r="C209" s="1">
        <v>15.6</v>
      </c>
      <c r="D209" s="1">
        <v>16</v>
      </c>
      <c r="E209" s="1">
        <v>0</v>
      </c>
      <c r="F209">
        <f t="shared" si="3"/>
        <v>249.6</v>
      </c>
    </row>
    <row r="210" spans="1:6" ht="13">
      <c r="A210" s="1">
        <v>10326</v>
      </c>
      <c r="B210" s="1">
        <v>75</v>
      </c>
      <c r="C210" s="1">
        <v>6.2</v>
      </c>
      <c r="D210" s="1">
        <v>50</v>
      </c>
      <c r="E210" s="1">
        <v>0</v>
      </c>
      <c r="F210">
        <f t="shared" si="3"/>
        <v>310</v>
      </c>
    </row>
    <row r="211" spans="1:6" ht="13">
      <c r="A211" s="1">
        <v>10327</v>
      </c>
      <c r="B211" s="1">
        <v>2</v>
      </c>
      <c r="C211" s="1">
        <v>15.2</v>
      </c>
      <c r="D211" s="1">
        <v>25</v>
      </c>
      <c r="E211" s="1">
        <v>0.2</v>
      </c>
      <c r="F211">
        <f t="shared" si="3"/>
        <v>304</v>
      </c>
    </row>
    <row r="212" spans="1:6" ht="13">
      <c r="A212" s="1">
        <v>10327</v>
      </c>
      <c r="B212" s="1">
        <v>11</v>
      </c>
      <c r="C212" s="1">
        <v>16.8</v>
      </c>
      <c r="D212" s="1">
        <v>50</v>
      </c>
      <c r="E212" s="1">
        <v>0.2</v>
      </c>
      <c r="F212">
        <f t="shared" si="3"/>
        <v>672</v>
      </c>
    </row>
    <row r="213" spans="1:6" ht="13">
      <c r="A213" s="1">
        <v>10327</v>
      </c>
      <c r="B213" s="1">
        <v>30</v>
      </c>
      <c r="C213" s="1">
        <v>20.7</v>
      </c>
      <c r="D213" s="1">
        <v>35</v>
      </c>
      <c r="E213" s="1">
        <v>0.2</v>
      </c>
      <c r="F213">
        <f t="shared" si="3"/>
        <v>579.6</v>
      </c>
    </row>
    <row r="214" spans="1:6" ht="13">
      <c r="A214" s="1">
        <v>10327</v>
      </c>
      <c r="B214" s="1">
        <v>58</v>
      </c>
      <c r="C214" s="1">
        <v>10.6</v>
      </c>
      <c r="D214" s="1">
        <v>30</v>
      </c>
      <c r="E214" s="1">
        <v>0.2</v>
      </c>
      <c r="F214">
        <f t="shared" si="3"/>
        <v>254.4</v>
      </c>
    </row>
    <row r="215" spans="1:6" ht="13">
      <c r="A215" s="1">
        <v>10328</v>
      </c>
      <c r="B215" s="1">
        <v>59</v>
      </c>
      <c r="C215" s="1">
        <v>44</v>
      </c>
      <c r="D215" s="1">
        <v>9</v>
      </c>
      <c r="E215" s="1">
        <v>0</v>
      </c>
      <c r="F215">
        <f t="shared" si="3"/>
        <v>396</v>
      </c>
    </row>
    <row r="216" spans="1:6" ht="13">
      <c r="A216" s="1">
        <v>10328</v>
      </c>
      <c r="B216" s="1">
        <v>65</v>
      </c>
      <c r="C216" s="1">
        <v>16.8</v>
      </c>
      <c r="D216" s="1">
        <v>40</v>
      </c>
      <c r="E216" s="1">
        <v>0</v>
      </c>
      <c r="F216">
        <f t="shared" si="3"/>
        <v>672</v>
      </c>
    </row>
    <row r="217" spans="1:6" ht="13">
      <c r="A217" s="1">
        <v>10328</v>
      </c>
      <c r="B217" s="1">
        <v>68</v>
      </c>
      <c r="C217" s="1">
        <v>10</v>
      </c>
      <c r="D217" s="1">
        <v>10</v>
      </c>
      <c r="E217" s="1">
        <v>0</v>
      </c>
      <c r="F217">
        <f t="shared" si="3"/>
        <v>100</v>
      </c>
    </row>
    <row r="218" spans="1:6" ht="13">
      <c r="A218" s="1">
        <v>10329</v>
      </c>
      <c r="B218" s="1">
        <v>19</v>
      </c>
      <c r="C218" s="1">
        <v>7.3</v>
      </c>
      <c r="D218" s="1">
        <v>10</v>
      </c>
      <c r="E218" s="1">
        <v>0.05</v>
      </c>
      <c r="F218">
        <f t="shared" si="3"/>
        <v>69.349999999999994</v>
      </c>
    </row>
    <row r="219" spans="1:6" ht="13">
      <c r="A219" s="1">
        <v>10329</v>
      </c>
      <c r="B219" s="1">
        <v>30</v>
      </c>
      <c r="C219" s="1">
        <v>20.7</v>
      </c>
      <c r="D219" s="1">
        <v>8</v>
      </c>
      <c r="E219" s="1">
        <v>0.05</v>
      </c>
      <c r="F219">
        <f t="shared" si="3"/>
        <v>157.32</v>
      </c>
    </row>
    <row r="220" spans="1:6" ht="13">
      <c r="A220" s="1">
        <v>10329</v>
      </c>
      <c r="B220" s="1">
        <v>38</v>
      </c>
      <c r="C220" s="1">
        <v>210.8</v>
      </c>
      <c r="D220" s="1">
        <v>20</v>
      </c>
      <c r="E220" s="1">
        <v>0.05</v>
      </c>
      <c r="F220">
        <f t="shared" si="3"/>
        <v>4005.2</v>
      </c>
    </row>
    <row r="221" spans="1:6" ht="13">
      <c r="A221" s="1">
        <v>10329</v>
      </c>
      <c r="B221" s="1">
        <v>56</v>
      </c>
      <c r="C221" s="1">
        <v>30.4</v>
      </c>
      <c r="D221" s="1">
        <v>12</v>
      </c>
      <c r="E221" s="1">
        <v>0.05</v>
      </c>
      <c r="F221">
        <f t="shared" si="3"/>
        <v>346.55999999999995</v>
      </c>
    </row>
    <row r="222" spans="1:6" ht="13">
      <c r="A222" s="1">
        <v>10330</v>
      </c>
      <c r="B222" s="1">
        <v>26</v>
      </c>
      <c r="C222" s="1">
        <v>24.9</v>
      </c>
      <c r="D222" s="1">
        <v>50</v>
      </c>
      <c r="E222" s="1">
        <v>0.15</v>
      </c>
      <c r="F222">
        <f t="shared" si="3"/>
        <v>1058.25</v>
      </c>
    </row>
    <row r="223" spans="1:6" ht="13">
      <c r="A223" s="1">
        <v>10330</v>
      </c>
      <c r="B223" s="1">
        <v>72</v>
      </c>
      <c r="C223" s="1">
        <v>27.8</v>
      </c>
      <c r="D223" s="1">
        <v>25</v>
      </c>
      <c r="E223" s="1">
        <v>0.15</v>
      </c>
      <c r="F223">
        <f t="shared" si="3"/>
        <v>590.75</v>
      </c>
    </row>
    <row r="224" spans="1:6" ht="13">
      <c r="A224" s="1">
        <v>10331</v>
      </c>
      <c r="B224" s="1">
        <v>54</v>
      </c>
      <c r="C224" s="1">
        <v>5.9</v>
      </c>
      <c r="D224" s="1">
        <v>15</v>
      </c>
      <c r="E224" s="1">
        <v>0</v>
      </c>
      <c r="F224">
        <f t="shared" si="3"/>
        <v>88.5</v>
      </c>
    </row>
    <row r="225" spans="1:6" ht="13">
      <c r="A225" s="1">
        <v>10332</v>
      </c>
      <c r="B225" s="1">
        <v>18</v>
      </c>
      <c r="C225" s="1">
        <v>50</v>
      </c>
      <c r="D225" s="1">
        <v>40</v>
      </c>
      <c r="E225" s="1">
        <v>0.2</v>
      </c>
      <c r="F225">
        <f t="shared" si="3"/>
        <v>1600</v>
      </c>
    </row>
    <row r="226" spans="1:6" ht="13">
      <c r="A226" s="1">
        <v>10332</v>
      </c>
      <c r="B226" s="1">
        <v>42</v>
      </c>
      <c r="C226" s="1">
        <v>11.2</v>
      </c>
      <c r="D226" s="1">
        <v>10</v>
      </c>
      <c r="E226" s="1">
        <v>0.2</v>
      </c>
      <c r="F226">
        <f t="shared" si="3"/>
        <v>89.600000000000009</v>
      </c>
    </row>
    <row r="227" spans="1:6" ht="13">
      <c r="A227" s="1">
        <v>10332</v>
      </c>
      <c r="B227" s="1">
        <v>47</v>
      </c>
      <c r="C227" s="1">
        <v>7.6</v>
      </c>
      <c r="D227" s="1">
        <v>16</v>
      </c>
      <c r="E227" s="1">
        <v>0.2</v>
      </c>
      <c r="F227">
        <f t="shared" si="3"/>
        <v>97.28</v>
      </c>
    </row>
    <row r="228" spans="1:6" ht="13">
      <c r="A228" s="1">
        <v>10333</v>
      </c>
      <c r="B228" s="1">
        <v>14</v>
      </c>
      <c r="C228" s="1">
        <v>18.600000000000001</v>
      </c>
      <c r="D228" s="1">
        <v>10</v>
      </c>
      <c r="E228" s="1">
        <v>0</v>
      </c>
      <c r="F228">
        <f t="shared" si="3"/>
        <v>186</v>
      </c>
    </row>
    <row r="229" spans="1:6" ht="13">
      <c r="A229" s="1">
        <v>10333</v>
      </c>
      <c r="B229" s="1">
        <v>21</v>
      </c>
      <c r="C229" s="1">
        <v>8</v>
      </c>
      <c r="D229" s="1">
        <v>10</v>
      </c>
      <c r="E229" s="1">
        <v>0.1</v>
      </c>
      <c r="F229">
        <f t="shared" si="3"/>
        <v>72</v>
      </c>
    </row>
    <row r="230" spans="1:6" ht="13">
      <c r="A230" s="1">
        <v>10333</v>
      </c>
      <c r="B230" s="1">
        <v>71</v>
      </c>
      <c r="C230" s="1">
        <v>17.2</v>
      </c>
      <c r="D230" s="1">
        <v>40</v>
      </c>
      <c r="E230" s="1">
        <v>0.1</v>
      </c>
      <c r="F230">
        <f t="shared" si="3"/>
        <v>619.20000000000005</v>
      </c>
    </row>
    <row r="231" spans="1:6" ht="13">
      <c r="A231" s="1">
        <v>10334</v>
      </c>
      <c r="B231" s="1">
        <v>52</v>
      </c>
      <c r="C231" s="1">
        <v>5.6</v>
      </c>
      <c r="D231" s="1">
        <v>8</v>
      </c>
      <c r="E231" s="1">
        <v>0</v>
      </c>
      <c r="F231">
        <f t="shared" si="3"/>
        <v>44.8</v>
      </c>
    </row>
    <row r="232" spans="1:6" ht="13">
      <c r="A232" s="1">
        <v>10334</v>
      </c>
      <c r="B232" s="1">
        <v>68</v>
      </c>
      <c r="C232" s="1">
        <v>10</v>
      </c>
      <c r="D232" s="1">
        <v>10</v>
      </c>
      <c r="E232" s="1">
        <v>0</v>
      </c>
      <c r="F232">
        <f t="shared" si="3"/>
        <v>100</v>
      </c>
    </row>
    <row r="233" spans="1:6" ht="13">
      <c r="A233" s="1">
        <v>10335</v>
      </c>
      <c r="B233" s="1">
        <v>2</v>
      </c>
      <c r="C233" s="1">
        <v>15.2</v>
      </c>
      <c r="D233" s="1">
        <v>7</v>
      </c>
      <c r="E233" s="1">
        <v>0.2</v>
      </c>
      <c r="F233">
        <f t="shared" si="3"/>
        <v>85.12</v>
      </c>
    </row>
    <row r="234" spans="1:6" ht="13">
      <c r="A234" s="1">
        <v>10335</v>
      </c>
      <c r="B234" s="1">
        <v>31</v>
      </c>
      <c r="C234" s="1">
        <v>10</v>
      </c>
      <c r="D234" s="1">
        <v>25</v>
      </c>
      <c r="E234" s="1">
        <v>0.2</v>
      </c>
      <c r="F234">
        <f t="shared" si="3"/>
        <v>200</v>
      </c>
    </row>
    <row r="235" spans="1:6" ht="13">
      <c r="A235" s="1">
        <v>10335</v>
      </c>
      <c r="B235" s="1">
        <v>32</v>
      </c>
      <c r="C235" s="1">
        <v>25.6</v>
      </c>
      <c r="D235" s="1">
        <v>6</v>
      </c>
      <c r="E235" s="1">
        <v>0.2</v>
      </c>
      <c r="F235">
        <f t="shared" si="3"/>
        <v>122.88000000000002</v>
      </c>
    </row>
    <row r="236" spans="1:6" ht="13">
      <c r="A236" s="1">
        <v>10335</v>
      </c>
      <c r="B236" s="1">
        <v>51</v>
      </c>
      <c r="C236" s="1">
        <v>42.4</v>
      </c>
      <c r="D236" s="1">
        <v>48</v>
      </c>
      <c r="E236" s="1">
        <v>0.2</v>
      </c>
      <c r="F236">
        <f t="shared" si="3"/>
        <v>1628.1599999999999</v>
      </c>
    </row>
    <row r="237" spans="1:6" ht="13">
      <c r="A237" s="1">
        <v>10336</v>
      </c>
      <c r="B237" s="1">
        <v>4</v>
      </c>
      <c r="C237" s="1">
        <v>17.600000000000001</v>
      </c>
      <c r="D237" s="1">
        <v>18</v>
      </c>
      <c r="E237" s="1">
        <v>0.1</v>
      </c>
      <c r="F237">
        <f t="shared" si="3"/>
        <v>285.12</v>
      </c>
    </row>
    <row r="238" spans="1:6" ht="13">
      <c r="A238" s="1">
        <v>10337</v>
      </c>
      <c r="B238" s="1">
        <v>23</v>
      </c>
      <c r="C238" s="1">
        <v>7.2</v>
      </c>
      <c r="D238" s="1">
        <v>40</v>
      </c>
      <c r="E238" s="1">
        <v>0</v>
      </c>
      <c r="F238">
        <f t="shared" si="3"/>
        <v>288</v>
      </c>
    </row>
    <row r="239" spans="1:6" ht="13">
      <c r="A239" s="1">
        <v>10337</v>
      </c>
      <c r="B239" s="1">
        <v>26</v>
      </c>
      <c r="C239" s="1">
        <v>24.9</v>
      </c>
      <c r="D239" s="1">
        <v>24</v>
      </c>
      <c r="E239" s="1">
        <v>0</v>
      </c>
      <c r="F239">
        <f t="shared" si="3"/>
        <v>597.59999999999991</v>
      </c>
    </row>
    <row r="240" spans="1:6" ht="13">
      <c r="A240" s="1">
        <v>10337</v>
      </c>
      <c r="B240" s="1">
        <v>36</v>
      </c>
      <c r="C240" s="1">
        <v>15.2</v>
      </c>
      <c r="D240" s="1">
        <v>20</v>
      </c>
      <c r="E240" s="1">
        <v>0</v>
      </c>
      <c r="F240">
        <f t="shared" si="3"/>
        <v>304</v>
      </c>
    </row>
    <row r="241" spans="1:6" ht="13">
      <c r="A241" s="1">
        <v>10337</v>
      </c>
      <c r="B241" s="1">
        <v>37</v>
      </c>
      <c r="C241" s="1">
        <v>20.8</v>
      </c>
      <c r="D241" s="1">
        <v>28</v>
      </c>
      <c r="E241" s="1">
        <v>0</v>
      </c>
      <c r="F241">
        <f t="shared" si="3"/>
        <v>582.4</v>
      </c>
    </row>
    <row r="242" spans="1:6" ht="13">
      <c r="A242" s="1">
        <v>10337</v>
      </c>
      <c r="B242" s="1">
        <v>72</v>
      </c>
      <c r="C242" s="1">
        <v>27.8</v>
      </c>
      <c r="D242" s="1">
        <v>25</v>
      </c>
      <c r="E242" s="1">
        <v>0</v>
      </c>
      <c r="F242">
        <f t="shared" si="3"/>
        <v>695</v>
      </c>
    </row>
    <row r="243" spans="1:6" ht="13">
      <c r="A243" s="1">
        <v>10338</v>
      </c>
      <c r="B243" s="1">
        <v>17</v>
      </c>
      <c r="C243" s="1">
        <v>31.2</v>
      </c>
      <c r="D243" s="1">
        <v>20</v>
      </c>
      <c r="E243" s="1">
        <v>0</v>
      </c>
      <c r="F243">
        <f t="shared" si="3"/>
        <v>624</v>
      </c>
    </row>
    <row r="244" spans="1:6" ht="13">
      <c r="A244" s="1">
        <v>10338</v>
      </c>
      <c r="B244" s="1">
        <v>30</v>
      </c>
      <c r="C244" s="1">
        <v>20.7</v>
      </c>
      <c r="D244" s="1">
        <v>15</v>
      </c>
      <c r="E244" s="1">
        <v>0</v>
      </c>
      <c r="F244">
        <f t="shared" si="3"/>
        <v>310.5</v>
      </c>
    </row>
    <row r="245" spans="1:6" ht="13">
      <c r="A245" s="1">
        <v>10339</v>
      </c>
      <c r="B245" s="1">
        <v>4</v>
      </c>
      <c r="C245" s="1">
        <v>17.600000000000001</v>
      </c>
      <c r="D245" s="1">
        <v>10</v>
      </c>
      <c r="E245" s="1">
        <v>0</v>
      </c>
      <c r="F245">
        <f t="shared" si="3"/>
        <v>176</v>
      </c>
    </row>
    <row r="246" spans="1:6" ht="13">
      <c r="A246" s="1">
        <v>10339</v>
      </c>
      <c r="B246" s="1">
        <v>17</v>
      </c>
      <c r="C246" s="1">
        <v>31.2</v>
      </c>
      <c r="D246" s="1">
        <v>70</v>
      </c>
      <c r="E246" s="1">
        <v>0.05</v>
      </c>
      <c r="F246">
        <f t="shared" si="3"/>
        <v>2074.7999999999997</v>
      </c>
    </row>
    <row r="247" spans="1:6" ht="13">
      <c r="A247" s="1">
        <v>10339</v>
      </c>
      <c r="B247" s="1">
        <v>62</v>
      </c>
      <c r="C247" s="1">
        <v>39.4</v>
      </c>
      <c r="D247" s="1">
        <v>28</v>
      </c>
      <c r="E247" s="1">
        <v>0</v>
      </c>
      <c r="F247">
        <f t="shared" si="3"/>
        <v>1103.2</v>
      </c>
    </row>
    <row r="248" spans="1:6" ht="13">
      <c r="A248" s="1">
        <v>10340</v>
      </c>
      <c r="B248" s="1">
        <v>18</v>
      </c>
      <c r="C248" s="1">
        <v>50</v>
      </c>
      <c r="D248" s="1">
        <v>20</v>
      </c>
      <c r="E248" s="1">
        <v>0.05</v>
      </c>
      <c r="F248">
        <f t="shared" si="3"/>
        <v>950</v>
      </c>
    </row>
    <row r="249" spans="1:6" ht="13">
      <c r="A249" s="1">
        <v>10340</v>
      </c>
      <c r="B249" s="1">
        <v>41</v>
      </c>
      <c r="C249" s="1">
        <v>7.7</v>
      </c>
      <c r="D249" s="1">
        <v>12</v>
      </c>
      <c r="E249" s="1">
        <v>0.05</v>
      </c>
      <c r="F249">
        <f t="shared" si="3"/>
        <v>87.78</v>
      </c>
    </row>
    <row r="250" spans="1:6" ht="13">
      <c r="A250" s="1">
        <v>10340</v>
      </c>
      <c r="B250" s="1">
        <v>43</v>
      </c>
      <c r="C250" s="1">
        <v>36.799999999999997</v>
      </c>
      <c r="D250" s="1">
        <v>40</v>
      </c>
      <c r="E250" s="1">
        <v>0.05</v>
      </c>
      <c r="F250">
        <f t="shared" si="3"/>
        <v>1398.3999999999999</v>
      </c>
    </row>
    <row r="251" spans="1:6" ht="13">
      <c r="A251" s="1">
        <v>10341</v>
      </c>
      <c r="B251" s="1">
        <v>33</v>
      </c>
      <c r="C251" s="1">
        <v>2</v>
      </c>
      <c r="D251" s="1">
        <v>8</v>
      </c>
      <c r="E251" s="1">
        <v>0</v>
      </c>
      <c r="F251">
        <f t="shared" si="3"/>
        <v>16</v>
      </c>
    </row>
    <row r="252" spans="1:6" ht="13">
      <c r="A252" s="1">
        <v>10341</v>
      </c>
      <c r="B252" s="1">
        <v>59</v>
      </c>
      <c r="C252" s="1">
        <v>44</v>
      </c>
      <c r="D252" s="1">
        <v>9</v>
      </c>
      <c r="E252" s="1">
        <v>0.15</v>
      </c>
      <c r="F252">
        <f t="shared" si="3"/>
        <v>336.59999999999997</v>
      </c>
    </row>
    <row r="253" spans="1:6" ht="13">
      <c r="A253" s="1">
        <v>10342</v>
      </c>
      <c r="B253" s="1">
        <v>2</v>
      </c>
      <c r="C253" s="1">
        <v>15.2</v>
      </c>
      <c r="D253" s="1">
        <v>24</v>
      </c>
      <c r="E253" s="1">
        <v>0.2</v>
      </c>
      <c r="F253">
        <f t="shared" si="3"/>
        <v>291.83999999999997</v>
      </c>
    </row>
    <row r="254" spans="1:6" ht="13">
      <c r="A254" s="1">
        <v>10342</v>
      </c>
      <c r="B254" s="1">
        <v>31</v>
      </c>
      <c r="C254" s="1">
        <v>10</v>
      </c>
      <c r="D254" s="1">
        <v>56</v>
      </c>
      <c r="E254" s="1">
        <v>0.2</v>
      </c>
      <c r="F254">
        <f t="shared" si="3"/>
        <v>448</v>
      </c>
    </row>
    <row r="255" spans="1:6" ht="13">
      <c r="A255" s="1">
        <v>10342</v>
      </c>
      <c r="B255" s="1">
        <v>36</v>
      </c>
      <c r="C255" s="1">
        <v>15.2</v>
      </c>
      <c r="D255" s="1">
        <v>40</v>
      </c>
      <c r="E255" s="1">
        <v>0.2</v>
      </c>
      <c r="F255">
        <f t="shared" si="3"/>
        <v>486.40000000000003</v>
      </c>
    </row>
    <row r="256" spans="1:6" ht="13">
      <c r="A256" s="1">
        <v>10342</v>
      </c>
      <c r="B256" s="1">
        <v>55</v>
      </c>
      <c r="C256" s="1">
        <v>19.2</v>
      </c>
      <c r="D256" s="1">
        <v>40</v>
      </c>
      <c r="E256" s="1">
        <v>0.2</v>
      </c>
      <c r="F256">
        <f t="shared" si="3"/>
        <v>614.40000000000009</v>
      </c>
    </row>
    <row r="257" spans="1:6" ht="13">
      <c r="A257" s="1">
        <v>10343</v>
      </c>
      <c r="B257" s="1">
        <v>64</v>
      </c>
      <c r="C257" s="1">
        <v>26.6</v>
      </c>
      <c r="D257" s="1">
        <v>50</v>
      </c>
      <c r="E257" s="1">
        <v>0</v>
      </c>
      <c r="F257">
        <f t="shared" si="3"/>
        <v>1330</v>
      </c>
    </row>
    <row r="258" spans="1:6" ht="13">
      <c r="A258" s="1">
        <v>10343</v>
      </c>
      <c r="B258" s="1">
        <v>68</v>
      </c>
      <c r="C258" s="1">
        <v>10</v>
      </c>
      <c r="D258" s="1">
        <v>4</v>
      </c>
      <c r="E258" s="1">
        <v>0.05</v>
      </c>
      <c r="F258">
        <f t="shared" si="3"/>
        <v>38</v>
      </c>
    </row>
    <row r="259" spans="1:6" ht="13">
      <c r="A259" s="1">
        <v>10343</v>
      </c>
      <c r="B259" s="1">
        <v>76</v>
      </c>
      <c r="C259" s="1">
        <v>14.4</v>
      </c>
      <c r="D259" s="1">
        <v>15</v>
      </c>
      <c r="E259" s="1">
        <v>0</v>
      </c>
      <c r="F259">
        <f t="shared" ref="F259:F322" si="4">C259*D259*(1-E259)</f>
        <v>216</v>
      </c>
    </row>
    <row r="260" spans="1:6" ht="13">
      <c r="A260" s="1">
        <v>10344</v>
      </c>
      <c r="B260" s="1">
        <v>4</v>
      </c>
      <c r="C260" s="1">
        <v>17.600000000000001</v>
      </c>
      <c r="D260" s="1">
        <v>35</v>
      </c>
      <c r="E260" s="1">
        <v>0</v>
      </c>
      <c r="F260">
        <f t="shared" si="4"/>
        <v>616</v>
      </c>
    </row>
    <row r="261" spans="1:6" ht="13">
      <c r="A261" s="1">
        <v>10344</v>
      </c>
      <c r="B261" s="1">
        <v>8</v>
      </c>
      <c r="C261" s="1">
        <v>32</v>
      </c>
      <c r="D261" s="1">
        <v>70</v>
      </c>
      <c r="E261" s="1">
        <v>0.25</v>
      </c>
      <c r="F261">
        <f t="shared" si="4"/>
        <v>1680</v>
      </c>
    </row>
    <row r="262" spans="1:6" ht="13">
      <c r="A262" s="1">
        <v>10345</v>
      </c>
      <c r="B262" s="1">
        <v>8</v>
      </c>
      <c r="C262" s="1">
        <v>32</v>
      </c>
      <c r="D262" s="1">
        <v>70</v>
      </c>
      <c r="E262" s="1">
        <v>0</v>
      </c>
      <c r="F262">
        <f t="shared" si="4"/>
        <v>2240</v>
      </c>
    </row>
    <row r="263" spans="1:6" ht="13">
      <c r="A263" s="1">
        <v>10345</v>
      </c>
      <c r="B263" s="1">
        <v>19</v>
      </c>
      <c r="C263" s="1">
        <v>7.3</v>
      </c>
      <c r="D263" s="1">
        <v>80</v>
      </c>
      <c r="E263" s="1">
        <v>0</v>
      </c>
      <c r="F263">
        <f t="shared" si="4"/>
        <v>584</v>
      </c>
    </row>
    <row r="264" spans="1:6" ht="13">
      <c r="A264" s="1">
        <v>10345</v>
      </c>
      <c r="B264" s="1">
        <v>42</v>
      </c>
      <c r="C264" s="1">
        <v>11.2</v>
      </c>
      <c r="D264" s="1">
        <v>9</v>
      </c>
      <c r="E264" s="1">
        <v>0</v>
      </c>
      <c r="F264">
        <f t="shared" si="4"/>
        <v>100.8</v>
      </c>
    </row>
    <row r="265" spans="1:6" ht="13">
      <c r="A265" s="1">
        <v>10346</v>
      </c>
      <c r="B265" s="1">
        <v>17</v>
      </c>
      <c r="C265" s="1">
        <v>31.2</v>
      </c>
      <c r="D265" s="1">
        <v>36</v>
      </c>
      <c r="E265" s="1">
        <v>0.1</v>
      </c>
      <c r="F265">
        <f t="shared" si="4"/>
        <v>1010.8800000000001</v>
      </c>
    </row>
    <row r="266" spans="1:6" ht="13">
      <c r="A266" s="1">
        <v>10346</v>
      </c>
      <c r="B266" s="1">
        <v>56</v>
      </c>
      <c r="C266" s="1">
        <v>30.4</v>
      </c>
      <c r="D266" s="1">
        <v>20</v>
      </c>
      <c r="E266" s="1">
        <v>0</v>
      </c>
      <c r="F266">
        <f t="shared" si="4"/>
        <v>608</v>
      </c>
    </row>
    <row r="267" spans="1:6" ht="13">
      <c r="A267" s="1">
        <v>10347</v>
      </c>
      <c r="B267" s="1">
        <v>25</v>
      </c>
      <c r="C267" s="1">
        <v>11.2</v>
      </c>
      <c r="D267" s="1">
        <v>10</v>
      </c>
      <c r="E267" s="1">
        <v>0</v>
      </c>
      <c r="F267">
        <f t="shared" si="4"/>
        <v>112</v>
      </c>
    </row>
    <row r="268" spans="1:6" ht="13">
      <c r="A268" s="1">
        <v>10347</v>
      </c>
      <c r="B268" s="1">
        <v>39</v>
      </c>
      <c r="C268" s="1">
        <v>14.4</v>
      </c>
      <c r="D268" s="1">
        <v>50</v>
      </c>
      <c r="E268" s="1">
        <v>0.15</v>
      </c>
      <c r="F268">
        <f t="shared" si="4"/>
        <v>612</v>
      </c>
    </row>
    <row r="269" spans="1:6" ht="13">
      <c r="A269" s="1">
        <v>10347</v>
      </c>
      <c r="B269" s="1">
        <v>40</v>
      </c>
      <c r="C269" s="1">
        <v>14.7</v>
      </c>
      <c r="D269" s="1">
        <v>4</v>
      </c>
      <c r="E269" s="1">
        <v>0</v>
      </c>
      <c r="F269">
        <f t="shared" si="4"/>
        <v>58.8</v>
      </c>
    </row>
    <row r="270" spans="1:6" ht="13">
      <c r="A270" s="1">
        <v>10347</v>
      </c>
      <c r="B270" s="1">
        <v>75</v>
      </c>
      <c r="C270" s="1">
        <v>6.2</v>
      </c>
      <c r="D270" s="1">
        <v>6</v>
      </c>
      <c r="E270" s="1">
        <v>0.15</v>
      </c>
      <c r="F270">
        <f t="shared" si="4"/>
        <v>31.62</v>
      </c>
    </row>
    <row r="271" spans="1:6" ht="13">
      <c r="A271" s="1">
        <v>10348</v>
      </c>
      <c r="B271" s="1">
        <v>1</v>
      </c>
      <c r="C271" s="1">
        <v>14.4</v>
      </c>
      <c r="D271" s="1">
        <v>15</v>
      </c>
      <c r="E271" s="1">
        <v>0.15</v>
      </c>
      <c r="F271">
        <f t="shared" si="4"/>
        <v>183.6</v>
      </c>
    </row>
    <row r="272" spans="1:6" ht="13">
      <c r="A272" s="1">
        <v>10348</v>
      </c>
      <c r="B272" s="1">
        <v>23</v>
      </c>
      <c r="C272" s="1">
        <v>7.2</v>
      </c>
      <c r="D272" s="1">
        <v>25</v>
      </c>
      <c r="E272" s="1">
        <v>0</v>
      </c>
      <c r="F272">
        <f t="shared" si="4"/>
        <v>180</v>
      </c>
    </row>
    <row r="273" spans="1:6" ht="13">
      <c r="A273" s="1">
        <v>10349</v>
      </c>
      <c r="B273" s="1">
        <v>54</v>
      </c>
      <c r="C273" s="1">
        <v>5.9</v>
      </c>
      <c r="D273" s="1">
        <v>24</v>
      </c>
      <c r="E273" s="1">
        <v>0</v>
      </c>
      <c r="F273">
        <f t="shared" si="4"/>
        <v>141.60000000000002</v>
      </c>
    </row>
    <row r="274" spans="1:6" ht="13">
      <c r="A274" s="1">
        <v>10350</v>
      </c>
      <c r="B274" s="1">
        <v>50</v>
      </c>
      <c r="C274" s="1">
        <v>13</v>
      </c>
      <c r="D274" s="1">
        <v>15</v>
      </c>
      <c r="E274" s="1">
        <v>0.1</v>
      </c>
      <c r="F274">
        <f t="shared" si="4"/>
        <v>175.5</v>
      </c>
    </row>
    <row r="275" spans="1:6" ht="13">
      <c r="A275" s="1">
        <v>10350</v>
      </c>
      <c r="B275" s="1">
        <v>69</v>
      </c>
      <c r="C275" s="1">
        <v>28.8</v>
      </c>
      <c r="D275" s="1">
        <v>18</v>
      </c>
      <c r="E275" s="1">
        <v>0.1</v>
      </c>
      <c r="F275">
        <f t="shared" si="4"/>
        <v>466.56</v>
      </c>
    </row>
    <row r="276" spans="1:6" ht="13">
      <c r="A276" s="1">
        <v>10351</v>
      </c>
      <c r="B276" s="1">
        <v>38</v>
      </c>
      <c r="C276" s="1">
        <v>210.8</v>
      </c>
      <c r="D276" s="1">
        <v>20</v>
      </c>
      <c r="E276" s="1">
        <v>0.05</v>
      </c>
      <c r="F276">
        <f t="shared" si="4"/>
        <v>4005.2</v>
      </c>
    </row>
    <row r="277" spans="1:6" ht="13">
      <c r="A277" s="1">
        <v>10351</v>
      </c>
      <c r="B277" s="1">
        <v>41</v>
      </c>
      <c r="C277" s="1">
        <v>7.7</v>
      </c>
      <c r="D277" s="1">
        <v>13</v>
      </c>
      <c r="E277" s="1">
        <v>0</v>
      </c>
      <c r="F277">
        <f t="shared" si="4"/>
        <v>100.10000000000001</v>
      </c>
    </row>
    <row r="278" spans="1:6" ht="13">
      <c r="A278" s="1">
        <v>10351</v>
      </c>
      <c r="B278" s="1">
        <v>44</v>
      </c>
      <c r="C278" s="1">
        <v>15.5</v>
      </c>
      <c r="D278" s="1">
        <v>77</v>
      </c>
      <c r="E278" s="1">
        <v>0.05</v>
      </c>
      <c r="F278">
        <f t="shared" si="4"/>
        <v>1133.825</v>
      </c>
    </row>
    <row r="279" spans="1:6" ht="13">
      <c r="A279" s="1">
        <v>10351</v>
      </c>
      <c r="B279" s="1">
        <v>65</v>
      </c>
      <c r="C279" s="1">
        <v>16.8</v>
      </c>
      <c r="D279" s="1">
        <v>10</v>
      </c>
      <c r="E279" s="1">
        <v>0.05</v>
      </c>
      <c r="F279">
        <f t="shared" si="4"/>
        <v>159.6</v>
      </c>
    </row>
    <row r="280" spans="1:6" ht="13">
      <c r="A280" s="1">
        <v>10352</v>
      </c>
      <c r="B280" s="1">
        <v>24</v>
      </c>
      <c r="C280" s="1">
        <v>3.6</v>
      </c>
      <c r="D280" s="1">
        <v>10</v>
      </c>
      <c r="E280" s="1">
        <v>0</v>
      </c>
      <c r="F280">
        <f t="shared" si="4"/>
        <v>36</v>
      </c>
    </row>
    <row r="281" spans="1:6" ht="13">
      <c r="A281" s="1">
        <v>10352</v>
      </c>
      <c r="B281" s="1">
        <v>54</v>
      </c>
      <c r="C281" s="1">
        <v>5.9</v>
      </c>
      <c r="D281" s="1">
        <v>20</v>
      </c>
      <c r="E281" s="1">
        <v>0.15</v>
      </c>
      <c r="F281">
        <f t="shared" si="4"/>
        <v>100.3</v>
      </c>
    </row>
    <row r="282" spans="1:6" ht="13">
      <c r="A282" s="1">
        <v>10353</v>
      </c>
      <c r="B282" s="1">
        <v>11</v>
      </c>
      <c r="C282" s="1">
        <v>16.8</v>
      </c>
      <c r="D282" s="1">
        <v>12</v>
      </c>
      <c r="E282" s="1">
        <v>0.2</v>
      </c>
      <c r="F282">
        <f t="shared" si="4"/>
        <v>161.28000000000003</v>
      </c>
    </row>
    <row r="283" spans="1:6" ht="13">
      <c r="A283" s="1">
        <v>10353</v>
      </c>
      <c r="B283" s="1">
        <v>38</v>
      </c>
      <c r="C283" s="1">
        <v>210.8</v>
      </c>
      <c r="D283" s="1">
        <v>50</v>
      </c>
      <c r="E283" s="1">
        <v>0.2</v>
      </c>
      <c r="F283">
        <f t="shared" si="4"/>
        <v>8432</v>
      </c>
    </row>
    <row r="284" spans="1:6" ht="13">
      <c r="A284" s="1">
        <v>10354</v>
      </c>
      <c r="B284" s="1">
        <v>1</v>
      </c>
      <c r="C284" s="1">
        <v>14.4</v>
      </c>
      <c r="D284" s="1">
        <v>12</v>
      </c>
      <c r="E284" s="1">
        <v>0</v>
      </c>
      <c r="F284">
        <f t="shared" si="4"/>
        <v>172.8</v>
      </c>
    </row>
    <row r="285" spans="1:6" ht="13">
      <c r="A285" s="1">
        <v>10354</v>
      </c>
      <c r="B285" s="1">
        <v>29</v>
      </c>
      <c r="C285" s="1">
        <v>99</v>
      </c>
      <c r="D285" s="1">
        <v>4</v>
      </c>
      <c r="E285" s="1">
        <v>0</v>
      </c>
      <c r="F285">
        <f t="shared" si="4"/>
        <v>396</v>
      </c>
    </row>
    <row r="286" spans="1:6" ht="13">
      <c r="A286" s="1">
        <v>10355</v>
      </c>
      <c r="B286" s="1">
        <v>24</v>
      </c>
      <c r="C286" s="1">
        <v>3.6</v>
      </c>
      <c r="D286" s="1">
        <v>25</v>
      </c>
      <c r="E286" s="1">
        <v>0</v>
      </c>
      <c r="F286">
        <f t="shared" si="4"/>
        <v>90</v>
      </c>
    </row>
    <row r="287" spans="1:6" ht="13">
      <c r="A287" s="1">
        <v>10355</v>
      </c>
      <c r="B287" s="1">
        <v>57</v>
      </c>
      <c r="C287" s="1">
        <v>15.6</v>
      </c>
      <c r="D287" s="1">
        <v>25</v>
      </c>
      <c r="E287" s="1">
        <v>0</v>
      </c>
      <c r="F287">
        <f t="shared" si="4"/>
        <v>390</v>
      </c>
    </row>
    <row r="288" spans="1:6" ht="13">
      <c r="A288" s="1">
        <v>10356</v>
      </c>
      <c r="B288" s="1">
        <v>31</v>
      </c>
      <c r="C288" s="1">
        <v>10</v>
      </c>
      <c r="D288" s="1">
        <v>30</v>
      </c>
      <c r="E288" s="1">
        <v>0</v>
      </c>
      <c r="F288">
        <f t="shared" si="4"/>
        <v>300</v>
      </c>
    </row>
    <row r="289" spans="1:6" ht="13">
      <c r="A289" s="1">
        <v>10356</v>
      </c>
      <c r="B289" s="1">
        <v>55</v>
      </c>
      <c r="C289" s="1">
        <v>19.2</v>
      </c>
      <c r="D289" s="1">
        <v>12</v>
      </c>
      <c r="E289" s="1">
        <v>0</v>
      </c>
      <c r="F289">
        <f t="shared" si="4"/>
        <v>230.39999999999998</v>
      </c>
    </row>
    <row r="290" spans="1:6" ht="13">
      <c r="A290" s="1">
        <v>10356</v>
      </c>
      <c r="B290" s="1">
        <v>69</v>
      </c>
      <c r="C290" s="1">
        <v>28.8</v>
      </c>
      <c r="D290" s="1">
        <v>20</v>
      </c>
      <c r="E290" s="1">
        <v>0</v>
      </c>
      <c r="F290">
        <f t="shared" si="4"/>
        <v>576</v>
      </c>
    </row>
    <row r="291" spans="1:6" ht="13">
      <c r="A291" s="1">
        <v>10357</v>
      </c>
      <c r="B291" s="1">
        <v>10</v>
      </c>
      <c r="C291" s="1">
        <v>24.8</v>
      </c>
      <c r="D291" s="1">
        <v>30</v>
      </c>
      <c r="E291" s="1">
        <v>0.2</v>
      </c>
      <c r="F291">
        <f t="shared" si="4"/>
        <v>595.20000000000005</v>
      </c>
    </row>
    <row r="292" spans="1:6" ht="13">
      <c r="A292" s="1">
        <v>10357</v>
      </c>
      <c r="B292" s="1">
        <v>26</v>
      </c>
      <c r="C292" s="1">
        <v>24.9</v>
      </c>
      <c r="D292" s="1">
        <v>16</v>
      </c>
      <c r="E292" s="1">
        <v>0</v>
      </c>
      <c r="F292">
        <f t="shared" si="4"/>
        <v>398.4</v>
      </c>
    </row>
    <row r="293" spans="1:6" ht="13">
      <c r="A293" s="1">
        <v>10357</v>
      </c>
      <c r="B293" s="1">
        <v>60</v>
      </c>
      <c r="C293" s="1">
        <v>27.2</v>
      </c>
      <c r="D293" s="1">
        <v>8</v>
      </c>
      <c r="E293" s="1">
        <v>0.2</v>
      </c>
      <c r="F293">
        <f t="shared" si="4"/>
        <v>174.08</v>
      </c>
    </row>
    <row r="294" spans="1:6" ht="13">
      <c r="A294" s="1">
        <v>10358</v>
      </c>
      <c r="B294" s="1">
        <v>24</v>
      </c>
      <c r="C294" s="1">
        <v>3.6</v>
      </c>
      <c r="D294" s="1">
        <v>10</v>
      </c>
      <c r="E294" s="1">
        <v>0.05</v>
      </c>
      <c r="F294">
        <f t="shared" si="4"/>
        <v>34.199999999999996</v>
      </c>
    </row>
    <row r="295" spans="1:6" ht="13">
      <c r="A295" s="1">
        <v>10358</v>
      </c>
      <c r="B295" s="1">
        <v>34</v>
      </c>
      <c r="C295" s="1">
        <v>11.2</v>
      </c>
      <c r="D295" s="1">
        <v>10</v>
      </c>
      <c r="E295" s="1">
        <v>0.05</v>
      </c>
      <c r="F295">
        <f t="shared" si="4"/>
        <v>106.39999999999999</v>
      </c>
    </row>
    <row r="296" spans="1:6" ht="13">
      <c r="A296" s="1">
        <v>10358</v>
      </c>
      <c r="B296" s="1">
        <v>36</v>
      </c>
      <c r="C296" s="1">
        <v>15.2</v>
      </c>
      <c r="D296" s="1">
        <v>20</v>
      </c>
      <c r="E296" s="1">
        <v>0.05</v>
      </c>
      <c r="F296">
        <f t="shared" si="4"/>
        <v>288.8</v>
      </c>
    </row>
    <row r="297" spans="1:6" ht="13">
      <c r="A297" s="1">
        <v>10359</v>
      </c>
      <c r="B297" s="1">
        <v>16</v>
      </c>
      <c r="C297" s="1">
        <v>13.9</v>
      </c>
      <c r="D297" s="1">
        <v>56</v>
      </c>
      <c r="E297" s="1">
        <v>0.05</v>
      </c>
      <c r="F297">
        <f t="shared" si="4"/>
        <v>739.4799999999999</v>
      </c>
    </row>
    <row r="298" spans="1:6" ht="13">
      <c r="A298" s="1">
        <v>10359</v>
      </c>
      <c r="B298" s="1">
        <v>31</v>
      </c>
      <c r="C298" s="1">
        <v>10</v>
      </c>
      <c r="D298" s="1">
        <v>70</v>
      </c>
      <c r="E298" s="1">
        <v>0.05</v>
      </c>
      <c r="F298">
        <f t="shared" si="4"/>
        <v>665</v>
      </c>
    </row>
    <row r="299" spans="1:6" ht="13">
      <c r="A299" s="1">
        <v>10359</v>
      </c>
      <c r="B299" s="1">
        <v>60</v>
      </c>
      <c r="C299" s="1">
        <v>27.2</v>
      </c>
      <c r="D299" s="1">
        <v>80</v>
      </c>
      <c r="E299" s="1">
        <v>0.05</v>
      </c>
      <c r="F299">
        <f t="shared" si="4"/>
        <v>2067.1999999999998</v>
      </c>
    </row>
    <row r="300" spans="1:6" ht="13">
      <c r="A300" s="1">
        <v>10360</v>
      </c>
      <c r="B300" s="1">
        <v>28</v>
      </c>
      <c r="C300" s="1">
        <v>36.4</v>
      </c>
      <c r="D300" s="1">
        <v>30</v>
      </c>
      <c r="E300" s="1">
        <v>0</v>
      </c>
      <c r="F300">
        <f t="shared" si="4"/>
        <v>1092</v>
      </c>
    </row>
    <row r="301" spans="1:6" ht="13">
      <c r="A301" s="1">
        <v>10360</v>
      </c>
      <c r="B301" s="1">
        <v>29</v>
      </c>
      <c r="C301" s="1">
        <v>99</v>
      </c>
      <c r="D301" s="1">
        <v>35</v>
      </c>
      <c r="E301" s="1">
        <v>0</v>
      </c>
      <c r="F301">
        <f t="shared" si="4"/>
        <v>3465</v>
      </c>
    </row>
    <row r="302" spans="1:6" ht="13">
      <c r="A302" s="1">
        <v>10360</v>
      </c>
      <c r="B302" s="1">
        <v>38</v>
      </c>
      <c r="C302" s="1">
        <v>210.8</v>
      </c>
      <c r="D302" s="1">
        <v>10</v>
      </c>
      <c r="E302" s="1">
        <v>0</v>
      </c>
      <c r="F302">
        <f t="shared" si="4"/>
        <v>2108</v>
      </c>
    </row>
    <row r="303" spans="1:6" ht="13">
      <c r="A303" s="1">
        <v>10360</v>
      </c>
      <c r="B303" s="1">
        <v>49</v>
      </c>
      <c r="C303" s="1">
        <v>16</v>
      </c>
      <c r="D303" s="1">
        <v>35</v>
      </c>
      <c r="E303" s="1">
        <v>0</v>
      </c>
      <c r="F303">
        <f t="shared" si="4"/>
        <v>560</v>
      </c>
    </row>
    <row r="304" spans="1:6" ht="13">
      <c r="A304" s="1">
        <v>10360</v>
      </c>
      <c r="B304" s="1">
        <v>54</v>
      </c>
      <c r="C304" s="1">
        <v>5.9</v>
      </c>
      <c r="D304" s="1">
        <v>28</v>
      </c>
      <c r="E304" s="1">
        <v>0</v>
      </c>
      <c r="F304">
        <f t="shared" si="4"/>
        <v>165.20000000000002</v>
      </c>
    </row>
    <row r="305" spans="1:6" ht="13">
      <c r="A305" s="1">
        <v>10361</v>
      </c>
      <c r="B305" s="1">
        <v>39</v>
      </c>
      <c r="C305" s="1">
        <v>14.4</v>
      </c>
      <c r="D305" s="1">
        <v>54</v>
      </c>
      <c r="E305" s="1">
        <v>0.1</v>
      </c>
      <c r="F305">
        <f t="shared" si="4"/>
        <v>699.84</v>
      </c>
    </row>
    <row r="306" spans="1:6" ht="13">
      <c r="A306" s="1">
        <v>10361</v>
      </c>
      <c r="B306" s="1">
        <v>60</v>
      </c>
      <c r="C306" s="1">
        <v>27.2</v>
      </c>
      <c r="D306" s="1">
        <v>55</v>
      </c>
      <c r="E306" s="1">
        <v>0.1</v>
      </c>
      <c r="F306">
        <f t="shared" si="4"/>
        <v>1346.4</v>
      </c>
    </row>
    <row r="307" spans="1:6" ht="13">
      <c r="A307" s="1">
        <v>10362</v>
      </c>
      <c r="B307" s="1">
        <v>25</v>
      </c>
      <c r="C307" s="1">
        <v>11.2</v>
      </c>
      <c r="D307" s="1">
        <v>50</v>
      </c>
      <c r="E307" s="1">
        <v>0</v>
      </c>
      <c r="F307">
        <f t="shared" si="4"/>
        <v>560</v>
      </c>
    </row>
    <row r="308" spans="1:6" ht="13">
      <c r="A308" s="1">
        <v>10362</v>
      </c>
      <c r="B308" s="1">
        <v>51</v>
      </c>
      <c r="C308" s="1">
        <v>42.4</v>
      </c>
      <c r="D308" s="1">
        <v>20</v>
      </c>
      <c r="E308" s="1">
        <v>0</v>
      </c>
      <c r="F308">
        <f t="shared" si="4"/>
        <v>848</v>
      </c>
    </row>
    <row r="309" spans="1:6" ht="13">
      <c r="A309" s="1">
        <v>10362</v>
      </c>
      <c r="B309" s="1">
        <v>54</v>
      </c>
      <c r="C309" s="1">
        <v>5.9</v>
      </c>
      <c r="D309" s="1">
        <v>24</v>
      </c>
      <c r="E309" s="1">
        <v>0</v>
      </c>
      <c r="F309">
        <f t="shared" si="4"/>
        <v>141.60000000000002</v>
      </c>
    </row>
    <row r="310" spans="1:6" ht="13">
      <c r="A310" s="1">
        <v>10363</v>
      </c>
      <c r="B310" s="1">
        <v>31</v>
      </c>
      <c r="C310" s="1">
        <v>10</v>
      </c>
      <c r="D310" s="1">
        <v>20</v>
      </c>
      <c r="E310" s="1">
        <v>0</v>
      </c>
      <c r="F310">
        <f t="shared" si="4"/>
        <v>200</v>
      </c>
    </row>
    <row r="311" spans="1:6" ht="13">
      <c r="A311" s="1">
        <v>10363</v>
      </c>
      <c r="B311" s="1">
        <v>75</v>
      </c>
      <c r="C311" s="1">
        <v>6.2</v>
      </c>
      <c r="D311" s="1">
        <v>12</v>
      </c>
      <c r="E311" s="1">
        <v>0</v>
      </c>
      <c r="F311">
        <f t="shared" si="4"/>
        <v>74.400000000000006</v>
      </c>
    </row>
    <row r="312" spans="1:6" ht="13">
      <c r="A312" s="1">
        <v>10363</v>
      </c>
      <c r="B312" s="1">
        <v>76</v>
      </c>
      <c r="C312" s="1">
        <v>14.4</v>
      </c>
      <c r="D312" s="1">
        <v>12</v>
      </c>
      <c r="E312" s="1">
        <v>0</v>
      </c>
      <c r="F312">
        <f t="shared" si="4"/>
        <v>172.8</v>
      </c>
    </row>
    <row r="313" spans="1:6" ht="13">
      <c r="A313" s="1">
        <v>10364</v>
      </c>
      <c r="B313" s="1">
        <v>69</v>
      </c>
      <c r="C313" s="1">
        <v>28.8</v>
      </c>
      <c r="D313" s="1">
        <v>30</v>
      </c>
      <c r="E313" s="1">
        <v>0</v>
      </c>
      <c r="F313">
        <f t="shared" si="4"/>
        <v>864</v>
      </c>
    </row>
    <row r="314" spans="1:6" ht="13">
      <c r="A314" s="1">
        <v>10364</v>
      </c>
      <c r="B314" s="1">
        <v>71</v>
      </c>
      <c r="C314" s="1">
        <v>17.2</v>
      </c>
      <c r="D314" s="1">
        <v>5</v>
      </c>
      <c r="E314" s="1">
        <v>0</v>
      </c>
      <c r="F314">
        <f t="shared" si="4"/>
        <v>86</v>
      </c>
    </row>
    <row r="315" spans="1:6" ht="13">
      <c r="A315" s="1">
        <v>10365</v>
      </c>
      <c r="B315" s="1">
        <v>11</v>
      </c>
      <c r="C315" s="1">
        <v>16.8</v>
      </c>
      <c r="D315" s="1">
        <v>24</v>
      </c>
      <c r="E315" s="1">
        <v>0</v>
      </c>
      <c r="F315">
        <f t="shared" si="4"/>
        <v>403.20000000000005</v>
      </c>
    </row>
    <row r="316" spans="1:6" ht="13">
      <c r="A316" s="1">
        <v>10366</v>
      </c>
      <c r="B316" s="1">
        <v>65</v>
      </c>
      <c r="C316" s="1">
        <v>16.8</v>
      </c>
      <c r="D316" s="1">
        <v>5</v>
      </c>
      <c r="E316" s="1">
        <v>0</v>
      </c>
      <c r="F316">
        <f t="shared" si="4"/>
        <v>84</v>
      </c>
    </row>
    <row r="317" spans="1:6" ht="13">
      <c r="A317" s="1">
        <v>10366</v>
      </c>
      <c r="B317" s="1">
        <v>77</v>
      </c>
      <c r="C317" s="1">
        <v>10.4</v>
      </c>
      <c r="D317" s="1">
        <v>5</v>
      </c>
      <c r="E317" s="1">
        <v>0</v>
      </c>
      <c r="F317">
        <f t="shared" si="4"/>
        <v>52</v>
      </c>
    </row>
    <row r="318" spans="1:6" ht="13">
      <c r="A318" s="1">
        <v>10367</v>
      </c>
      <c r="B318" s="1">
        <v>34</v>
      </c>
      <c r="C318" s="1">
        <v>11.2</v>
      </c>
      <c r="D318" s="1">
        <v>36</v>
      </c>
      <c r="E318" s="1">
        <v>0</v>
      </c>
      <c r="F318">
        <f t="shared" si="4"/>
        <v>403.2</v>
      </c>
    </row>
    <row r="319" spans="1:6" ht="13">
      <c r="A319" s="1">
        <v>10367</v>
      </c>
      <c r="B319" s="1">
        <v>54</v>
      </c>
      <c r="C319" s="1">
        <v>5.9</v>
      </c>
      <c r="D319" s="1">
        <v>18</v>
      </c>
      <c r="E319" s="1">
        <v>0</v>
      </c>
      <c r="F319">
        <f t="shared" si="4"/>
        <v>106.2</v>
      </c>
    </row>
    <row r="320" spans="1:6" ht="13">
      <c r="A320" s="1">
        <v>10367</v>
      </c>
      <c r="B320" s="1">
        <v>65</v>
      </c>
      <c r="C320" s="1">
        <v>16.8</v>
      </c>
      <c r="D320" s="1">
        <v>15</v>
      </c>
      <c r="E320" s="1">
        <v>0</v>
      </c>
      <c r="F320">
        <f t="shared" si="4"/>
        <v>252</v>
      </c>
    </row>
    <row r="321" spans="1:6" ht="13">
      <c r="A321" s="1">
        <v>10367</v>
      </c>
      <c r="B321" s="1">
        <v>77</v>
      </c>
      <c r="C321" s="1">
        <v>10.4</v>
      </c>
      <c r="D321" s="1">
        <v>7</v>
      </c>
      <c r="E321" s="1">
        <v>0</v>
      </c>
      <c r="F321">
        <f t="shared" si="4"/>
        <v>72.8</v>
      </c>
    </row>
    <row r="322" spans="1:6" ht="13">
      <c r="A322" s="1">
        <v>10368</v>
      </c>
      <c r="B322" s="1">
        <v>21</v>
      </c>
      <c r="C322" s="1">
        <v>8</v>
      </c>
      <c r="D322" s="1">
        <v>5</v>
      </c>
      <c r="E322" s="1">
        <v>0.1</v>
      </c>
      <c r="F322">
        <f t="shared" si="4"/>
        <v>36</v>
      </c>
    </row>
    <row r="323" spans="1:6" ht="13">
      <c r="A323" s="1">
        <v>10368</v>
      </c>
      <c r="B323" s="1">
        <v>28</v>
      </c>
      <c r="C323" s="1">
        <v>36.4</v>
      </c>
      <c r="D323" s="1">
        <v>13</v>
      </c>
      <c r="E323" s="1">
        <v>0.1</v>
      </c>
      <c r="F323">
        <f t="shared" ref="F323:F386" si="5">C323*D323*(1-E323)</f>
        <v>425.88</v>
      </c>
    </row>
    <row r="324" spans="1:6" ht="13">
      <c r="A324" s="1">
        <v>10368</v>
      </c>
      <c r="B324" s="1">
        <v>57</v>
      </c>
      <c r="C324" s="1">
        <v>15.6</v>
      </c>
      <c r="D324" s="1">
        <v>25</v>
      </c>
      <c r="E324" s="1">
        <v>0</v>
      </c>
      <c r="F324">
        <f t="shared" si="5"/>
        <v>390</v>
      </c>
    </row>
    <row r="325" spans="1:6" ht="13">
      <c r="A325" s="1">
        <v>10368</v>
      </c>
      <c r="B325" s="1">
        <v>64</v>
      </c>
      <c r="C325" s="1">
        <v>26.6</v>
      </c>
      <c r="D325" s="1">
        <v>35</v>
      </c>
      <c r="E325" s="1">
        <v>0.1</v>
      </c>
      <c r="F325">
        <f t="shared" si="5"/>
        <v>837.9</v>
      </c>
    </row>
    <row r="326" spans="1:6" ht="13">
      <c r="A326" s="1">
        <v>10369</v>
      </c>
      <c r="B326" s="1">
        <v>29</v>
      </c>
      <c r="C326" s="1">
        <v>99</v>
      </c>
      <c r="D326" s="1">
        <v>20</v>
      </c>
      <c r="E326" s="1">
        <v>0</v>
      </c>
      <c r="F326">
        <f t="shared" si="5"/>
        <v>1980</v>
      </c>
    </row>
    <row r="327" spans="1:6" ht="13">
      <c r="A327" s="1">
        <v>10369</v>
      </c>
      <c r="B327" s="1">
        <v>56</v>
      </c>
      <c r="C327" s="1">
        <v>30.4</v>
      </c>
      <c r="D327" s="1">
        <v>18</v>
      </c>
      <c r="E327" s="1">
        <v>0.25</v>
      </c>
      <c r="F327">
        <f t="shared" si="5"/>
        <v>410.4</v>
      </c>
    </row>
    <row r="328" spans="1:6" ht="13">
      <c r="A328" s="1">
        <v>10370</v>
      </c>
      <c r="B328" s="1">
        <v>1</v>
      </c>
      <c r="C328" s="1">
        <v>14.4</v>
      </c>
      <c r="D328" s="1">
        <v>15</v>
      </c>
      <c r="E328" s="1">
        <v>0.15</v>
      </c>
      <c r="F328">
        <f t="shared" si="5"/>
        <v>183.6</v>
      </c>
    </row>
    <row r="329" spans="1:6" ht="13">
      <c r="A329" s="1">
        <v>10370</v>
      </c>
      <c r="B329" s="1">
        <v>64</v>
      </c>
      <c r="C329" s="1">
        <v>26.6</v>
      </c>
      <c r="D329" s="1">
        <v>30</v>
      </c>
      <c r="E329" s="1">
        <v>0</v>
      </c>
      <c r="F329">
        <f t="shared" si="5"/>
        <v>798</v>
      </c>
    </row>
    <row r="330" spans="1:6" ht="13">
      <c r="A330" s="1">
        <v>10370</v>
      </c>
      <c r="B330" s="1">
        <v>74</v>
      </c>
      <c r="C330" s="1">
        <v>8</v>
      </c>
      <c r="D330" s="1">
        <v>20</v>
      </c>
      <c r="E330" s="1">
        <v>0.15</v>
      </c>
      <c r="F330">
        <f t="shared" si="5"/>
        <v>136</v>
      </c>
    </row>
    <row r="331" spans="1:6" ht="13">
      <c r="A331" s="1">
        <v>10371</v>
      </c>
      <c r="B331" s="1">
        <v>36</v>
      </c>
      <c r="C331" s="1">
        <v>15.2</v>
      </c>
      <c r="D331" s="1">
        <v>6</v>
      </c>
      <c r="E331" s="1">
        <v>0.2</v>
      </c>
      <c r="F331">
        <f t="shared" si="5"/>
        <v>72.959999999999994</v>
      </c>
    </row>
    <row r="332" spans="1:6" ht="13">
      <c r="A332" s="1">
        <v>10372</v>
      </c>
      <c r="B332" s="1">
        <v>20</v>
      </c>
      <c r="C332" s="1">
        <v>64.8</v>
      </c>
      <c r="D332" s="1">
        <v>12</v>
      </c>
      <c r="E332" s="1">
        <v>0.25</v>
      </c>
      <c r="F332">
        <f t="shared" si="5"/>
        <v>583.19999999999993</v>
      </c>
    </row>
    <row r="333" spans="1:6" ht="13">
      <c r="A333" s="1">
        <v>10372</v>
      </c>
      <c r="B333" s="1">
        <v>38</v>
      </c>
      <c r="C333" s="1">
        <v>210.8</v>
      </c>
      <c r="D333" s="1">
        <v>40</v>
      </c>
      <c r="E333" s="1">
        <v>0.25</v>
      </c>
      <c r="F333">
        <f t="shared" si="5"/>
        <v>6324</v>
      </c>
    </row>
    <row r="334" spans="1:6" ht="13">
      <c r="A334" s="1">
        <v>10372</v>
      </c>
      <c r="B334" s="1">
        <v>60</v>
      </c>
      <c r="C334" s="1">
        <v>27.2</v>
      </c>
      <c r="D334" s="1">
        <v>70</v>
      </c>
      <c r="E334" s="1">
        <v>0.25</v>
      </c>
      <c r="F334">
        <f t="shared" si="5"/>
        <v>1428</v>
      </c>
    </row>
    <row r="335" spans="1:6" ht="13">
      <c r="A335" s="1">
        <v>10372</v>
      </c>
      <c r="B335" s="1">
        <v>72</v>
      </c>
      <c r="C335" s="1">
        <v>27.8</v>
      </c>
      <c r="D335" s="1">
        <v>42</v>
      </c>
      <c r="E335" s="1">
        <v>0.25</v>
      </c>
      <c r="F335">
        <f t="shared" si="5"/>
        <v>875.7</v>
      </c>
    </row>
    <row r="336" spans="1:6" ht="13">
      <c r="A336" s="1">
        <v>10373</v>
      </c>
      <c r="B336" s="1">
        <v>58</v>
      </c>
      <c r="C336" s="1">
        <v>10.6</v>
      </c>
      <c r="D336" s="1">
        <v>80</v>
      </c>
      <c r="E336" s="1">
        <v>0.2</v>
      </c>
      <c r="F336">
        <f t="shared" si="5"/>
        <v>678.40000000000009</v>
      </c>
    </row>
    <row r="337" spans="1:6" ht="13">
      <c r="A337" s="1">
        <v>10373</v>
      </c>
      <c r="B337" s="1">
        <v>71</v>
      </c>
      <c r="C337" s="1">
        <v>17.2</v>
      </c>
      <c r="D337" s="1">
        <v>50</v>
      </c>
      <c r="E337" s="1">
        <v>0.2</v>
      </c>
      <c r="F337">
        <f t="shared" si="5"/>
        <v>688</v>
      </c>
    </row>
    <row r="338" spans="1:6" ht="13">
      <c r="A338" s="1">
        <v>10374</v>
      </c>
      <c r="B338" s="1">
        <v>31</v>
      </c>
      <c r="C338" s="1">
        <v>10</v>
      </c>
      <c r="D338" s="1">
        <v>30</v>
      </c>
      <c r="E338" s="1">
        <v>0</v>
      </c>
      <c r="F338">
        <f t="shared" si="5"/>
        <v>300</v>
      </c>
    </row>
    <row r="339" spans="1:6" ht="13">
      <c r="A339" s="1">
        <v>10374</v>
      </c>
      <c r="B339" s="1">
        <v>58</v>
      </c>
      <c r="C339" s="1">
        <v>10.6</v>
      </c>
      <c r="D339" s="1">
        <v>15</v>
      </c>
      <c r="E339" s="1">
        <v>0</v>
      </c>
      <c r="F339">
        <f t="shared" si="5"/>
        <v>159</v>
      </c>
    </row>
    <row r="340" spans="1:6" ht="13">
      <c r="A340" s="1">
        <v>10375</v>
      </c>
      <c r="B340" s="1">
        <v>14</v>
      </c>
      <c r="C340" s="1">
        <v>18.600000000000001</v>
      </c>
      <c r="D340" s="1">
        <v>15</v>
      </c>
      <c r="E340" s="1">
        <v>0</v>
      </c>
      <c r="F340">
        <f t="shared" si="5"/>
        <v>279</v>
      </c>
    </row>
    <row r="341" spans="1:6" ht="13">
      <c r="A341" s="1">
        <v>10375</v>
      </c>
      <c r="B341" s="1">
        <v>54</v>
      </c>
      <c r="C341" s="1">
        <v>5.9</v>
      </c>
      <c r="D341" s="1">
        <v>10</v>
      </c>
      <c r="E341" s="1">
        <v>0</v>
      </c>
      <c r="F341">
        <f t="shared" si="5"/>
        <v>59</v>
      </c>
    </row>
    <row r="342" spans="1:6" ht="13">
      <c r="A342" s="1">
        <v>10376</v>
      </c>
      <c r="B342" s="1">
        <v>31</v>
      </c>
      <c r="C342" s="1">
        <v>10</v>
      </c>
      <c r="D342" s="1">
        <v>42</v>
      </c>
      <c r="E342" s="1">
        <v>0.05</v>
      </c>
      <c r="F342">
        <f t="shared" si="5"/>
        <v>399</v>
      </c>
    </row>
    <row r="343" spans="1:6" ht="13">
      <c r="A343" s="1">
        <v>10377</v>
      </c>
      <c r="B343" s="1">
        <v>28</v>
      </c>
      <c r="C343" s="1">
        <v>36.4</v>
      </c>
      <c r="D343" s="1">
        <v>20</v>
      </c>
      <c r="E343" s="1">
        <v>0.15</v>
      </c>
      <c r="F343">
        <f t="shared" si="5"/>
        <v>618.79999999999995</v>
      </c>
    </row>
    <row r="344" spans="1:6" ht="13">
      <c r="A344" s="1">
        <v>10377</v>
      </c>
      <c r="B344" s="1">
        <v>39</v>
      </c>
      <c r="C344" s="1">
        <v>14.4</v>
      </c>
      <c r="D344" s="1">
        <v>20</v>
      </c>
      <c r="E344" s="1">
        <v>0.15</v>
      </c>
      <c r="F344">
        <f t="shared" si="5"/>
        <v>244.79999999999998</v>
      </c>
    </row>
    <row r="345" spans="1:6" ht="13">
      <c r="A345" s="1">
        <v>10378</v>
      </c>
      <c r="B345" s="1">
        <v>71</v>
      </c>
      <c r="C345" s="1">
        <v>17.2</v>
      </c>
      <c r="D345" s="1">
        <v>6</v>
      </c>
      <c r="E345" s="1">
        <v>0</v>
      </c>
      <c r="F345">
        <f t="shared" si="5"/>
        <v>103.19999999999999</v>
      </c>
    </row>
    <row r="346" spans="1:6" ht="13">
      <c r="A346" s="1">
        <v>10379</v>
      </c>
      <c r="B346" s="1">
        <v>41</v>
      </c>
      <c r="C346" s="1">
        <v>7.7</v>
      </c>
      <c r="D346" s="1">
        <v>8</v>
      </c>
      <c r="E346" s="1">
        <v>0.1</v>
      </c>
      <c r="F346">
        <f t="shared" si="5"/>
        <v>55.440000000000005</v>
      </c>
    </row>
    <row r="347" spans="1:6" ht="13">
      <c r="A347" s="1">
        <v>10379</v>
      </c>
      <c r="B347" s="1">
        <v>63</v>
      </c>
      <c r="C347" s="1">
        <v>35.1</v>
      </c>
      <c r="D347" s="1">
        <v>16</v>
      </c>
      <c r="E347" s="1">
        <v>0.1</v>
      </c>
      <c r="F347">
        <f t="shared" si="5"/>
        <v>505.44000000000005</v>
      </c>
    </row>
    <row r="348" spans="1:6" ht="13">
      <c r="A348" s="1">
        <v>10379</v>
      </c>
      <c r="B348" s="1">
        <v>65</v>
      </c>
      <c r="C348" s="1">
        <v>16.8</v>
      </c>
      <c r="D348" s="1">
        <v>20</v>
      </c>
      <c r="E348" s="1">
        <v>0.1</v>
      </c>
      <c r="F348">
        <f t="shared" si="5"/>
        <v>302.40000000000003</v>
      </c>
    </row>
    <row r="349" spans="1:6" ht="13">
      <c r="A349" s="1">
        <v>10380</v>
      </c>
      <c r="B349" s="1">
        <v>30</v>
      </c>
      <c r="C349" s="1">
        <v>20.7</v>
      </c>
      <c r="D349" s="1">
        <v>18</v>
      </c>
      <c r="E349" s="1">
        <v>0.1</v>
      </c>
      <c r="F349">
        <f t="shared" si="5"/>
        <v>335.34</v>
      </c>
    </row>
    <row r="350" spans="1:6" ht="13">
      <c r="A350" s="1">
        <v>10380</v>
      </c>
      <c r="B350" s="1">
        <v>53</v>
      </c>
      <c r="C350" s="1">
        <v>26.2</v>
      </c>
      <c r="D350" s="1">
        <v>20</v>
      </c>
      <c r="E350" s="1">
        <v>0.1</v>
      </c>
      <c r="F350">
        <f t="shared" si="5"/>
        <v>471.6</v>
      </c>
    </row>
    <row r="351" spans="1:6" ht="13">
      <c r="A351" s="1">
        <v>10380</v>
      </c>
      <c r="B351" s="1">
        <v>60</v>
      </c>
      <c r="C351" s="1">
        <v>27.2</v>
      </c>
      <c r="D351" s="1">
        <v>6</v>
      </c>
      <c r="E351" s="1">
        <v>0.1</v>
      </c>
      <c r="F351">
        <f t="shared" si="5"/>
        <v>146.88</v>
      </c>
    </row>
    <row r="352" spans="1:6" ht="13">
      <c r="A352" s="1">
        <v>10380</v>
      </c>
      <c r="B352" s="1">
        <v>70</v>
      </c>
      <c r="C352" s="1">
        <v>12</v>
      </c>
      <c r="D352" s="1">
        <v>30</v>
      </c>
      <c r="E352" s="1">
        <v>0</v>
      </c>
      <c r="F352">
        <f t="shared" si="5"/>
        <v>360</v>
      </c>
    </row>
    <row r="353" spans="1:6" ht="13">
      <c r="A353" s="1">
        <v>10381</v>
      </c>
      <c r="B353" s="1">
        <v>74</v>
      </c>
      <c r="C353" s="1">
        <v>8</v>
      </c>
      <c r="D353" s="1">
        <v>14</v>
      </c>
      <c r="E353" s="1">
        <v>0</v>
      </c>
      <c r="F353">
        <f t="shared" si="5"/>
        <v>112</v>
      </c>
    </row>
    <row r="354" spans="1:6" ht="13">
      <c r="A354" s="1">
        <v>10382</v>
      </c>
      <c r="B354" s="1">
        <v>5</v>
      </c>
      <c r="C354" s="1">
        <v>17</v>
      </c>
      <c r="D354" s="1">
        <v>32</v>
      </c>
      <c r="E354" s="1">
        <v>0</v>
      </c>
      <c r="F354">
        <f t="shared" si="5"/>
        <v>544</v>
      </c>
    </row>
    <row r="355" spans="1:6" ht="13">
      <c r="A355" s="1">
        <v>10382</v>
      </c>
      <c r="B355" s="1">
        <v>18</v>
      </c>
      <c r="C355" s="1">
        <v>50</v>
      </c>
      <c r="D355" s="1">
        <v>9</v>
      </c>
      <c r="E355" s="1">
        <v>0</v>
      </c>
      <c r="F355">
        <f t="shared" si="5"/>
        <v>450</v>
      </c>
    </row>
    <row r="356" spans="1:6" ht="13">
      <c r="A356" s="1">
        <v>10382</v>
      </c>
      <c r="B356" s="1">
        <v>29</v>
      </c>
      <c r="C356" s="1">
        <v>99</v>
      </c>
      <c r="D356" s="1">
        <v>14</v>
      </c>
      <c r="E356" s="1">
        <v>0</v>
      </c>
      <c r="F356">
        <f t="shared" si="5"/>
        <v>1386</v>
      </c>
    </row>
    <row r="357" spans="1:6" ht="13">
      <c r="A357" s="1">
        <v>10382</v>
      </c>
      <c r="B357" s="1">
        <v>33</v>
      </c>
      <c r="C357" s="1">
        <v>2</v>
      </c>
      <c r="D357" s="1">
        <v>60</v>
      </c>
      <c r="E357" s="1">
        <v>0</v>
      </c>
      <c r="F357">
        <f t="shared" si="5"/>
        <v>120</v>
      </c>
    </row>
    <row r="358" spans="1:6" ht="13">
      <c r="A358" s="1">
        <v>10382</v>
      </c>
      <c r="B358" s="1">
        <v>74</v>
      </c>
      <c r="C358" s="1">
        <v>8</v>
      </c>
      <c r="D358" s="1">
        <v>50</v>
      </c>
      <c r="E358" s="1">
        <v>0</v>
      </c>
      <c r="F358">
        <f t="shared" si="5"/>
        <v>400</v>
      </c>
    </row>
    <row r="359" spans="1:6" ht="13">
      <c r="A359" s="1">
        <v>10383</v>
      </c>
      <c r="B359" s="1">
        <v>13</v>
      </c>
      <c r="C359" s="1">
        <v>4.8</v>
      </c>
      <c r="D359" s="1">
        <v>20</v>
      </c>
      <c r="E359" s="1">
        <v>0</v>
      </c>
      <c r="F359">
        <f t="shared" si="5"/>
        <v>96</v>
      </c>
    </row>
    <row r="360" spans="1:6" ht="13">
      <c r="A360" s="1">
        <v>10383</v>
      </c>
      <c r="B360" s="1">
        <v>50</v>
      </c>
      <c r="C360" s="1">
        <v>13</v>
      </c>
      <c r="D360" s="1">
        <v>15</v>
      </c>
      <c r="E360" s="1">
        <v>0</v>
      </c>
      <c r="F360">
        <f t="shared" si="5"/>
        <v>195</v>
      </c>
    </row>
    <row r="361" spans="1:6" ht="13">
      <c r="A361" s="1">
        <v>10383</v>
      </c>
      <c r="B361" s="1">
        <v>56</v>
      </c>
      <c r="C361" s="1">
        <v>30.4</v>
      </c>
      <c r="D361" s="1">
        <v>20</v>
      </c>
      <c r="E361" s="1">
        <v>0</v>
      </c>
      <c r="F361">
        <f t="shared" si="5"/>
        <v>608</v>
      </c>
    </row>
    <row r="362" spans="1:6" ht="13">
      <c r="A362" s="1">
        <v>10384</v>
      </c>
      <c r="B362" s="1">
        <v>20</v>
      </c>
      <c r="C362" s="1">
        <v>64.8</v>
      </c>
      <c r="D362" s="1">
        <v>28</v>
      </c>
      <c r="E362" s="1">
        <v>0</v>
      </c>
      <c r="F362">
        <f t="shared" si="5"/>
        <v>1814.3999999999999</v>
      </c>
    </row>
    <row r="363" spans="1:6" ht="13">
      <c r="A363" s="1">
        <v>10384</v>
      </c>
      <c r="B363" s="1">
        <v>60</v>
      </c>
      <c r="C363" s="1">
        <v>27.2</v>
      </c>
      <c r="D363" s="1">
        <v>15</v>
      </c>
      <c r="E363" s="1">
        <v>0</v>
      </c>
      <c r="F363">
        <f t="shared" si="5"/>
        <v>408</v>
      </c>
    </row>
    <row r="364" spans="1:6" ht="13">
      <c r="A364" s="1">
        <v>10385</v>
      </c>
      <c r="B364" s="1">
        <v>7</v>
      </c>
      <c r="C364" s="1">
        <v>24</v>
      </c>
      <c r="D364" s="1">
        <v>10</v>
      </c>
      <c r="E364" s="1">
        <v>0.2</v>
      </c>
      <c r="F364">
        <f t="shared" si="5"/>
        <v>192</v>
      </c>
    </row>
    <row r="365" spans="1:6" ht="13">
      <c r="A365" s="1">
        <v>10385</v>
      </c>
      <c r="B365" s="1">
        <v>60</v>
      </c>
      <c r="C365" s="1">
        <v>27.2</v>
      </c>
      <c r="D365" s="1">
        <v>20</v>
      </c>
      <c r="E365" s="1">
        <v>0.2</v>
      </c>
      <c r="F365">
        <f t="shared" si="5"/>
        <v>435.20000000000005</v>
      </c>
    </row>
    <row r="366" spans="1:6" ht="13">
      <c r="A366" s="1">
        <v>10385</v>
      </c>
      <c r="B366" s="1">
        <v>68</v>
      </c>
      <c r="C366" s="1">
        <v>10</v>
      </c>
      <c r="D366" s="1">
        <v>8</v>
      </c>
      <c r="E366" s="1">
        <v>0.2</v>
      </c>
      <c r="F366">
        <f t="shared" si="5"/>
        <v>64</v>
      </c>
    </row>
    <row r="367" spans="1:6" ht="13">
      <c r="A367" s="1">
        <v>10386</v>
      </c>
      <c r="B367" s="1">
        <v>24</v>
      </c>
      <c r="C367" s="1">
        <v>3.6</v>
      </c>
      <c r="D367" s="1">
        <v>15</v>
      </c>
      <c r="E367" s="1">
        <v>0</v>
      </c>
      <c r="F367">
        <f t="shared" si="5"/>
        <v>54</v>
      </c>
    </row>
    <row r="368" spans="1:6" ht="13">
      <c r="A368" s="1">
        <v>10386</v>
      </c>
      <c r="B368" s="1">
        <v>34</v>
      </c>
      <c r="C368" s="1">
        <v>11.2</v>
      </c>
      <c r="D368" s="1">
        <v>10</v>
      </c>
      <c r="E368" s="1">
        <v>0</v>
      </c>
      <c r="F368">
        <f t="shared" si="5"/>
        <v>112</v>
      </c>
    </row>
    <row r="369" spans="1:6" ht="13">
      <c r="A369" s="1">
        <v>10387</v>
      </c>
      <c r="B369" s="1">
        <v>24</v>
      </c>
      <c r="C369" s="1">
        <v>3.6</v>
      </c>
      <c r="D369" s="1">
        <v>15</v>
      </c>
      <c r="E369" s="1">
        <v>0</v>
      </c>
      <c r="F369">
        <f t="shared" si="5"/>
        <v>54</v>
      </c>
    </row>
    <row r="370" spans="1:6" ht="13">
      <c r="A370" s="1">
        <v>10387</v>
      </c>
      <c r="B370" s="1">
        <v>28</v>
      </c>
      <c r="C370" s="1">
        <v>36.4</v>
      </c>
      <c r="D370" s="1">
        <v>6</v>
      </c>
      <c r="E370" s="1">
        <v>0</v>
      </c>
      <c r="F370">
        <f t="shared" si="5"/>
        <v>218.39999999999998</v>
      </c>
    </row>
    <row r="371" spans="1:6" ht="13">
      <c r="A371" s="1">
        <v>10387</v>
      </c>
      <c r="B371" s="1">
        <v>59</v>
      </c>
      <c r="C371" s="1">
        <v>44</v>
      </c>
      <c r="D371" s="1">
        <v>12</v>
      </c>
      <c r="E371" s="1">
        <v>0</v>
      </c>
      <c r="F371">
        <f t="shared" si="5"/>
        <v>528</v>
      </c>
    </row>
    <row r="372" spans="1:6" ht="13">
      <c r="A372" s="1">
        <v>10387</v>
      </c>
      <c r="B372" s="1">
        <v>71</v>
      </c>
      <c r="C372" s="1">
        <v>17.2</v>
      </c>
      <c r="D372" s="1">
        <v>15</v>
      </c>
      <c r="E372" s="1">
        <v>0</v>
      </c>
      <c r="F372">
        <f t="shared" si="5"/>
        <v>258</v>
      </c>
    </row>
    <row r="373" spans="1:6" ht="13">
      <c r="A373" s="1">
        <v>10388</v>
      </c>
      <c r="B373" s="1">
        <v>45</v>
      </c>
      <c r="C373" s="1">
        <v>7.6</v>
      </c>
      <c r="D373" s="1">
        <v>15</v>
      </c>
      <c r="E373" s="1">
        <v>0.2</v>
      </c>
      <c r="F373">
        <f t="shared" si="5"/>
        <v>91.2</v>
      </c>
    </row>
    <row r="374" spans="1:6" ht="13">
      <c r="A374" s="1">
        <v>10388</v>
      </c>
      <c r="B374" s="1">
        <v>52</v>
      </c>
      <c r="C374" s="1">
        <v>5.6</v>
      </c>
      <c r="D374" s="1">
        <v>20</v>
      </c>
      <c r="E374" s="1">
        <v>0.2</v>
      </c>
      <c r="F374">
        <f t="shared" si="5"/>
        <v>89.600000000000009</v>
      </c>
    </row>
    <row r="375" spans="1:6" ht="13">
      <c r="A375" s="1">
        <v>10388</v>
      </c>
      <c r="B375" s="1">
        <v>53</v>
      </c>
      <c r="C375" s="1">
        <v>26.2</v>
      </c>
      <c r="D375" s="1">
        <v>40</v>
      </c>
      <c r="E375" s="1">
        <v>0</v>
      </c>
      <c r="F375">
        <f t="shared" si="5"/>
        <v>1048</v>
      </c>
    </row>
    <row r="376" spans="1:6" ht="13">
      <c r="A376" s="1">
        <v>10389</v>
      </c>
      <c r="B376" s="1">
        <v>10</v>
      </c>
      <c r="C376" s="1">
        <v>24.8</v>
      </c>
      <c r="D376" s="1">
        <v>16</v>
      </c>
      <c r="E376" s="1">
        <v>0</v>
      </c>
      <c r="F376">
        <f t="shared" si="5"/>
        <v>396.8</v>
      </c>
    </row>
    <row r="377" spans="1:6" ht="13">
      <c r="A377" s="1">
        <v>10389</v>
      </c>
      <c r="B377" s="1">
        <v>55</v>
      </c>
      <c r="C377" s="1">
        <v>19.2</v>
      </c>
      <c r="D377" s="1">
        <v>15</v>
      </c>
      <c r="E377" s="1">
        <v>0</v>
      </c>
      <c r="F377">
        <f t="shared" si="5"/>
        <v>288</v>
      </c>
    </row>
    <row r="378" spans="1:6" ht="13">
      <c r="A378" s="1">
        <v>10389</v>
      </c>
      <c r="B378" s="1">
        <v>62</v>
      </c>
      <c r="C378" s="1">
        <v>39.4</v>
      </c>
      <c r="D378" s="1">
        <v>20</v>
      </c>
      <c r="E378" s="1">
        <v>0</v>
      </c>
      <c r="F378">
        <f t="shared" si="5"/>
        <v>788</v>
      </c>
    </row>
    <row r="379" spans="1:6" ht="13">
      <c r="A379" s="1">
        <v>10389</v>
      </c>
      <c r="B379" s="1">
        <v>70</v>
      </c>
      <c r="C379" s="1">
        <v>12</v>
      </c>
      <c r="D379" s="1">
        <v>30</v>
      </c>
      <c r="E379" s="1">
        <v>0</v>
      </c>
      <c r="F379">
        <f t="shared" si="5"/>
        <v>360</v>
      </c>
    </row>
    <row r="380" spans="1:6" ht="13">
      <c r="A380" s="1">
        <v>10390</v>
      </c>
      <c r="B380" s="1">
        <v>31</v>
      </c>
      <c r="C380" s="1">
        <v>10</v>
      </c>
      <c r="D380" s="1">
        <v>60</v>
      </c>
      <c r="E380" s="1">
        <v>0.1</v>
      </c>
      <c r="F380">
        <f t="shared" si="5"/>
        <v>540</v>
      </c>
    </row>
    <row r="381" spans="1:6" ht="13">
      <c r="A381" s="1">
        <v>10390</v>
      </c>
      <c r="B381" s="1">
        <v>35</v>
      </c>
      <c r="C381" s="1">
        <v>14.4</v>
      </c>
      <c r="D381" s="1">
        <v>40</v>
      </c>
      <c r="E381" s="1">
        <v>0.1</v>
      </c>
      <c r="F381">
        <f t="shared" si="5"/>
        <v>518.4</v>
      </c>
    </row>
    <row r="382" spans="1:6" ht="13">
      <c r="A382" s="1">
        <v>10390</v>
      </c>
      <c r="B382" s="1">
        <v>46</v>
      </c>
      <c r="C382" s="1">
        <v>9.6</v>
      </c>
      <c r="D382" s="1">
        <v>45</v>
      </c>
      <c r="E382" s="1">
        <v>0</v>
      </c>
      <c r="F382">
        <f t="shared" si="5"/>
        <v>432</v>
      </c>
    </row>
    <row r="383" spans="1:6" ht="13">
      <c r="A383" s="1">
        <v>10390</v>
      </c>
      <c r="B383" s="1">
        <v>72</v>
      </c>
      <c r="C383" s="1">
        <v>27.8</v>
      </c>
      <c r="D383" s="1">
        <v>24</v>
      </c>
      <c r="E383" s="1">
        <v>0.1</v>
      </c>
      <c r="F383">
        <f t="shared" si="5"/>
        <v>600.48</v>
      </c>
    </row>
    <row r="384" spans="1:6" ht="13">
      <c r="A384" s="1">
        <v>10391</v>
      </c>
      <c r="B384" s="1">
        <v>13</v>
      </c>
      <c r="C384" s="1">
        <v>4.8</v>
      </c>
      <c r="D384" s="1">
        <v>18</v>
      </c>
      <c r="E384" s="1">
        <v>0</v>
      </c>
      <c r="F384">
        <f t="shared" si="5"/>
        <v>86.399999999999991</v>
      </c>
    </row>
    <row r="385" spans="1:6" ht="13">
      <c r="A385" s="1">
        <v>10392</v>
      </c>
      <c r="B385" s="1">
        <v>69</v>
      </c>
      <c r="C385" s="1">
        <v>28.8</v>
      </c>
      <c r="D385" s="1">
        <v>50</v>
      </c>
      <c r="E385" s="1">
        <v>0</v>
      </c>
      <c r="F385">
        <f t="shared" si="5"/>
        <v>1440</v>
      </c>
    </row>
    <row r="386" spans="1:6" ht="13">
      <c r="A386" s="1">
        <v>10393</v>
      </c>
      <c r="B386" s="1">
        <v>2</v>
      </c>
      <c r="C386" s="1">
        <v>15.2</v>
      </c>
      <c r="D386" s="1">
        <v>25</v>
      </c>
      <c r="E386" s="1">
        <v>0.25</v>
      </c>
      <c r="F386">
        <f t="shared" si="5"/>
        <v>285</v>
      </c>
    </row>
    <row r="387" spans="1:6" ht="13">
      <c r="A387" s="1">
        <v>10393</v>
      </c>
      <c r="B387" s="1">
        <v>14</v>
      </c>
      <c r="C387" s="1">
        <v>18.600000000000001</v>
      </c>
      <c r="D387" s="1">
        <v>42</v>
      </c>
      <c r="E387" s="1">
        <v>0.25</v>
      </c>
      <c r="F387">
        <f t="shared" ref="F387:F450" si="6">C387*D387*(1-E387)</f>
        <v>585.90000000000009</v>
      </c>
    </row>
    <row r="388" spans="1:6" ht="13">
      <c r="A388" s="1">
        <v>10393</v>
      </c>
      <c r="B388" s="1">
        <v>25</v>
      </c>
      <c r="C388" s="1">
        <v>11.2</v>
      </c>
      <c r="D388" s="1">
        <v>7</v>
      </c>
      <c r="E388" s="1">
        <v>0.25</v>
      </c>
      <c r="F388">
        <f t="shared" si="6"/>
        <v>58.8</v>
      </c>
    </row>
    <row r="389" spans="1:6" ht="13">
      <c r="A389" s="1">
        <v>10393</v>
      </c>
      <c r="B389" s="1">
        <v>26</v>
      </c>
      <c r="C389" s="1">
        <v>24.9</v>
      </c>
      <c r="D389" s="1">
        <v>70</v>
      </c>
      <c r="E389" s="1">
        <v>0.25</v>
      </c>
      <c r="F389">
        <f t="shared" si="6"/>
        <v>1307.25</v>
      </c>
    </row>
    <row r="390" spans="1:6" ht="13">
      <c r="A390" s="1">
        <v>10393</v>
      </c>
      <c r="B390" s="1">
        <v>31</v>
      </c>
      <c r="C390" s="1">
        <v>10</v>
      </c>
      <c r="D390" s="1">
        <v>32</v>
      </c>
      <c r="E390" s="1">
        <v>0</v>
      </c>
      <c r="F390">
        <f t="shared" si="6"/>
        <v>320</v>
      </c>
    </row>
    <row r="391" spans="1:6" ht="13">
      <c r="A391" s="1">
        <v>10394</v>
      </c>
      <c r="B391" s="1">
        <v>13</v>
      </c>
      <c r="C391" s="1">
        <v>4.8</v>
      </c>
      <c r="D391" s="1">
        <v>10</v>
      </c>
      <c r="E391" s="1">
        <v>0</v>
      </c>
      <c r="F391">
        <f t="shared" si="6"/>
        <v>48</v>
      </c>
    </row>
    <row r="392" spans="1:6" ht="13">
      <c r="A392" s="1">
        <v>10394</v>
      </c>
      <c r="B392" s="1">
        <v>62</v>
      </c>
      <c r="C392" s="1">
        <v>39.4</v>
      </c>
      <c r="D392" s="1">
        <v>10</v>
      </c>
      <c r="E392" s="1">
        <v>0</v>
      </c>
      <c r="F392">
        <f t="shared" si="6"/>
        <v>394</v>
      </c>
    </row>
    <row r="393" spans="1:6" ht="13">
      <c r="A393" s="1">
        <v>10395</v>
      </c>
      <c r="B393" s="1">
        <v>46</v>
      </c>
      <c r="C393" s="1">
        <v>9.6</v>
      </c>
      <c r="D393" s="1">
        <v>28</v>
      </c>
      <c r="E393" s="1">
        <v>0.1</v>
      </c>
      <c r="F393">
        <f t="shared" si="6"/>
        <v>241.92000000000002</v>
      </c>
    </row>
    <row r="394" spans="1:6" ht="13">
      <c r="A394" s="1">
        <v>10395</v>
      </c>
      <c r="B394" s="1">
        <v>53</v>
      </c>
      <c r="C394" s="1">
        <v>26.2</v>
      </c>
      <c r="D394" s="1">
        <v>70</v>
      </c>
      <c r="E394" s="1">
        <v>0.1</v>
      </c>
      <c r="F394">
        <f t="shared" si="6"/>
        <v>1650.6000000000001</v>
      </c>
    </row>
    <row r="395" spans="1:6" ht="13">
      <c r="A395" s="1">
        <v>10395</v>
      </c>
      <c r="B395" s="1">
        <v>69</v>
      </c>
      <c r="C395" s="1">
        <v>28.8</v>
      </c>
      <c r="D395" s="1">
        <v>8</v>
      </c>
      <c r="E395" s="1">
        <v>0</v>
      </c>
      <c r="F395">
        <f t="shared" si="6"/>
        <v>230.4</v>
      </c>
    </row>
    <row r="396" spans="1:6" ht="13">
      <c r="A396" s="1">
        <v>10396</v>
      </c>
      <c r="B396" s="1">
        <v>23</v>
      </c>
      <c r="C396" s="1">
        <v>7.2</v>
      </c>
      <c r="D396" s="1">
        <v>40</v>
      </c>
      <c r="E396" s="1">
        <v>0</v>
      </c>
      <c r="F396">
        <f t="shared" si="6"/>
        <v>288</v>
      </c>
    </row>
    <row r="397" spans="1:6" ht="13">
      <c r="A397" s="1">
        <v>10396</v>
      </c>
      <c r="B397" s="1">
        <v>71</v>
      </c>
      <c r="C397" s="1">
        <v>17.2</v>
      </c>
      <c r="D397" s="1">
        <v>60</v>
      </c>
      <c r="E397" s="1">
        <v>0</v>
      </c>
      <c r="F397">
        <f t="shared" si="6"/>
        <v>1032</v>
      </c>
    </row>
    <row r="398" spans="1:6" ht="13">
      <c r="A398" s="1">
        <v>10396</v>
      </c>
      <c r="B398" s="1">
        <v>72</v>
      </c>
      <c r="C398" s="1">
        <v>27.8</v>
      </c>
      <c r="D398" s="1">
        <v>21</v>
      </c>
      <c r="E398" s="1">
        <v>0</v>
      </c>
      <c r="F398">
        <f t="shared" si="6"/>
        <v>583.80000000000007</v>
      </c>
    </row>
    <row r="399" spans="1:6" ht="13">
      <c r="A399" s="1">
        <v>10397</v>
      </c>
      <c r="B399" s="1">
        <v>21</v>
      </c>
      <c r="C399" s="1">
        <v>8</v>
      </c>
      <c r="D399" s="1">
        <v>10</v>
      </c>
      <c r="E399" s="1">
        <v>0.15</v>
      </c>
      <c r="F399">
        <f t="shared" si="6"/>
        <v>68</v>
      </c>
    </row>
    <row r="400" spans="1:6" ht="13">
      <c r="A400" s="1">
        <v>10397</v>
      </c>
      <c r="B400" s="1">
        <v>51</v>
      </c>
      <c r="C400" s="1">
        <v>42.4</v>
      </c>
      <c r="D400" s="1">
        <v>18</v>
      </c>
      <c r="E400" s="1">
        <v>0.15</v>
      </c>
      <c r="F400">
        <f t="shared" si="6"/>
        <v>648.71999999999991</v>
      </c>
    </row>
    <row r="401" spans="1:6" ht="13">
      <c r="A401" s="1">
        <v>10398</v>
      </c>
      <c r="B401" s="1">
        <v>35</v>
      </c>
      <c r="C401" s="1">
        <v>14.4</v>
      </c>
      <c r="D401" s="1">
        <v>30</v>
      </c>
      <c r="E401" s="1">
        <v>0</v>
      </c>
      <c r="F401">
        <f t="shared" si="6"/>
        <v>432</v>
      </c>
    </row>
    <row r="402" spans="1:6" ht="13">
      <c r="A402" s="1">
        <v>10398</v>
      </c>
      <c r="B402" s="1">
        <v>55</v>
      </c>
      <c r="C402" s="1">
        <v>19.2</v>
      </c>
      <c r="D402" s="1">
        <v>120</v>
      </c>
      <c r="E402" s="1">
        <v>0.1</v>
      </c>
      <c r="F402">
        <f t="shared" si="6"/>
        <v>2073.6</v>
      </c>
    </row>
    <row r="403" spans="1:6" ht="13">
      <c r="A403" s="1">
        <v>10399</v>
      </c>
      <c r="B403" s="1">
        <v>68</v>
      </c>
      <c r="C403" s="1">
        <v>10</v>
      </c>
      <c r="D403" s="1">
        <v>60</v>
      </c>
      <c r="E403" s="1">
        <v>0</v>
      </c>
      <c r="F403">
        <f t="shared" si="6"/>
        <v>600</v>
      </c>
    </row>
    <row r="404" spans="1:6" ht="13">
      <c r="A404" s="1">
        <v>10399</v>
      </c>
      <c r="B404" s="1">
        <v>71</v>
      </c>
      <c r="C404" s="1">
        <v>17.2</v>
      </c>
      <c r="D404" s="1">
        <v>30</v>
      </c>
      <c r="E404" s="1">
        <v>0</v>
      </c>
      <c r="F404">
        <f t="shared" si="6"/>
        <v>516</v>
      </c>
    </row>
    <row r="405" spans="1:6" ht="13">
      <c r="A405" s="1">
        <v>10399</v>
      </c>
      <c r="B405" s="1">
        <v>76</v>
      </c>
      <c r="C405" s="1">
        <v>14.4</v>
      </c>
      <c r="D405" s="1">
        <v>35</v>
      </c>
      <c r="E405" s="1">
        <v>0</v>
      </c>
      <c r="F405">
        <f t="shared" si="6"/>
        <v>504</v>
      </c>
    </row>
    <row r="406" spans="1:6" ht="13">
      <c r="A406" s="1">
        <v>10399</v>
      </c>
      <c r="B406" s="1">
        <v>77</v>
      </c>
      <c r="C406" s="1">
        <v>10.4</v>
      </c>
      <c r="D406" s="1">
        <v>14</v>
      </c>
      <c r="E406" s="1">
        <v>0</v>
      </c>
      <c r="F406">
        <f t="shared" si="6"/>
        <v>145.6</v>
      </c>
    </row>
    <row r="407" spans="1:6" ht="13">
      <c r="A407" s="1">
        <v>10400</v>
      </c>
      <c r="B407" s="1">
        <v>29</v>
      </c>
      <c r="C407" s="1">
        <v>99</v>
      </c>
      <c r="D407" s="1">
        <v>21</v>
      </c>
      <c r="E407" s="1">
        <v>0</v>
      </c>
      <c r="F407">
        <f t="shared" si="6"/>
        <v>2079</v>
      </c>
    </row>
    <row r="408" spans="1:6" ht="13">
      <c r="A408" s="1">
        <v>10400</v>
      </c>
      <c r="B408" s="1">
        <v>35</v>
      </c>
      <c r="C408" s="1">
        <v>14.4</v>
      </c>
      <c r="D408" s="1">
        <v>35</v>
      </c>
      <c r="E408" s="1">
        <v>0</v>
      </c>
      <c r="F408">
        <f t="shared" si="6"/>
        <v>504</v>
      </c>
    </row>
    <row r="409" spans="1:6" ht="13">
      <c r="A409" s="1">
        <v>10400</v>
      </c>
      <c r="B409" s="1">
        <v>49</v>
      </c>
      <c r="C409" s="1">
        <v>16</v>
      </c>
      <c r="D409" s="1">
        <v>30</v>
      </c>
      <c r="E409" s="1">
        <v>0</v>
      </c>
      <c r="F409">
        <f t="shared" si="6"/>
        <v>480</v>
      </c>
    </row>
    <row r="410" spans="1:6" ht="13">
      <c r="A410" s="1">
        <v>10401</v>
      </c>
      <c r="B410" s="1">
        <v>30</v>
      </c>
      <c r="C410" s="1">
        <v>20.7</v>
      </c>
      <c r="D410" s="1">
        <v>18</v>
      </c>
      <c r="E410" s="1">
        <v>0</v>
      </c>
      <c r="F410">
        <f t="shared" si="6"/>
        <v>372.59999999999997</v>
      </c>
    </row>
    <row r="411" spans="1:6" ht="13">
      <c r="A411" s="1">
        <v>10401</v>
      </c>
      <c r="B411" s="1">
        <v>56</v>
      </c>
      <c r="C411" s="1">
        <v>30.4</v>
      </c>
      <c r="D411" s="1">
        <v>70</v>
      </c>
      <c r="E411" s="1">
        <v>0</v>
      </c>
      <c r="F411">
        <f t="shared" si="6"/>
        <v>2128</v>
      </c>
    </row>
    <row r="412" spans="1:6" ht="13">
      <c r="A412" s="1">
        <v>10401</v>
      </c>
      <c r="B412" s="1">
        <v>65</v>
      </c>
      <c r="C412" s="1">
        <v>16.8</v>
      </c>
      <c r="D412" s="1">
        <v>20</v>
      </c>
      <c r="E412" s="1">
        <v>0</v>
      </c>
      <c r="F412">
        <f t="shared" si="6"/>
        <v>336</v>
      </c>
    </row>
    <row r="413" spans="1:6" ht="13">
      <c r="A413" s="1">
        <v>10401</v>
      </c>
      <c r="B413" s="1">
        <v>71</v>
      </c>
      <c r="C413" s="1">
        <v>17.2</v>
      </c>
      <c r="D413" s="1">
        <v>60</v>
      </c>
      <c r="E413" s="1">
        <v>0</v>
      </c>
      <c r="F413">
        <f t="shared" si="6"/>
        <v>1032</v>
      </c>
    </row>
    <row r="414" spans="1:6" ht="13">
      <c r="A414" s="1">
        <v>10402</v>
      </c>
      <c r="B414" s="1">
        <v>23</v>
      </c>
      <c r="C414" s="1">
        <v>7.2</v>
      </c>
      <c r="D414" s="1">
        <v>60</v>
      </c>
      <c r="E414" s="1">
        <v>0</v>
      </c>
      <c r="F414">
        <f t="shared" si="6"/>
        <v>432</v>
      </c>
    </row>
    <row r="415" spans="1:6" ht="13">
      <c r="A415" s="1">
        <v>10402</v>
      </c>
      <c r="B415" s="1">
        <v>63</v>
      </c>
      <c r="C415" s="1">
        <v>35.1</v>
      </c>
      <c r="D415" s="1">
        <v>65</v>
      </c>
      <c r="E415" s="1">
        <v>0</v>
      </c>
      <c r="F415">
        <f t="shared" si="6"/>
        <v>2281.5</v>
      </c>
    </row>
    <row r="416" spans="1:6" ht="13">
      <c r="A416" s="1">
        <v>10403</v>
      </c>
      <c r="B416" s="1">
        <v>16</v>
      </c>
      <c r="C416" s="1">
        <v>13.9</v>
      </c>
      <c r="D416" s="1">
        <v>21</v>
      </c>
      <c r="E416" s="1">
        <v>0.15</v>
      </c>
      <c r="F416">
        <f t="shared" si="6"/>
        <v>248.11500000000001</v>
      </c>
    </row>
    <row r="417" spans="1:6" ht="13">
      <c r="A417" s="1">
        <v>10403</v>
      </c>
      <c r="B417" s="1">
        <v>48</v>
      </c>
      <c r="C417" s="1">
        <v>10.199999999999999</v>
      </c>
      <c r="D417" s="1">
        <v>70</v>
      </c>
      <c r="E417" s="1">
        <v>0.15</v>
      </c>
      <c r="F417">
        <f t="shared" si="6"/>
        <v>606.9</v>
      </c>
    </row>
    <row r="418" spans="1:6" ht="13">
      <c r="A418" s="1">
        <v>10404</v>
      </c>
      <c r="B418" s="1">
        <v>26</v>
      </c>
      <c r="C418" s="1">
        <v>24.9</v>
      </c>
      <c r="D418" s="1">
        <v>30</v>
      </c>
      <c r="E418" s="1">
        <v>0.05</v>
      </c>
      <c r="F418">
        <f t="shared" si="6"/>
        <v>709.65</v>
      </c>
    </row>
    <row r="419" spans="1:6" ht="13">
      <c r="A419" s="1">
        <v>10404</v>
      </c>
      <c r="B419" s="1">
        <v>42</v>
      </c>
      <c r="C419" s="1">
        <v>11.2</v>
      </c>
      <c r="D419" s="1">
        <v>40</v>
      </c>
      <c r="E419" s="1">
        <v>0.05</v>
      </c>
      <c r="F419">
        <f t="shared" si="6"/>
        <v>425.59999999999997</v>
      </c>
    </row>
    <row r="420" spans="1:6" ht="13">
      <c r="A420" s="1">
        <v>10404</v>
      </c>
      <c r="B420" s="1">
        <v>49</v>
      </c>
      <c r="C420" s="1">
        <v>16</v>
      </c>
      <c r="D420" s="1">
        <v>30</v>
      </c>
      <c r="E420" s="1">
        <v>0.05</v>
      </c>
      <c r="F420">
        <f t="shared" si="6"/>
        <v>456</v>
      </c>
    </row>
    <row r="421" spans="1:6" ht="13">
      <c r="A421" s="1">
        <v>10405</v>
      </c>
      <c r="B421" s="1">
        <v>3</v>
      </c>
      <c r="C421" s="1">
        <v>8</v>
      </c>
      <c r="D421" s="1">
        <v>50</v>
      </c>
      <c r="E421" s="1">
        <v>0</v>
      </c>
      <c r="F421">
        <f t="shared" si="6"/>
        <v>400</v>
      </c>
    </row>
    <row r="422" spans="1:6" ht="13">
      <c r="A422" s="1">
        <v>10406</v>
      </c>
      <c r="B422" s="1">
        <v>1</v>
      </c>
      <c r="C422" s="1">
        <v>14.4</v>
      </c>
      <c r="D422" s="1">
        <v>10</v>
      </c>
      <c r="E422" s="1">
        <v>0</v>
      </c>
      <c r="F422">
        <f t="shared" si="6"/>
        <v>144</v>
      </c>
    </row>
    <row r="423" spans="1:6" ht="13">
      <c r="A423" s="1">
        <v>10406</v>
      </c>
      <c r="B423" s="1">
        <v>21</v>
      </c>
      <c r="C423" s="1">
        <v>8</v>
      </c>
      <c r="D423" s="1">
        <v>30</v>
      </c>
      <c r="E423" s="1">
        <v>0.1</v>
      </c>
      <c r="F423">
        <f t="shared" si="6"/>
        <v>216</v>
      </c>
    </row>
    <row r="424" spans="1:6" ht="13">
      <c r="A424" s="1">
        <v>10406</v>
      </c>
      <c r="B424" s="1">
        <v>28</v>
      </c>
      <c r="C424" s="1">
        <v>36.4</v>
      </c>
      <c r="D424" s="1">
        <v>42</v>
      </c>
      <c r="E424" s="1">
        <v>0.1</v>
      </c>
      <c r="F424">
        <f t="shared" si="6"/>
        <v>1375.92</v>
      </c>
    </row>
    <row r="425" spans="1:6" ht="13">
      <c r="A425" s="1">
        <v>10406</v>
      </c>
      <c r="B425" s="1">
        <v>36</v>
      </c>
      <c r="C425" s="1">
        <v>15.2</v>
      </c>
      <c r="D425" s="1">
        <v>5</v>
      </c>
      <c r="E425" s="1">
        <v>0.1</v>
      </c>
      <c r="F425">
        <f t="shared" si="6"/>
        <v>68.400000000000006</v>
      </c>
    </row>
    <row r="426" spans="1:6" ht="13">
      <c r="A426" s="1">
        <v>10406</v>
      </c>
      <c r="B426" s="1">
        <v>40</v>
      </c>
      <c r="C426" s="1">
        <v>14.7</v>
      </c>
      <c r="D426" s="1">
        <v>2</v>
      </c>
      <c r="E426" s="1">
        <v>0.1</v>
      </c>
      <c r="F426">
        <f t="shared" si="6"/>
        <v>26.46</v>
      </c>
    </row>
    <row r="427" spans="1:6" ht="13">
      <c r="A427" s="1">
        <v>10407</v>
      </c>
      <c r="B427" s="1">
        <v>11</v>
      </c>
      <c r="C427" s="1">
        <v>16.8</v>
      </c>
      <c r="D427" s="1">
        <v>30</v>
      </c>
      <c r="E427" s="1">
        <v>0</v>
      </c>
      <c r="F427">
        <f t="shared" si="6"/>
        <v>504</v>
      </c>
    </row>
    <row r="428" spans="1:6" ht="13">
      <c r="A428" s="1">
        <v>10407</v>
      </c>
      <c r="B428" s="1">
        <v>69</v>
      </c>
      <c r="C428" s="1">
        <v>28.8</v>
      </c>
      <c r="D428" s="1">
        <v>15</v>
      </c>
      <c r="E428" s="1">
        <v>0</v>
      </c>
      <c r="F428">
        <f t="shared" si="6"/>
        <v>432</v>
      </c>
    </row>
    <row r="429" spans="1:6" ht="13">
      <c r="A429" s="1">
        <v>10407</v>
      </c>
      <c r="B429" s="1">
        <v>71</v>
      </c>
      <c r="C429" s="1">
        <v>17.2</v>
      </c>
      <c r="D429" s="1">
        <v>15</v>
      </c>
      <c r="E429" s="1">
        <v>0</v>
      </c>
      <c r="F429">
        <f t="shared" si="6"/>
        <v>258</v>
      </c>
    </row>
    <row r="430" spans="1:6" ht="13">
      <c r="A430" s="1">
        <v>10408</v>
      </c>
      <c r="B430" s="1">
        <v>37</v>
      </c>
      <c r="C430" s="1">
        <v>20.8</v>
      </c>
      <c r="D430" s="1">
        <v>10</v>
      </c>
      <c r="E430" s="1">
        <v>0</v>
      </c>
      <c r="F430">
        <f t="shared" si="6"/>
        <v>208</v>
      </c>
    </row>
    <row r="431" spans="1:6" ht="13">
      <c r="A431" s="1">
        <v>10408</v>
      </c>
      <c r="B431" s="1">
        <v>54</v>
      </c>
      <c r="C431" s="1">
        <v>5.9</v>
      </c>
      <c r="D431" s="1">
        <v>6</v>
      </c>
      <c r="E431" s="1">
        <v>0</v>
      </c>
      <c r="F431">
        <f t="shared" si="6"/>
        <v>35.400000000000006</v>
      </c>
    </row>
    <row r="432" spans="1:6" ht="13">
      <c r="A432" s="1">
        <v>10408</v>
      </c>
      <c r="B432" s="1">
        <v>62</v>
      </c>
      <c r="C432" s="1">
        <v>39.4</v>
      </c>
      <c r="D432" s="1">
        <v>35</v>
      </c>
      <c r="E432" s="1">
        <v>0</v>
      </c>
      <c r="F432">
        <f t="shared" si="6"/>
        <v>1379</v>
      </c>
    </row>
    <row r="433" spans="1:6" ht="13">
      <c r="A433" s="1">
        <v>10409</v>
      </c>
      <c r="B433" s="1">
        <v>14</v>
      </c>
      <c r="C433" s="1">
        <v>18.600000000000001</v>
      </c>
      <c r="D433" s="1">
        <v>12</v>
      </c>
      <c r="E433" s="1">
        <v>0</v>
      </c>
      <c r="F433">
        <f t="shared" si="6"/>
        <v>223.20000000000002</v>
      </c>
    </row>
    <row r="434" spans="1:6" ht="13">
      <c r="A434" s="1">
        <v>10409</v>
      </c>
      <c r="B434" s="1">
        <v>21</v>
      </c>
      <c r="C434" s="1">
        <v>8</v>
      </c>
      <c r="D434" s="1">
        <v>12</v>
      </c>
      <c r="E434" s="1">
        <v>0</v>
      </c>
      <c r="F434">
        <f t="shared" si="6"/>
        <v>96</v>
      </c>
    </row>
    <row r="435" spans="1:6" ht="13">
      <c r="A435" s="1">
        <v>10410</v>
      </c>
      <c r="B435" s="1">
        <v>33</v>
      </c>
      <c r="C435" s="1">
        <v>2</v>
      </c>
      <c r="D435" s="1">
        <v>49</v>
      </c>
      <c r="E435" s="1">
        <v>0</v>
      </c>
      <c r="F435">
        <f t="shared" si="6"/>
        <v>98</v>
      </c>
    </row>
    <row r="436" spans="1:6" ht="13">
      <c r="A436" s="1">
        <v>10410</v>
      </c>
      <c r="B436" s="1">
        <v>59</v>
      </c>
      <c r="C436" s="1">
        <v>44</v>
      </c>
      <c r="D436" s="1">
        <v>16</v>
      </c>
      <c r="E436" s="1">
        <v>0</v>
      </c>
      <c r="F436">
        <f t="shared" si="6"/>
        <v>704</v>
      </c>
    </row>
    <row r="437" spans="1:6" ht="13">
      <c r="A437" s="1">
        <v>10411</v>
      </c>
      <c r="B437" s="1">
        <v>41</v>
      </c>
      <c r="C437" s="1">
        <v>7.7</v>
      </c>
      <c r="D437" s="1">
        <v>25</v>
      </c>
      <c r="E437" s="1">
        <v>0.2</v>
      </c>
      <c r="F437">
        <f t="shared" si="6"/>
        <v>154</v>
      </c>
    </row>
    <row r="438" spans="1:6" ht="13">
      <c r="A438" s="1">
        <v>10411</v>
      </c>
      <c r="B438" s="1">
        <v>44</v>
      </c>
      <c r="C438" s="1">
        <v>15.5</v>
      </c>
      <c r="D438" s="1">
        <v>40</v>
      </c>
      <c r="E438" s="1">
        <v>0.2</v>
      </c>
      <c r="F438">
        <f t="shared" si="6"/>
        <v>496</v>
      </c>
    </row>
    <row r="439" spans="1:6" ht="13">
      <c r="A439" s="1">
        <v>10411</v>
      </c>
      <c r="B439" s="1">
        <v>59</v>
      </c>
      <c r="C439" s="1">
        <v>44</v>
      </c>
      <c r="D439" s="1">
        <v>9</v>
      </c>
      <c r="E439" s="1">
        <v>0.2</v>
      </c>
      <c r="F439">
        <f t="shared" si="6"/>
        <v>316.8</v>
      </c>
    </row>
    <row r="440" spans="1:6" ht="13">
      <c r="A440" s="1">
        <v>10412</v>
      </c>
      <c r="B440" s="1">
        <v>14</v>
      </c>
      <c r="C440" s="1">
        <v>18.600000000000001</v>
      </c>
      <c r="D440" s="1">
        <v>20</v>
      </c>
      <c r="E440" s="1">
        <v>0.1</v>
      </c>
      <c r="F440">
        <f t="shared" si="6"/>
        <v>334.8</v>
      </c>
    </row>
    <row r="441" spans="1:6" ht="13">
      <c r="A441" s="1">
        <v>10413</v>
      </c>
      <c r="B441" s="1">
        <v>1</v>
      </c>
      <c r="C441" s="1">
        <v>14.4</v>
      </c>
      <c r="D441" s="1">
        <v>24</v>
      </c>
      <c r="E441" s="1">
        <v>0</v>
      </c>
      <c r="F441">
        <f t="shared" si="6"/>
        <v>345.6</v>
      </c>
    </row>
    <row r="442" spans="1:6" ht="13">
      <c r="A442" s="1">
        <v>10413</v>
      </c>
      <c r="B442" s="1">
        <v>62</v>
      </c>
      <c r="C442" s="1">
        <v>39.4</v>
      </c>
      <c r="D442" s="1">
        <v>40</v>
      </c>
      <c r="E442" s="1">
        <v>0</v>
      </c>
      <c r="F442">
        <f t="shared" si="6"/>
        <v>1576</v>
      </c>
    </row>
    <row r="443" spans="1:6" ht="13">
      <c r="A443" s="1">
        <v>10413</v>
      </c>
      <c r="B443" s="1">
        <v>76</v>
      </c>
      <c r="C443" s="1">
        <v>14.4</v>
      </c>
      <c r="D443" s="1">
        <v>14</v>
      </c>
      <c r="E443" s="1">
        <v>0</v>
      </c>
      <c r="F443">
        <f t="shared" si="6"/>
        <v>201.6</v>
      </c>
    </row>
    <row r="444" spans="1:6" ht="13">
      <c r="A444" s="1">
        <v>10414</v>
      </c>
      <c r="B444" s="1">
        <v>19</v>
      </c>
      <c r="C444" s="1">
        <v>7.3</v>
      </c>
      <c r="D444" s="1">
        <v>18</v>
      </c>
      <c r="E444" s="1">
        <v>0.05</v>
      </c>
      <c r="F444">
        <f t="shared" si="6"/>
        <v>124.83</v>
      </c>
    </row>
    <row r="445" spans="1:6" ht="13">
      <c r="A445" s="1">
        <v>10414</v>
      </c>
      <c r="B445" s="1">
        <v>33</v>
      </c>
      <c r="C445" s="1">
        <v>2</v>
      </c>
      <c r="D445" s="1">
        <v>50</v>
      </c>
      <c r="E445" s="1">
        <v>0</v>
      </c>
      <c r="F445">
        <f t="shared" si="6"/>
        <v>100</v>
      </c>
    </row>
    <row r="446" spans="1:6" ht="13">
      <c r="A446" s="1">
        <v>10415</v>
      </c>
      <c r="B446" s="1">
        <v>17</v>
      </c>
      <c r="C446" s="1">
        <v>31.2</v>
      </c>
      <c r="D446" s="1">
        <v>2</v>
      </c>
      <c r="E446" s="1">
        <v>0</v>
      </c>
      <c r="F446">
        <f t="shared" si="6"/>
        <v>62.4</v>
      </c>
    </row>
    <row r="447" spans="1:6" ht="13">
      <c r="A447" s="1">
        <v>10415</v>
      </c>
      <c r="B447" s="1">
        <v>33</v>
      </c>
      <c r="C447" s="1">
        <v>2</v>
      </c>
      <c r="D447" s="1">
        <v>20</v>
      </c>
      <c r="E447" s="1">
        <v>0</v>
      </c>
      <c r="F447">
        <f t="shared" si="6"/>
        <v>40</v>
      </c>
    </row>
    <row r="448" spans="1:6" ht="13">
      <c r="A448" s="1">
        <v>10416</v>
      </c>
      <c r="B448" s="1">
        <v>19</v>
      </c>
      <c r="C448" s="1">
        <v>7.3</v>
      </c>
      <c r="D448" s="1">
        <v>20</v>
      </c>
      <c r="E448" s="1">
        <v>0</v>
      </c>
      <c r="F448">
        <f t="shared" si="6"/>
        <v>146</v>
      </c>
    </row>
    <row r="449" spans="1:6" ht="13">
      <c r="A449" s="1">
        <v>10416</v>
      </c>
      <c r="B449" s="1">
        <v>53</v>
      </c>
      <c r="C449" s="1">
        <v>26.2</v>
      </c>
      <c r="D449" s="1">
        <v>10</v>
      </c>
      <c r="E449" s="1">
        <v>0</v>
      </c>
      <c r="F449">
        <f t="shared" si="6"/>
        <v>262</v>
      </c>
    </row>
    <row r="450" spans="1:6" ht="13">
      <c r="A450" s="1">
        <v>10416</v>
      </c>
      <c r="B450" s="1">
        <v>57</v>
      </c>
      <c r="C450" s="1">
        <v>15.6</v>
      </c>
      <c r="D450" s="1">
        <v>20</v>
      </c>
      <c r="E450" s="1">
        <v>0</v>
      </c>
      <c r="F450">
        <f t="shared" si="6"/>
        <v>312</v>
      </c>
    </row>
    <row r="451" spans="1:6" ht="13">
      <c r="A451" s="1">
        <v>10417</v>
      </c>
      <c r="B451" s="1">
        <v>38</v>
      </c>
      <c r="C451" s="1">
        <v>210.8</v>
      </c>
      <c r="D451" s="1">
        <v>50</v>
      </c>
      <c r="E451" s="1">
        <v>0</v>
      </c>
      <c r="F451">
        <f t="shared" ref="F451:F514" si="7">C451*D451*(1-E451)</f>
        <v>10540</v>
      </c>
    </row>
    <row r="452" spans="1:6" ht="13">
      <c r="A452" s="1">
        <v>10417</v>
      </c>
      <c r="B452" s="1">
        <v>46</v>
      </c>
      <c r="C452" s="1">
        <v>9.6</v>
      </c>
      <c r="D452" s="1">
        <v>2</v>
      </c>
      <c r="E452" s="1">
        <v>0.25</v>
      </c>
      <c r="F452">
        <f t="shared" si="7"/>
        <v>14.399999999999999</v>
      </c>
    </row>
    <row r="453" spans="1:6" ht="13">
      <c r="A453" s="1">
        <v>10417</v>
      </c>
      <c r="B453" s="1">
        <v>68</v>
      </c>
      <c r="C453" s="1">
        <v>10</v>
      </c>
      <c r="D453" s="1">
        <v>36</v>
      </c>
      <c r="E453" s="1">
        <v>0.25</v>
      </c>
      <c r="F453">
        <f t="shared" si="7"/>
        <v>270</v>
      </c>
    </row>
    <row r="454" spans="1:6" ht="13">
      <c r="A454" s="1">
        <v>10417</v>
      </c>
      <c r="B454" s="1">
        <v>77</v>
      </c>
      <c r="C454" s="1">
        <v>10.4</v>
      </c>
      <c r="D454" s="1">
        <v>35</v>
      </c>
      <c r="E454" s="1">
        <v>0</v>
      </c>
      <c r="F454">
        <f t="shared" si="7"/>
        <v>364</v>
      </c>
    </row>
    <row r="455" spans="1:6" ht="13">
      <c r="A455" s="1">
        <v>10418</v>
      </c>
      <c r="B455" s="1">
        <v>2</v>
      </c>
      <c r="C455" s="1">
        <v>15.2</v>
      </c>
      <c r="D455" s="1">
        <v>60</v>
      </c>
      <c r="E455" s="1">
        <v>0</v>
      </c>
      <c r="F455">
        <f t="shared" si="7"/>
        <v>912</v>
      </c>
    </row>
    <row r="456" spans="1:6" ht="13">
      <c r="A456" s="1">
        <v>10418</v>
      </c>
      <c r="B456" s="1">
        <v>47</v>
      </c>
      <c r="C456" s="1">
        <v>7.6</v>
      </c>
      <c r="D456" s="1">
        <v>55</v>
      </c>
      <c r="E456" s="1">
        <v>0</v>
      </c>
      <c r="F456">
        <f t="shared" si="7"/>
        <v>418</v>
      </c>
    </row>
    <row r="457" spans="1:6" ht="13">
      <c r="A457" s="1">
        <v>10418</v>
      </c>
      <c r="B457" s="1">
        <v>61</v>
      </c>
      <c r="C457" s="1">
        <v>22.8</v>
      </c>
      <c r="D457" s="1">
        <v>16</v>
      </c>
      <c r="E457" s="1">
        <v>0</v>
      </c>
      <c r="F457">
        <f t="shared" si="7"/>
        <v>364.8</v>
      </c>
    </row>
    <row r="458" spans="1:6" ht="13">
      <c r="A458" s="1">
        <v>10418</v>
      </c>
      <c r="B458" s="1">
        <v>74</v>
      </c>
      <c r="C458" s="1">
        <v>8</v>
      </c>
      <c r="D458" s="1">
        <v>15</v>
      </c>
      <c r="E458" s="1">
        <v>0</v>
      </c>
      <c r="F458">
        <f t="shared" si="7"/>
        <v>120</v>
      </c>
    </row>
    <row r="459" spans="1:6" ht="13">
      <c r="A459" s="1">
        <v>10419</v>
      </c>
      <c r="B459" s="1">
        <v>60</v>
      </c>
      <c r="C459" s="1">
        <v>27.2</v>
      </c>
      <c r="D459" s="1">
        <v>60</v>
      </c>
      <c r="E459" s="1">
        <v>0.05</v>
      </c>
      <c r="F459">
        <f t="shared" si="7"/>
        <v>1550.3999999999999</v>
      </c>
    </row>
    <row r="460" spans="1:6" ht="13">
      <c r="A460" s="1">
        <v>10419</v>
      </c>
      <c r="B460" s="1">
        <v>69</v>
      </c>
      <c r="C460" s="1">
        <v>28.8</v>
      </c>
      <c r="D460" s="1">
        <v>20</v>
      </c>
      <c r="E460" s="1">
        <v>0.05</v>
      </c>
      <c r="F460">
        <f t="shared" si="7"/>
        <v>547.19999999999993</v>
      </c>
    </row>
    <row r="461" spans="1:6" ht="13">
      <c r="A461" s="1">
        <v>10420</v>
      </c>
      <c r="B461" s="1">
        <v>9</v>
      </c>
      <c r="C461" s="1">
        <v>77.599999999999994</v>
      </c>
      <c r="D461" s="1">
        <v>20</v>
      </c>
      <c r="E461" s="1">
        <v>0.1</v>
      </c>
      <c r="F461">
        <f t="shared" si="7"/>
        <v>1396.8</v>
      </c>
    </row>
    <row r="462" spans="1:6" ht="13">
      <c r="A462" s="1">
        <v>10420</v>
      </c>
      <c r="B462" s="1">
        <v>13</v>
      </c>
      <c r="C462" s="1">
        <v>4.8</v>
      </c>
      <c r="D462" s="1">
        <v>2</v>
      </c>
      <c r="E462" s="1">
        <v>0.1</v>
      </c>
      <c r="F462">
        <f t="shared" si="7"/>
        <v>8.64</v>
      </c>
    </row>
    <row r="463" spans="1:6" ht="13">
      <c r="A463" s="1">
        <v>10420</v>
      </c>
      <c r="B463" s="1">
        <v>70</v>
      </c>
      <c r="C463" s="1">
        <v>12</v>
      </c>
      <c r="D463" s="1">
        <v>8</v>
      </c>
      <c r="E463" s="1">
        <v>0.1</v>
      </c>
      <c r="F463">
        <f t="shared" si="7"/>
        <v>86.4</v>
      </c>
    </row>
    <row r="464" spans="1:6" ht="13">
      <c r="A464" s="1">
        <v>10420</v>
      </c>
      <c r="B464" s="1">
        <v>73</v>
      </c>
      <c r="C464" s="1">
        <v>12</v>
      </c>
      <c r="D464" s="1">
        <v>20</v>
      </c>
      <c r="E464" s="1">
        <v>0.1</v>
      </c>
      <c r="F464">
        <f t="shared" si="7"/>
        <v>216</v>
      </c>
    </row>
    <row r="465" spans="1:6" ht="13">
      <c r="A465" s="1">
        <v>10421</v>
      </c>
      <c r="B465" s="1">
        <v>19</v>
      </c>
      <c r="C465" s="1">
        <v>7.3</v>
      </c>
      <c r="D465" s="1">
        <v>4</v>
      </c>
      <c r="E465" s="1">
        <v>0.15</v>
      </c>
      <c r="F465">
        <f t="shared" si="7"/>
        <v>24.82</v>
      </c>
    </row>
    <row r="466" spans="1:6" ht="13">
      <c r="A466" s="1">
        <v>10421</v>
      </c>
      <c r="B466" s="1">
        <v>26</v>
      </c>
      <c r="C466" s="1">
        <v>24.9</v>
      </c>
      <c r="D466" s="1">
        <v>30</v>
      </c>
      <c r="E466" s="1">
        <v>0</v>
      </c>
      <c r="F466">
        <f t="shared" si="7"/>
        <v>747</v>
      </c>
    </row>
    <row r="467" spans="1:6" ht="13">
      <c r="A467" s="1">
        <v>10421</v>
      </c>
      <c r="B467" s="1">
        <v>53</v>
      </c>
      <c r="C467" s="1">
        <v>26.2</v>
      </c>
      <c r="D467" s="1">
        <v>15</v>
      </c>
      <c r="E467" s="1">
        <v>0.15</v>
      </c>
      <c r="F467">
        <f t="shared" si="7"/>
        <v>334.05</v>
      </c>
    </row>
    <row r="468" spans="1:6" ht="13">
      <c r="A468" s="1">
        <v>10421</v>
      </c>
      <c r="B468" s="1">
        <v>77</v>
      </c>
      <c r="C468" s="1">
        <v>10.4</v>
      </c>
      <c r="D468" s="1">
        <v>10</v>
      </c>
      <c r="E468" s="1">
        <v>0.15</v>
      </c>
      <c r="F468">
        <f t="shared" si="7"/>
        <v>88.399999999999991</v>
      </c>
    </row>
    <row r="469" spans="1:6" ht="13">
      <c r="A469" s="1">
        <v>10422</v>
      </c>
      <c r="B469" s="1">
        <v>26</v>
      </c>
      <c r="C469" s="1">
        <v>24.9</v>
      </c>
      <c r="D469" s="1">
        <v>2</v>
      </c>
      <c r="E469" s="1">
        <v>0</v>
      </c>
      <c r="F469">
        <f t="shared" si="7"/>
        <v>49.8</v>
      </c>
    </row>
    <row r="470" spans="1:6" ht="13">
      <c r="A470" s="1">
        <v>10423</v>
      </c>
      <c r="B470" s="1">
        <v>31</v>
      </c>
      <c r="C470" s="1">
        <v>10</v>
      </c>
      <c r="D470" s="1">
        <v>14</v>
      </c>
      <c r="E470" s="1">
        <v>0</v>
      </c>
      <c r="F470">
        <f t="shared" si="7"/>
        <v>140</v>
      </c>
    </row>
    <row r="471" spans="1:6" ht="13">
      <c r="A471" s="1">
        <v>10423</v>
      </c>
      <c r="B471" s="1">
        <v>59</v>
      </c>
      <c r="C471" s="1">
        <v>44</v>
      </c>
      <c r="D471" s="1">
        <v>20</v>
      </c>
      <c r="E471" s="1">
        <v>0</v>
      </c>
      <c r="F471">
        <f t="shared" si="7"/>
        <v>880</v>
      </c>
    </row>
    <row r="472" spans="1:6" ht="13">
      <c r="A472" s="1">
        <v>10424</v>
      </c>
      <c r="B472" s="1">
        <v>35</v>
      </c>
      <c r="C472" s="1">
        <v>14.4</v>
      </c>
      <c r="D472" s="1">
        <v>60</v>
      </c>
      <c r="E472" s="1">
        <v>0.2</v>
      </c>
      <c r="F472">
        <f t="shared" si="7"/>
        <v>691.2</v>
      </c>
    </row>
    <row r="473" spans="1:6" ht="13">
      <c r="A473" s="1">
        <v>10424</v>
      </c>
      <c r="B473" s="1">
        <v>38</v>
      </c>
      <c r="C473" s="1">
        <v>210.8</v>
      </c>
      <c r="D473" s="1">
        <v>49</v>
      </c>
      <c r="E473" s="1">
        <v>0.2</v>
      </c>
      <c r="F473">
        <f t="shared" si="7"/>
        <v>8263.36</v>
      </c>
    </row>
    <row r="474" spans="1:6" ht="13">
      <c r="A474" s="1">
        <v>10424</v>
      </c>
      <c r="B474" s="1">
        <v>68</v>
      </c>
      <c r="C474" s="1">
        <v>10</v>
      </c>
      <c r="D474" s="1">
        <v>30</v>
      </c>
      <c r="E474" s="1">
        <v>0.2</v>
      </c>
      <c r="F474">
        <f t="shared" si="7"/>
        <v>240</v>
      </c>
    </row>
    <row r="475" spans="1:6" ht="13">
      <c r="A475" s="1">
        <v>10425</v>
      </c>
      <c r="B475" s="1">
        <v>55</v>
      </c>
      <c r="C475" s="1">
        <v>19.2</v>
      </c>
      <c r="D475" s="1">
        <v>10</v>
      </c>
      <c r="E475" s="1">
        <v>0.25</v>
      </c>
      <c r="F475">
        <f t="shared" si="7"/>
        <v>144</v>
      </c>
    </row>
    <row r="476" spans="1:6" ht="13">
      <c r="A476" s="1">
        <v>10425</v>
      </c>
      <c r="B476" s="1">
        <v>76</v>
      </c>
      <c r="C476" s="1">
        <v>14.4</v>
      </c>
      <c r="D476" s="1">
        <v>20</v>
      </c>
      <c r="E476" s="1">
        <v>0.25</v>
      </c>
      <c r="F476">
        <f t="shared" si="7"/>
        <v>216</v>
      </c>
    </row>
    <row r="477" spans="1:6" ht="13">
      <c r="A477" s="1">
        <v>10426</v>
      </c>
      <c r="B477" s="1">
        <v>56</v>
      </c>
      <c r="C477" s="1">
        <v>30.4</v>
      </c>
      <c r="D477" s="1">
        <v>5</v>
      </c>
      <c r="E477" s="1">
        <v>0</v>
      </c>
      <c r="F477">
        <f t="shared" si="7"/>
        <v>152</v>
      </c>
    </row>
    <row r="478" spans="1:6" ht="13">
      <c r="A478" s="1">
        <v>10426</v>
      </c>
      <c r="B478" s="1">
        <v>64</v>
      </c>
      <c r="C478" s="1">
        <v>26.6</v>
      </c>
      <c r="D478" s="1">
        <v>7</v>
      </c>
      <c r="E478" s="1">
        <v>0</v>
      </c>
      <c r="F478">
        <f t="shared" si="7"/>
        <v>186.20000000000002</v>
      </c>
    </row>
    <row r="479" spans="1:6" ht="13">
      <c r="A479" s="1">
        <v>10427</v>
      </c>
      <c r="B479" s="1">
        <v>14</v>
      </c>
      <c r="C479" s="1">
        <v>18.600000000000001</v>
      </c>
      <c r="D479" s="1">
        <v>35</v>
      </c>
      <c r="E479" s="1">
        <v>0</v>
      </c>
      <c r="F479">
        <f t="shared" si="7"/>
        <v>651</v>
      </c>
    </row>
    <row r="480" spans="1:6" ht="13">
      <c r="A480" s="1">
        <v>10428</v>
      </c>
      <c r="B480" s="1">
        <v>46</v>
      </c>
      <c r="C480" s="1">
        <v>9.6</v>
      </c>
      <c r="D480" s="1">
        <v>20</v>
      </c>
      <c r="E480" s="1">
        <v>0</v>
      </c>
      <c r="F480">
        <f t="shared" si="7"/>
        <v>192</v>
      </c>
    </row>
    <row r="481" spans="1:6" ht="13">
      <c r="A481" s="1">
        <v>10429</v>
      </c>
      <c r="B481" s="1">
        <v>50</v>
      </c>
      <c r="C481" s="1">
        <v>13</v>
      </c>
      <c r="D481" s="1">
        <v>40</v>
      </c>
      <c r="E481" s="1">
        <v>0</v>
      </c>
      <c r="F481">
        <f t="shared" si="7"/>
        <v>520</v>
      </c>
    </row>
    <row r="482" spans="1:6" ht="13">
      <c r="A482" s="1">
        <v>10429</v>
      </c>
      <c r="B482" s="1">
        <v>63</v>
      </c>
      <c r="C482" s="1">
        <v>35.1</v>
      </c>
      <c r="D482" s="1">
        <v>35</v>
      </c>
      <c r="E482" s="1">
        <v>0.25</v>
      </c>
      <c r="F482">
        <f t="shared" si="7"/>
        <v>921.375</v>
      </c>
    </row>
    <row r="483" spans="1:6" ht="13">
      <c r="A483" s="1">
        <v>10430</v>
      </c>
      <c r="B483" s="1">
        <v>17</v>
      </c>
      <c r="C483" s="1">
        <v>31.2</v>
      </c>
      <c r="D483" s="1">
        <v>45</v>
      </c>
      <c r="E483" s="1">
        <v>0.2</v>
      </c>
      <c r="F483">
        <f t="shared" si="7"/>
        <v>1123.2</v>
      </c>
    </row>
    <row r="484" spans="1:6" ht="13">
      <c r="A484" s="1">
        <v>10430</v>
      </c>
      <c r="B484" s="1">
        <v>21</v>
      </c>
      <c r="C484" s="1">
        <v>8</v>
      </c>
      <c r="D484" s="1">
        <v>50</v>
      </c>
      <c r="E484" s="1">
        <v>0</v>
      </c>
      <c r="F484">
        <f t="shared" si="7"/>
        <v>400</v>
      </c>
    </row>
    <row r="485" spans="1:6" ht="13">
      <c r="A485" s="1">
        <v>10430</v>
      </c>
      <c r="B485" s="1">
        <v>56</v>
      </c>
      <c r="C485" s="1">
        <v>30.4</v>
      </c>
      <c r="D485" s="1">
        <v>30</v>
      </c>
      <c r="E485" s="1">
        <v>0</v>
      </c>
      <c r="F485">
        <f t="shared" si="7"/>
        <v>912</v>
      </c>
    </row>
    <row r="486" spans="1:6" ht="13">
      <c r="A486" s="1">
        <v>10430</v>
      </c>
      <c r="B486" s="1">
        <v>59</v>
      </c>
      <c r="C486" s="1">
        <v>44</v>
      </c>
      <c r="D486" s="1">
        <v>70</v>
      </c>
      <c r="E486" s="1">
        <v>0.2</v>
      </c>
      <c r="F486">
        <f t="shared" si="7"/>
        <v>2464</v>
      </c>
    </row>
    <row r="487" spans="1:6" ht="13">
      <c r="A487" s="1">
        <v>10431</v>
      </c>
      <c r="B487" s="1">
        <v>17</v>
      </c>
      <c r="C487" s="1">
        <v>31.2</v>
      </c>
      <c r="D487" s="1">
        <v>50</v>
      </c>
      <c r="E487" s="1">
        <v>0.25</v>
      </c>
      <c r="F487">
        <f t="shared" si="7"/>
        <v>1170</v>
      </c>
    </row>
    <row r="488" spans="1:6" ht="13">
      <c r="A488" s="1">
        <v>10431</v>
      </c>
      <c r="B488" s="1">
        <v>40</v>
      </c>
      <c r="C488" s="1">
        <v>14.7</v>
      </c>
      <c r="D488" s="1">
        <v>50</v>
      </c>
      <c r="E488" s="1">
        <v>0.25</v>
      </c>
      <c r="F488">
        <f t="shared" si="7"/>
        <v>551.25</v>
      </c>
    </row>
    <row r="489" spans="1:6" ht="13">
      <c r="A489" s="1">
        <v>10431</v>
      </c>
      <c r="B489" s="1">
        <v>47</v>
      </c>
      <c r="C489" s="1">
        <v>7.6</v>
      </c>
      <c r="D489" s="1">
        <v>30</v>
      </c>
      <c r="E489" s="1">
        <v>0.25</v>
      </c>
      <c r="F489">
        <f t="shared" si="7"/>
        <v>171</v>
      </c>
    </row>
    <row r="490" spans="1:6" ht="13">
      <c r="A490" s="1">
        <v>10432</v>
      </c>
      <c r="B490" s="1">
        <v>26</v>
      </c>
      <c r="C490" s="1">
        <v>24.9</v>
      </c>
      <c r="D490" s="1">
        <v>10</v>
      </c>
      <c r="E490" s="1">
        <v>0</v>
      </c>
      <c r="F490">
        <f t="shared" si="7"/>
        <v>249</v>
      </c>
    </row>
    <row r="491" spans="1:6" ht="13">
      <c r="A491" s="1">
        <v>10432</v>
      </c>
      <c r="B491" s="1">
        <v>54</v>
      </c>
      <c r="C491" s="1">
        <v>5.9</v>
      </c>
      <c r="D491" s="1">
        <v>40</v>
      </c>
      <c r="E491" s="1">
        <v>0</v>
      </c>
      <c r="F491">
        <f t="shared" si="7"/>
        <v>236</v>
      </c>
    </row>
    <row r="492" spans="1:6" ht="13">
      <c r="A492" s="1">
        <v>10433</v>
      </c>
      <c r="B492" s="1">
        <v>56</v>
      </c>
      <c r="C492" s="1">
        <v>30.4</v>
      </c>
      <c r="D492" s="1">
        <v>28</v>
      </c>
      <c r="E492" s="1">
        <v>0</v>
      </c>
      <c r="F492">
        <f t="shared" si="7"/>
        <v>851.19999999999993</v>
      </c>
    </row>
    <row r="493" spans="1:6" ht="13">
      <c r="A493" s="1">
        <v>10434</v>
      </c>
      <c r="B493" s="1">
        <v>11</v>
      </c>
      <c r="C493" s="1">
        <v>16.8</v>
      </c>
      <c r="D493" s="1">
        <v>6</v>
      </c>
      <c r="E493" s="1">
        <v>0</v>
      </c>
      <c r="F493">
        <f t="shared" si="7"/>
        <v>100.80000000000001</v>
      </c>
    </row>
    <row r="494" spans="1:6" ht="13">
      <c r="A494" s="1">
        <v>10434</v>
      </c>
      <c r="B494" s="1">
        <v>76</v>
      </c>
      <c r="C494" s="1">
        <v>14.4</v>
      </c>
      <c r="D494" s="1">
        <v>18</v>
      </c>
      <c r="E494" s="1">
        <v>0.15</v>
      </c>
      <c r="F494">
        <f t="shared" si="7"/>
        <v>220.32</v>
      </c>
    </row>
    <row r="495" spans="1:6" ht="13">
      <c r="A495" s="1">
        <v>10435</v>
      </c>
      <c r="B495" s="1">
        <v>2</v>
      </c>
      <c r="C495" s="1">
        <v>15.2</v>
      </c>
      <c r="D495" s="1">
        <v>10</v>
      </c>
      <c r="E495" s="1">
        <v>0</v>
      </c>
      <c r="F495">
        <f t="shared" si="7"/>
        <v>152</v>
      </c>
    </row>
    <row r="496" spans="1:6" ht="13">
      <c r="A496" s="1">
        <v>10435</v>
      </c>
      <c r="B496" s="1">
        <v>22</v>
      </c>
      <c r="C496" s="1">
        <v>16.8</v>
      </c>
      <c r="D496" s="1">
        <v>12</v>
      </c>
      <c r="E496" s="1">
        <v>0</v>
      </c>
      <c r="F496">
        <f t="shared" si="7"/>
        <v>201.60000000000002</v>
      </c>
    </row>
    <row r="497" spans="1:6" ht="13">
      <c r="A497" s="1">
        <v>10435</v>
      </c>
      <c r="B497" s="1">
        <v>72</v>
      </c>
      <c r="C497" s="1">
        <v>27.8</v>
      </c>
      <c r="D497" s="1">
        <v>10</v>
      </c>
      <c r="E497" s="1">
        <v>0</v>
      </c>
      <c r="F497">
        <f t="shared" si="7"/>
        <v>278</v>
      </c>
    </row>
    <row r="498" spans="1:6" ht="13">
      <c r="A498" s="1">
        <v>10436</v>
      </c>
      <c r="B498" s="1">
        <v>46</v>
      </c>
      <c r="C498" s="1">
        <v>9.6</v>
      </c>
      <c r="D498" s="1">
        <v>5</v>
      </c>
      <c r="E498" s="1">
        <v>0</v>
      </c>
      <c r="F498">
        <f t="shared" si="7"/>
        <v>48</v>
      </c>
    </row>
    <row r="499" spans="1:6" ht="13">
      <c r="A499" s="1">
        <v>10436</v>
      </c>
      <c r="B499" s="1">
        <v>56</v>
      </c>
      <c r="C499" s="1">
        <v>30.4</v>
      </c>
      <c r="D499" s="1">
        <v>40</v>
      </c>
      <c r="E499" s="1">
        <v>0.1</v>
      </c>
      <c r="F499">
        <f t="shared" si="7"/>
        <v>1094.4000000000001</v>
      </c>
    </row>
    <row r="500" spans="1:6" ht="13">
      <c r="A500" s="1">
        <v>10436</v>
      </c>
      <c r="B500" s="1">
        <v>64</v>
      </c>
      <c r="C500" s="1">
        <v>26.6</v>
      </c>
      <c r="D500" s="1">
        <v>30</v>
      </c>
      <c r="E500" s="1">
        <v>0.1</v>
      </c>
      <c r="F500">
        <f t="shared" si="7"/>
        <v>718.2</v>
      </c>
    </row>
    <row r="501" spans="1:6" ht="13">
      <c r="A501" s="1">
        <v>10436</v>
      </c>
      <c r="B501" s="1">
        <v>75</v>
      </c>
      <c r="C501" s="1">
        <v>6.2</v>
      </c>
      <c r="D501" s="1">
        <v>24</v>
      </c>
      <c r="E501" s="1">
        <v>0.1</v>
      </c>
      <c r="F501">
        <f t="shared" si="7"/>
        <v>133.92000000000002</v>
      </c>
    </row>
    <row r="502" spans="1:6" ht="13">
      <c r="A502" s="1">
        <v>10437</v>
      </c>
      <c r="B502" s="1">
        <v>53</v>
      </c>
      <c r="C502" s="1">
        <v>26.2</v>
      </c>
      <c r="D502" s="1">
        <v>15</v>
      </c>
      <c r="E502" s="1">
        <v>0</v>
      </c>
      <c r="F502">
        <f t="shared" si="7"/>
        <v>393</v>
      </c>
    </row>
    <row r="503" spans="1:6" ht="13">
      <c r="A503" s="1">
        <v>10438</v>
      </c>
      <c r="B503" s="1">
        <v>19</v>
      </c>
      <c r="C503" s="1">
        <v>7.3</v>
      </c>
      <c r="D503" s="1">
        <v>15</v>
      </c>
      <c r="E503" s="1">
        <v>0.2</v>
      </c>
      <c r="F503">
        <f t="shared" si="7"/>
        <v>87.600000000000009</v>
      </c>
    </row>
    <row r="504" spans="1:6" ht="13">
      <c r="A504" s="1">
        <v>10438</v>
      </c>
      <c r="B504" s="1">
        <v>34</v>
      </c>
      <c r="C504" s="1">
        <v>11.2</v>
      </c>
      <c r="D504" s="1">
        <v>20</v>
      </c>
      <c r="E504" s="1">
        <v>0.2</v>
      </c>
      <c r="F504">
        <f t="shared" si="7"/>
        <v>179.20000000000002</v>
      </c>
    </row>
    <row r="505" spans="1:6" ht="13">
      <c r="A505" s="1">
        <v>10438</v>
      </c>
      <c r="B505" s="1">
        <v>57</v>
      </c>
      <c r="C505" s="1">
        <v>15.6</v>
      </c>
      <c r="D505" s="1">
        <v>15</v>
      </c>
      <c r="E505" s="1">
        <v>0.2</v>
      </c>
      <c r="F505">
        <f t="shared" si="7"/>
        <v>187.20000000000002</v>
      </c>
    </row>
    <row r="506" spans="1:6" ht="13">
      <c r="A506" s="1">
        <v>10439</v>
      </c>
      <c r="B506" s="1">
        <v>12</v>
      </c>
      <c r="C506" s="1">
        <v>30.4</v>
      </c>
      <c r="D506" s="1">
        <v>15</v>
      </c>
      <c r="E506" s="1">
        <v>0</v>
      </c>
      <c r="F506">
        <f t="shared" si="7"/>
        <v>456</v>
      </c>
    </row>
    <row r="507" spans="1:6" ht="13">
      <c r="A507" s="1">
        <v>10439</v>
      </c>
      <c r="B507" s="1">
        <v>16</v>
      </c>
      <c r="C507" s="1">
        <v>13.9</v>
      </c>
      <c r="D507" s="1">
        <v>16</v>
      </c>
      <c r="E507" s="1">
        <v>0</v>
      </c>
      <c r="F507">
        <f t="shared" si="7"/>
        <v>222.4</v>
      </c>
    </row>
    <row r="508" spans="1:6" ht="13">
      <c r="A508" s="1">
        <v>10439</v>
      </c>
      <c r="B508" s="1">
        <v>64</v>
      </c>
      <c r="C508" s="1">
        <v>26.6</v>
      </c>
      <c r="D508" s="1">
        <v>6</v>
      </c>
      <c r="E508" s="1">
        <v>0</v>
      </c>
      <c r="F508">
        <f t="shared" si="7"/>
        <v>159.60000000000002</v>
      </c>
    </row>
    <row r="509" spans="1:6" ht="13">
      <c r="A509" s="1">
        <v>10439</v>
      </c>
      <c r="B509" s="1">
        <v>74</v>
      </c>
      <c r="C509" s="1">
        <v>8</v>
      </c>
      <c r="D509" s="1">
        <v>30</v>
      </c>
      <c r="E509" s="1">
        <v>0</v>
      </c>
      <c r="F509">
        <f t="shared" si="7"/>
        <v>240</v>
      </c>
    </row>
    <row r="510" spans="1:6" ht="13">
      <c r="A510" s="1">
        <v>10440</v>
      </c>
      <c r="B510" s="1">
        <v>2</v>
      </c>
      <c r="C510" s="1">
        <v>15.2</v>
      </c>
      <c r="D510" s="1">
        <v>45</v>
      </c>
      <c r="E510" s="1">
        <v>0.15</v>
      </c>
      <c r="F510">
        <f t="shared" si="7"/>
        <v>581.4</v>
      </c>
    </row>
    <row r="511" spans="1:6" ht="13">
      <c r="A511" s="1">
        <v>10440</v>
      </c>
      <c r="B511" s="1">
        <v>16</v>
      </c>
      <c r="C511" s="1">
        <v>13.9</v>
      </c>
      <c r="D511" s="1">
        <v>49</v>
      </c>
      <c r="E511" s="1">
        <v>0.15</v>
      </c>
      <c r="F511">
        <f t="shared" si="7"/>
        <v>578.93500000000006</v>
      </c>
    </row>
    <row r="512" spans="1:6" ht="13">
      <c r="A512" s="1">
        <v>10440</v>
      </c>
      <c r="B512" s="1">
        <v>29</v>
      </c>
      <c r="C512" s="1">
        <v>99</v>
      </c>
      <c r="D512" s="1">
        <v>24</v>
      </c>
      <c r="E512" s="1">
        <v>0.15</v>
      </c>
      <c r="F512">
        <f t="shared" si="7"/>
        <v>2019.6</v>
      </c>
    </row>
    <row r="513" spans="1:6" ht="13">
      <c r="A513" s="1">
        <v>10440</v>
      </c>
      <c r="B513" s="1">
        <v>61</v>
      </c>
      <c r="C513" s="1">
        <v>22.8</v>
      </c>
      <c r="D513" s="1">
        <v>90</v>
      </c>
      <c r="E513" s="1">
        <v>0.15</v>
      </c>
      <c r="F513">
        <f t="shared" si="7"/>
        <v>1744.2</v>
      </c>
    </row>
    <row r="514" spans="1:6" ht="13">
      <c r="A514" s="1">
        <v>10441</v>
      </c>
      <c r="B514" s="1">
        <v>27</v>
      </c>
      <c r="C514" s="1">
        <v>35.1</v>
      </c>
      <c r="D514" s="1">
        <v>50</v>
      </c>
      <c r="E514" s="1">
        <v>0</v>
      </c>
      <c r="F514">
        <f t="shared" si="7"/>
        <v>1755</v>
      </c>
    </row>
    <row r="515" spans="1:6" ht="13">
      <c r="A515" s="1">
        <v>10442</v>
      </c>
      <c r="B515" s="1">
        <v>11</v>
      </c>
      <c r="C515" s="1">
        <v>16.8</v>
      </c>
      <c r="D515" s="1">
        <v>30</v>
      </c>
      <c r="E515" s="1">
        <v>0</v>
      </c>
      <c r="F515">
        <f t="shared" ref="F515:F578" si="8">C515*D515*(1-E515)</f>
        <v>504</v>
      </c>
    </row>
    <row r="516" spans="1:6" ht="13">
      <c r="A516" s="1">
        <v>10442</v>
      </c>
      <c r="B516" s="1">
        <v>54</v>
      </c>
      <c r="C516" s="1">
        <v>5.9</v>
      </c>
      <c r="D516" s="1">
        <v>80</v>
      </c>
      <c r="E516" s="1">
        <v>0</v>
      </c>
      <c r="F516">
        <f t="shared" si="8"/>
        <v>472</v>
      </c>
    </row>
    <row r="517" spans="1:6" ht="13">
      <c r="A517" s="1">
        <v>10442</v>
      </c>
      <c r="B517" s="1">
        <v>66</v>
      </c>
      <c r="C517" s="1">
        <v>13.6</v>
      </c>
      <c r="D517" s="1">
        <v>60</v>
      </c>
      <c r="E517" s="1">
        <v>0</v>
      </c>
      <c r="F517">
        <f t="shared" si="8"/>
        <v>816</v>
      </c>
    </row>
    <row r="518" spans="1:6" ht="13">
      <c r="A518" s="1">
        <v>10443</v>
      </c>
      <c r="B518" s="1">
        <v>11</v>
      </c>
      <c r="C518" s="1">
        <v>16.8</v>
      </c>
      <c r="D518" s="1">
        <v>6</v>
      </c>
      <c r="E518" s="1">
        <v>0.2</v>
      </c>
      <c r="F518">
        <f t="shared" si="8"/>
        <v>80.640000000000015</v>
      </c>
    </row>
    <row r="519" spans="1:6" ht="13">
      <c r="A519" s="1">
        <v>10443</v>
      </c>
      <c r="B519" s="1">
        <v>28</v>
      </c>
      <c r="C519" s="1">
        <v>36.4</v>
      </c>
      <c r="D519" s="1">
        <v>12</v>
      </c>
      <c r="E519" s="1">
        <v>0</v>
      </c>
      <c r="F519">
        <f t="shared" si="8"/>
        <v>436.79999999999995</v>
      </c>
    </row>
    <row r="520" spans="1:6" ht="13">
      <c r="A520" s="1">
        <v>10444</v>
      </c>
      <c r="B520" s="1">
        <v>17</v>
      </c>
      <c r="C520" s="1">
        <v>31.2</v>
      </c>
      <c r="D520" s="1">
        <v>10</v>
      </c>
      <c r="E520" s="1">
        <v>0</v>
      </c>
      <c r="F520">
        <f t="shared" si="8"/>
        <v>312</v>
      </c>
    </row>
    <row r="521" spans="1:6" ht="13">
      <c r="A521" s="1">
        <v>10444</v>
      </c>
      <c r="B521" s="1">
        <v>26</v>
      </c>
      <c r="C521" s="1">
        <v>24.9</v>
      </c>
      <c r="D521" s="1">
        <v>15</v>
      </c>
      <c r="E521" s="1">
        <v>0</v>
      </c>
      <c r="F521">
        <f t="shared" si="8"/>
        <v>373.5</v>
      </c>
    </row>
    <row r="522" spans="1:6" ht="13">
      <c r="A522" s="1">
        <v>10444</v>
      </c>
      <c r="B522" s="1">
        <v>35</v>
      </c>
      <c r="C522" s="1">
        <v>14.4</v>
      </c>
      <c r="D522" s="1">
        <v>8</v>
      </c>
      <c r="E522" s="1">
        <v>0</v>
      </c>
      <c r="F522">
        <f t="shared" si="8"/>
        <v>115.2</v>
      </c>
    </row>
    <row r="523" spans="1:6" ht="13">
      <c r="A523" s="1">
        <v>10444</v>
      </c>
      <c r="B523" s="1">
        <v>41</v>
      </c>
      <c r="C523" s="1">
        <v>7.7</v>
      </c>
      <c r="D523" s="1">
        <v>30</v>
      </c>
      <c r="E523" s="1">
        <v>0</v>
      </c>
      <c r="F523">
        <f t="shared" si="8"/>
        <v>231</v>
      </c>
    </row>
    <row r="524" spans="1:6" ht="13">
      <c r="A524" s="1">
        <v>10445</v>
      </c>
      <c r="B524" s="1">
        <v>39</v>
      </c>
      <c r="C524" s="1">
        <v>14.4</v>
      </c>
      <c r="D524" s="1">
        <v>6</v>
      </c>
      <c r="E524" s="1">
        <v>0</v>
      </c>
      <c r="F524">
        <f t="shared" si="8"/>
        <v>86.4</v>
      </c>
    </row>
    <row r="525" spans="1:6" ht="13">
      <c r="A525" s="1">
        <v>10445</v>
      </c>
      <c r="B525" s="1">
        <v>54</v>
      </c>
      <c r="C525" s="1">
        <v>5.9</v>
      </c>
      <c r="D525" s="1">
        <v>15</v>
      </c>
      <c r="E525" s="1">
        <v>0</v>
      </c>
      <c r="F525">
        <f t="shared" si="8"/>
        <v>88.5</v>
      </c>
    </row>
    <row r="526" spans="1:6" ht="13">
      <c r="A526" s="1">
        <v>10446</v>
      </c>
      <c r="B526" s="1">
        <v>19</v>
      </c>
      <c r="C526" s="1">
        <v>7.3</v>
      </c>
      <c r="D526" s="1">
        <v>12</v>
      </c>
      <c r="E526" s="1">
        <v>0.1</v>
      </c>
      <c r="F526">
        <f t="shared" si="8"/>
        <v>78.84</v>
      </c>
    </row>
    <row r="527" spans="1:6" ht="13">
      <c r="A527" s="1">
        <v>10446</v>
      </c>
      <c r="B527" s="1">
        <v>24</v>
      </c>
      <c r="C527" s="1">
        <v>3.6</v>
      </c>
      <c r="D527" s="1">
        <v>20</v>
      </c>
      <c r="E527" s="1">
        <v>0.1</v>
      </c>
      <c r="F527">
        <f t="shared" si="8"/>
        <v>64.8</v>
      </c>
    </row>
    <row r="528" spans="1:6" ht="13">
      <c r="A528" s="1">
        <v>10446</v>
      </c>
      <c r="B528" s="1">
        <v>31</v>
      </c>
      <c r="C528" s="1">
        <v>10</v>
      </c>
      <c r="D528" s="1">
        <v>3</v>
      </c>
      <c r="E528" s="1">
        <v>0.1</v>
      </c>
      <c r="F528">
        <f t="shared" si="8"/>
        <v>27</v>
      </c>
    </row>
    <row r="529" spans="1:6" ht="13">
      <c r="A529" s="1">
        <v>10446</v>
      </c>
      <c r="B529" s="1">
        <v>52</v>
      </c>
      <c r="C529" s="1">
        <v>5.6</v>
      </c>
      <c r="D529" s="1">
        <v>15</v>
      </c>
      <c r="E529" s="1">
        <v>0.1</v>
      </c>
      <c r="F529">
        <f t="shared" si="8"/>
        <v>75.600000000000009</v>
      </c>
    </row>
    <row r="530" spans="1:6" ht="13">
      <c r="A530" s="1">
        <v>10447</v>
      </c>
      <c r="B530" s="1">
        <v>19</v>
      </c>
      <c r="C530" s="1">
        <v>7.3</v>
      </c>
      <c r="D530" s="1">
        <v>40</v>
      </c>
      <c r="E530" s="1">
        <v>0</v>
      </c>
      <c r="F530">
        <f t="shared" si="8"/>
        <v>292</v>
      </c>
    </row>
    <row r="531" spans="1:6" ht="13">
      <c r="A531" s="1">
        <v>10447</v>
      </c>
      <c r="B531" s="1">
        <v>65</v>
      </c>
      <c r="C531" s="1">
        <v>16.8</v>
      </c>
      <c r="D531" s="1">
        <v>35</v>
      </c>
      <c r="E531" s="1">
        <v>0</v>
      </c>
      <c r="F531">
        <f t="shared" si="8"/>
        <v>588</v>
      </c>
    </row>
    <row r="532" spans="1:6" ht="13">
      <c r="A532" s="1">
        <v>10447</v>
      </c>
      <c r="B532" s="1">
        <v>71</v>
      </c>
      <c r="C532" s="1">
        <v>17.2</v>
      </c>
      <c r="D532" s="1">
        <v>2</v>
      </c>
      <c r="E532" s="1">
        <v>0</v>
      </c>
      <c r="F532">
        <f t="shared" si="8"/>
        <v>34.4</v>
      </c>
    </row>
    <row r="533" spans="1:6" ht="13">
      <c r="A533" s="1">
        <v>10448</v>
      </c>
      <c r="B533" s="1">
        <v>26</v>
      </c>
      <c r="C533" s="1">
        <v>24.9</v>
      </c>
      <c r="D533" s="1">
        <v>6</v>
      </c>
      <c r="E533" s="1">
        <v>0</v>
      </c>
      <c r="F533">
        <f t="shared" si="8"/>
        <v>149.39999999999998</v>
      </c>
    </row>
    <row r="534" spans="1:6" ht="13">
      <c r="A534" s="1">
        <v>10448</v>
      </c>
      <c r="B534" s="1">
        <v>40</v>
      </c>
      <c r="C534" s="1">
        <v>14.7</v>
      </c>
      <c r="D534" s="1">
        <v>20</v>
      </c>
      <c r="E534" s="1">
        <v>0</v>
      </c>
      <c r="F534">
        <f t="shared" si="8"/>
        <v>294</v>
      </c>
    </row>
    <row r="535" spans="1:6" ht="13">
      <c r="A535" s="1">
        <v>10449</v>
      </c>
      <c r="B535" s="1">
        <v>10</v>
      </c>
      <c r="C535" s="1">
        <v>24.8</v>
      </c>
      <c r="D535" s="1">
        <v>14</v>
      </c>
      <c r="E535" s="1">
        <v>0</v>
      </c>
      <c r="F535">
        <f t="shared" si="8"/>
        <v>347.2</v>
      </c>
    </row>
    <row r="536" spans="1:6" ht="13">
      <c r="A536" s="1">
        <v>10449</v>
      </c>
      <c r="B536" s="1">
        <v>52</v>
      </c>
      <c r="C536" s="1">
        <v>5.6</v>
      </c>
      <c r="D536" s="1">
        <v>20</v>
      </c>
      <c r="E536" s="1">
        <v>0</v>
      </c>
      <c r="F536">
        <f t="shared" si="8"/>
        <v>112</v>
      </c>
    </row>
    <row r="537" spans="1:6" ht="13">
      <c r="A537" s="1">
        <v>10449</v>
      </c>
      <c r="B537" s="1">
        <v>62</v>
      </c>
      <c r="C537" s="1">
        <v>39.4</v>
      </c>
      <c r="D537" s="1">
        <v>35</v>
      </c>
      <c r="E537" s="1">
        <v>0</v>
      </c>
      <c r="F537">
        <f t="shared" si="8"/>
        <v>1379</v>
      </c>
    </row>
    <row r="538" spans="1:6" ht="13">
      <c r="A538" s="1">
        <v>10450</v>
      </c>
      <c r="B538" s="1">
        <v>10</v>
      </c>
      <c r="C538" s="1">
        <v>24.8</v>
      </c>
      <c r="D538" s="1">
        <v>20</v>
      </c>
      <c r="E538" s="1">
        <v>0.2</v>
      </c>
      <c r="F538">
        <f t="shared" si="8"/>
        <v>396.8</v>
      </c>
    </row>
    <row r="539" spans="1:6" ht="13">
      <c r="A539" s="1">
        <v>10450</v>
      </c>
      <c r="B539" s="1">
        <v>54</v>
      </c>
      <c r="C539" s="1">
        <v>5.9</v>
      </c>
      <c r="D539" s="1">
        <v>6</v>
      </c>
      <c r="E539" s="1">
        <v>0.2</v>
      </c>
      <c r="F539">
        <f t="shared" si="8"/>
        <v>28.320000000000007</v>
      </c>
    </row>
    <row r="540" spans="1:6" ht="13">
      <c r="A540" s="1">
        <v>10451</v>
      </c>
      <c r="B540" s="1">
        <v>55</v>
      </c>
      <c r="C540" s="1">
        <v>19.2</v>
      </c>
      <c r="D540" s="1">
        <v>120</v>
      </c>
      <c r="E540" s="1">
        <v>0.1</v>
      </c>
      <c r="F540">
        <f t="shared" si="8"/>
        <v>2073.6</v>
      </c>
    </row>
    <row r="541" spans="1:6" ht="13">
      <c r="A541" s="1">
        <v>10451</v>
      </c>
      <c r="B541" s="1">
        <v>64</v>
      </c>
      <c r="C541" s="1">
        <v>26.6</v>
      </c>
      <c r="D541" s="1">
        <v>35</v>
      </c>
      <c r="E541" s="1">
        <v>0.1</v>
      </c>
      <c r="F541">
        <f t="shared" si="8"/>
        <v>837.9</v>
      </c>
    </row>
    <row r="542" spans="1:6" ht="13">
      <c r="A542" s="1">
        <v>10451</v>
      </c>
      <c r="B542" s="1">
        <v>65</v>
      </c>
      <c r="C542" s="1">
        <v>16.8</v>
      </c>
      <c r="D542" s="1">
        <v>28</v>
      </c>
      <c r="E542" s="1">
        <v>0.1</v>
      </c>
      <c r="F542">
        <f t="shared" si="8"/>
        <v>423.36</v>
      </c>
    </row>
    <row r="543" spans="1:6" ht="13">
      <c r="A543" s="1">
        <v>10451</v>
      </c>
      <c r="B543" s="1">
        <v>77</v>
      </c>
      <c r="C543" s="1">
        <v>10.4</v>
      </c>
      <c r="D543" s="1">
        <v>55</v>
      </c>
      <c r="E543" s="1">
        <v>0.1</v>
      </c>
      <c r="F543">
        <f t="shared" si="8"/>
        <v>514.80000000000007</v>
      </c>
    </row>
    <row r="544" spans="1:6" ht="13">
      <c r="A544" s="1">
        <v>10452</v>
      </c>
      <c r="B544" s="1">
        <v>28</v>
      </c>
      <c r="C544" s="1">
        <v>36.4</v>
      </c>
      <c r="D544" s="1">
        <v>15</v>
      </c>
      <c r="E544" s="1">
        <v>0</v>
      </c>
      <c r="F544">
        <f t="shared" si="8"/>
        <v>546</v>
      </c>
    </row>
    <row r="545" spans="1:6" ht="13">
      <c r="A545" s="1">
        <v>10452</v>
      </c>
      <c r="B545" s="1">
        <v>44</v>
      </c>
      <c r="C545" s="1">
        <v>15.5</v>
      </c>
      <c r="D545" s="1">
        <v>100</v>
      </c>
      <c r="E545" s="1">
        <v>0.05</v>
      </c>
      <c r="F545">
        <f t="shared" si="8"/>
        <v>1472.5</v>
      </c>
    </row>
    <row r="546" spans="1:6" ht="13">
      <c r="A546" s="1">
        <v>10453</v>
      </c>
      <c r="B546" s="1">
        <v>48</v>
      </c>
      <c r="C546" s="1">
        <v>10.199999999999999</v>
      </c>
      <c r="D546" s="1">
        <v>15</v>
      </c>
      <c r="E546" s="1">
        <v>0.1</v>
      </c>
      <c r="F546">
        <f t="shared" si="8"/>
        <v>137.70000000000002</v>
      </c>
    </row>
    <row r="547" spans="1:6" ht="13">
      <c r="A547" s="1">
        <v>10453</v>
      </c>
      <c r="B547" s="1">
        <v>70</v>
      </c>
      <c r="C547" s="1">
        <v>12</v>
      </c>
      <c r="D547" s="1">
        <v>25</v>
      </c>
      <c r="E547" s="1">
        <v>0.1</v>
      </c>
      <c r="F547">
        <f t="shared" si="8"/>
        <v>270</v>
      </c>
    </row>
    <row r="548" spans="1:6" ht="13">
      <c r="A548" s="1">
        <v>10454</v>
      </c>
      <c r="B548" s="1">
        <v>16</v>
      </c>
      <c r="C548" s="1">
        <v>13.9</v>
      </c>
      <c r="D548" s="1">
        <v>20</v>
      </c>
      <c r="E548" s="1">
        <v>0.2</v>
      </c>
      <c r="F548">
        <f t="shared" si="8"/>
        <v>222.4</v>
      </c>
    </row>
    <row r="549" spans="1:6" ht="13">
      <c r="A549" s="1">
        <v>10454</v>
      </c>
      <c r="B549" s="1">
        <v>33</v>
      </c>
      <c r="C549" s="1">
        <v>2</v>
      </c>
      <c r="D549" s="1">
        <v>20</v>
      </c>
      <c r="E549" s="1">
        <v>0.2</v>
      </c>
      <c r="F549">
        <f t="shared" si="8"/>
        <v>32</v>
      </c>
    </row>
    <row r="550" spans="1:6" ht="13">
      <c r="A550" s="1">
        <v>10454</v>
      </c>
      <c r="B550" s="1">
        <v>46</v>
      </c>
      <c r="C550" s="1">
        <v>9.6</v>
      </c>
      <c r="D550" s="1">
        <v>10</v>
      </c>
      <c r="E550" s="1">
        <v>0.2</v>
      </c>
      <c r="F550">
        <f t="shared" si="8"/>
        <v>76.800000000000011</v>
      </c>
    </row>
    <row r="551" spans="1:6" ht="13">
      <c r="A551" s="1">
        <v>10455</v>
      </c>
      <c r="B551" s="1">
        <v>39</v>
      </c>
      <c r="C551" s="1">
        <v>14.4</v>
      </c>
      <c r="D551" s="1">
        <v>20</v>
      </c>
      <c r="E551" s="1">
        <v>0</v>
      </c>
      <c r="F551">
        <f t="shared" si="8"/>
        <v>288</v>
      </c>
    </row>
    <row r="552" spans="1:6" ht="13">
      <c r="A552" s="1">
        <v>10455</v>
      </c>
      <c r="B552" s="1">
        <v>53</v>
      </c>
      <c r="C552" s="1">
        <v>26.2</v>
      </c>
      <c r="D552" s="1">
        <v>50</v>
      </c>
      <c r="E552" s="1">
        <v>0</v>
      </c>
      <c r="F552">
        <f t="shared" si="8"/>
        <v>1310</v>
      </c>
    </row>
    <row r="553" spans="1:6" ht="13">
      <c r="A553" s="1">
        <v>10455</v>
      </c>
      <c r="B553" s="1">
        <v>61</v>
      </c>
      <c r="C553" s="1">
        <v>22.8</v>
      </c>
      <c r="D553" s="1">
        <v>25</v>
      </c>
      <c r="E553" s="1">
        <v>0</v>
      </c>
      <c r="F553">
        <f t="shared" si="8"/>
        <v>570</v>
      </c>
    </row>
    <row r="554" spans="1:6" ht="13">
      <c r="A554" s="1">
        <v>10455</v>
      </c>
      <c r="B554" s="1">
        <v>71</v>
      </c>
      <c r="C554" s="1">
        <v>17.2</v>
      </c>
      <c r="D554" s="1">
        <v>30</v>
      </c>
      <c r="E554" s="1">
        <v>0</v>
      </c>
      <c r="F554">
        <f t="shared" si="8"/>
        <v>516</v>
      </c>
    </row>
    <row r="555" spans="1:6" ht="13">
      <c r="A555" s="1">
        <v>10456</v>
      </c>
      <c r="B555" s="1">
        <v>21</v>
      </c>
      <c r="C555" s="1">
        <v>8</v>
      </c>
      <c r="D555" s="1">
        <v>40</v>
      </c>
      <c r="E555" s="1">
        <v>0.15</v>
      </c>
      <c r="F555">
        <f t="shared" si="8"/>
        <v>272</v>
      </c>
    </row>
    <row r="556" spans="1:6" ht="13">
      <c r="A556" s="1">
        <v>10456</v>
      </c>
      <c r="B556" s="1">
        <v>49</v>
      </c>
      <c r="C556" s="1">
        <v>16</v>
      </c>
      <c r="D556" s="1">
        <v>21</v>
      </c>
      <c r="E556" s="1">
        <v>0.15</v>
      </c>
      <c r="F556">
        <f t="shared" si="8"/>
        <v>285.59999999999997</v>
      </c>
    </row>
    <row r="557" spans="1:6" ht="13">
      <c r="A557" s="1">
        <v>10457</v>
      </c>
      <c r="B557" s="1">
        <v>59</v>
      </c>
      <c r="C557" s="1">
        <v>44</v>
      </c>
      <c r="D557" s="1">
        <v>36</v>
      </c>
      <c r="E557" s="1">
        <v>0</v>
      </c>
      <c r="F557">
        <f t="shared" si="8"/>
        <v>1584</v>
      </c>
    </row>
    <row r="558" spans="1:6" ht="13">
      <c r="A558" s="1">
        <v>10458</v>
      </c>
      <c r="B558" s="1">
        <v>26</v>
      </c>
      <c r="C558" s="1">
        <v>24.9</v>
      </c>
      <c r="D558" s="1">
        <v>30</v>
      </c>
      <c r="E558" s="1">
        <v>0</v>
      </c>
      <c r="F558">
        <f t="shared" si="8"/>
        <v>747</v>
      </c>
    </row>
    <row r="559" spans="1:6" ht="13">
      <c r="A559" s="1">
        <v>10458</v>
      </c>
      <c r="B559" s="1">
        <v>28</v>
      </c>
      <c r="C559" s="1">
        <v>36.4</v>
      </c>
      <c r="D559" s="1">
        <v>30</v>
      </c>
      <c r="E559" s="1">
        <v>0</v>
      </c>
      <c r="F559">
        <f t="shared" si="8"/>
        <v>1092</v>
      </c>
    </row>
    <row r="560" spans="1:6" ht="13">
      <c r="A560" s="1">
        <v>10458</v>
      </c>
      <c r="B560" s="1">
        <v>43</v>
      </c>
      <c r="C560" s="1">
        <v>36.799999999999997</v>
      </c>
      <c r="D560" s="1">
        <v>20</v>
      </c>
      <c r="E560" s="1">
        <v>0</v>
      </c>
      <c r="F560">
        <f t="shared" si="8"/>
        <v>736</v>
      </c>
    </row>
    <row r="561" spans="1:6" ht="13">
      <c r="A561" s="1">
        <v>10458</v>
      </c>
      <c r="B561" s="1">
        <v>56</v>
      </c>
      <c r="C561" s="1">
        <v>30.4</v>
      </c>
      <c r="D561" s="1">
        <v>15</v>
      </c>
      <c r="E561" s="1">
        <v>0</v>
      </c>
      <c r="F561">
        <f t="shared" si="8"/>
        <v>456</v>
      </c>
    </row>
    <row r="562" spans="1:6" ht="13">
      <c r="A562" s="1">
        <v>10458</v>
      </c>
      <c r="B562" s="1">
        <v>71</v>
      </c>
      <c r="C562" s="1">
        <v>17.2</v>
      </c>
      <c r="D562" s="1">
        <v>50</v>
      </c>
      <c r="E562" s="1">
        <v>0</v>
      </c>
      <c r="F562">
        <f t="shared" si="8"/>
        <v>860</v>
      </c>
    </row>
    <row r="563" spans="1:6" ht="13">
      <c r="A563" s="1">
        <v>10459</v>
      </c>
      <c r="B563" s="1">
        <v>7</v>
      </c>
      <c r="C563" s="1">
        <v>24</v>
      </c>
      <c r="D563" s="1">
        <v>16</v>
      </c>
      <c r="E563" s="1">
        <v>0.05</v>
      </c>
      <c r="F563">
        <f t="shared" si="8"/>
        <v>364.79999999999995</v>
      </c>
    </row>
    <row r="564" spans="1:6" ht="13">
      <c r="A564" s="1">
        <v>10459</v>
      </c>
      <c r="B564" s="1">
        <v>46</v>
      </c>
      <c r="C564" s="1">
        <v>9.6</v>
      </c>
      <c r="D564" s="1">
        <v>20</v>
      </c>
      <c r="E564" s="1">
        <v>0.05</v>
      </c>
      <c r="F564">
        <f t="shared" si="8"/>
        <v>182.39999999999998</v>
      </c>
    </row>
    <row r="565" spans="1:6" ht="13">
      <c r="A565" s="1">
        <v>10459</v>
      </c>
      <c r="B565" s="1">
        <v>72</v>
      </c>
      <c r="C565" s="1">
        <v>27.8</v>
      </c>
      <c r="D565" s="1">
        <v>40</v>
      </c>
      <c r="E565" s="1">
        <v>0</v>
      </c>
      <c r="F565">
        <f t="shared" si="8"/>
        <v>1112</v>
      </c>
    </row>
    <row r="566" spans="1:6" ht="13">
      <c r="A566" s="1">
        <v>10460</v>
      </c>
      <c r="B566" s="1">
        <v>68</v>
      </c>
      <c r="C566" s="1">
        <v>10</v>
      </c>
      <c r="D566" s="1">
        <v>21</v>
      </c>
      <c r="E566" s="1">
        <v>0.25</v>
      </c>
      <c r="F566">
        <f t="shared" si="8"/>
        <v>157.5</v>
      </c>
    </row>
    <row r="567" spans="1:6" ht="13">
      <c r="A567" s="1">
        <v>10460</v>
      </c>
      <c r="B567" s="1">
        <v>75</v>
      </c>
      <c r="C567" s="1">
        <v>6.2</v>
      </c>
      <c r="D567" s="1">
        <v>4</v>
      </c>
      <c r="E567" s="1">
        <v>0.25</v>
      </c>
      <c r="F567">
        <f t="shared" si="8"/>
        <v>18.600000000000001</v>
      </c>
    </row>
    <row r="568" spans="1:6" ht="13">
      <c r="A568" s="1">
        <v>10461</v>
      </c>
      <c r="B568" s="1">
        <v>21</v>
      </c>
      <c r="C568" s="1">
        <v>8</v>
      </c>
      <c r="D568" s="1">
        <v>40</v>
      </c>
      <c r="E568" s="1">
        <v>0.25</v>
      </c>
      <c r="F568">
        <f t="shared" si="8"/>
        <v>240</v>
      </c>
    </row>
    <row r="569" spans="1:6" ht="13">
      <c r="A569" s="1">
        <v>10461</v>
      </c>
      <c r="B569" s="1">
        <v>30</v>
      </c>
      <c r="C569" s="1">
        <v>20.7</v>
      </c>
      <c r="D569" s="1">
        <v>28</v>
      </c>
      <c r="E569" s="1">
        <v>0.25</v>
      </c>
      <c r="F569">
        <f t="shared" si="8"/>
        <v>434.70000000000005</v>
      </c>
    </row>
    <row r="570" spans="1:6" ht="13">
      <c r="A570" s="1">
        <v>10461</v>
      </c>
      <c r="B570" s="1">
        <v>55</v>
      </c>
      <c r="C570" s="1">
        <v>19.2</v>
      </c>
      <c r="D570" s="1">
        <v>60</v>
      </c>
      <c r="E570" s="1">
        <v>0.25</v>
      </c>
      <c r="F570">
        <f t="shared" si="8"/>
        <v>864</v>
      </c>
    </row>
    <row r="571" spans="1:6" ht="13">
      <c r="A571" s="1">
        <v>10462</v>
      </c>
      <c r="B571" s="1">
        <v>13</v>
      </c>
      <c r="C571" s="1">
        <v>4.8</v>
      </c>
      <c r="D571" s="1">
        <v>1</v>
      </c>
      <c r="E571" s="1">
        <v>0</v>
      </c>
      <c r="F571">
        <f t="shared" si="8"/>
        <v>4.8</v>
      </c>
    </row>
    <row r="572" spans="1:6" ht="13">
      <c r="A572" s="1">
        <v>10462</v>
      </c>
      <c r="B572" s="1">
        <v>23</v>
      </c>
      <c r="C572" s="1">
        <v>7.2</v>
      </c>
      <c r="D572" s="1">
        <v>21</v>
      </c>
      <c r="E572" s="1">
        <v>0</v>
      </c>
      <c r="F572">
        <f t="shared" si="8"/>
        <v>151.20000000000002</v>
      </c>
    </row>
    <row r="573" spans="1:6" ht="13">
      <c r="A573" s="1">
        <v>10463</v>
      </c>
      <c r="B573" s="1">
        <v>19</v>
      </c>
      <c r="C573" s="1">
        <v>7.3</v>
      </c>
      <c r="D573" s="1">
        <v>21</v>
      </c>
      <c r="E573" s="1">
        <v>0</v>
      </c>
      <c r="F573">
        <f t="shared" si="8"/>
        <v>153.29999999999998</v>
      </c>
    </row>
    <row r="574" spans="1:6" ht="13">
      <c r="A574" s="1">
        <v>10463</v>
      </c>
      <c r="B574" s="1">
        <v>42</v>
      </c>
      <c r="C574" s="1">
        <v>11.2</v>
      </c>
      <c r="D574" s="1">
        <v>50</v>
      </c>
      <c r="E574" s="1">
        <v>0</v>
      </c>
      <c r="F574">
        <f t="shared" si="8"/>
        <v>560</v>
      </c>
    </row>
    <row r="575" spans="1:6" ht="13">
      <c r="A575" s="1">
        <v>10464</v>
      </c>
      <c r="B575" s="1">
        <v>4</v>
      </c>
      <c r="C575" s="1">
        <v>17.600000000000001</v>
      </c>
      <c r="D575" s="1">
        <v>16</v>
      </c>
      <c r="E575" s="1">
        <v>0.2</v>
      </c>
      <c r="F575">
        <f t="shared" si="8"/>
        <v>225.28000000000003</v>
      </c>
    </row>
    <row r="576" spans="1:6" ht="13">
      <c r="A576" s="1">
        <v>10464</v>
      </c>
      <c r="B576" s="1">
        <v>43</v>
      </c>
      <c r="C576" s="1">
        <v>36.799999999999997</v>
      </c>
      <c r="D576" s="1">
        <v>3</v>
      </c>
      <c r="E576" s="1">
        <v>0</v>
      </c>
      <c r="F576">
        <f t="shared" si="8"/>
        <v>110.39999999999999</v>
      </c>
    </row>
    <row r="577" spans="1:6" ht="13">
      <c r="A577" s="1">
        <v>10464</v>
      </c>
      <c r="B577" s="1">
        <v>56</v>
      </c>
      <c r="C577" s="1">
        <v>30.4</v>
      </c>
      <c r="D577" s="1">
        <v>30</v>
      </c>
      <c r="E577" s="1">
        <v>0.2</v>
      </c>
      <c r="F577">
        <f t="shared" si="8"/>
        <v>729.6</v>
      </c>
    </row>
    <row r="578" spans="1:6" ht="13">
      <c r="A578" s="1">
        <v>10464</v>
      </c>
      <c r="B578" s="1">
        <v>60</v>
      </c>
      <c r="C578" s="1">
        <v>27.2</v>
      </c>
      <c r="D578" s="1">
        <v>20</v>
      </c>
      <c r="E578" s="1">
        <v>0</v>
      </c>
      <c r="F578">
        <f t="shared" si="8"/>
        <v>544</v>
      </c>
    </row>
    <row r="579" spans="1:6" ht="13">
      <c r="A579" s="1">
        <v>10465</v>
      </c>
      <c r="B579" s="1">
        <v>24</v>
      </c>
      <c r="C579" s="1">
        <v>3.6</v>
      </c>
      <c r="D579" s="1">
        <v>25</v>
      </c>
      <c r="E579" s="1">
        <v>0</v>
      </c>
      <c r="F579">
        <f t="shared" ref="F579:F642" si="9">C579*D579*(1-E579)</f>
        <v>90</v>
      </c>
    </row>
    <row r="580" spans="1:6" ht="13">
      <c r="A580" s="1">
        <v>10465</v>
      </c>
      <c r="B580" s="1">
        <v>29</v>
      </c>
      <c r="C580" s="1">
        <v>99</v>
      </c>
      <c r="D580" s="1">
        <v>18</v>
      </c>
      <c r="E580" s="1">
        <v>0.1</v>
      </c>
      <c r="F580">
        <f t="shared" si="9"/>
        <v>1603.8</v>
      </c>
    </row>
    <row r="581" spans="1:6" ht="13">
      <c r="A581" s="1">
        <v>10465</v>
      </c>
      <c r="B581" s="1">
        <v>40</v>
      </c>
      <c r="C581" s="1">
        <v>14.7</v>
      </c>
      <c r="D581" s="1">
        <v>20</v>
      </c>
      <c r="E581" s="1">
        <v>0</v>
      </c>
      <c r="F581">
        <f t="shared" si="9"/>
        <v>294</v>
      </c>
    </row>
    <row r="582" spans="1:6" ht="13">
      <c r="A582" s="1">
        <v>10465</v>
      </c>
      <c r="B582" s="1">
        <v>45</v>
      </c>
      <c r="C582" s="1">
        <v>7.6</v>
      </c>
      <c r="D582" s="1">
        <v>30</v>
      </c>
      <c r="E582" s="1">
        <v>0.1</v>
      </c>
      <c r="F582">
        <f t="shared" si="9"/>
        <v>205.20000000000002</v>
      </c>
    </row>
    <row r="583" spans="1:6" ht="13">
      <c r="A583" s="1">
        <v>10465</v>
      </c>
      <c r="B583" s="1">
        <v>50</v>
      </c>
      <c r="C583" s="1">
        <v>13</v>
      </c>
      <c r="D583" s="1">
        <v>25</v>
      </c>
      <c r="E583" s="1">
        <v>0</v>
      </c>
      <c r="F583">
        <f t="shared" si="9"/>
        <v>325</v>
      </c>
    </row>
    <row r="584" spans="1:6" ht="13">
      <c r="A584" s="1">
        <v>10466</v>
      </c>
      <c r="B584" s="1">
        <v>11</v>
      </c>
      <c r="C584" s="1">
        <v>16.8</v>
      </c>
      <c r="D584" s="1">
        <v>10</v>
      </c>
      <c r="E584" s="1">
        <v>0</v>
      </c>
      <c r="F584">
        <f t="shared" si="9"/>
        <v>168</v>
      </c>
    </row>
    <row r="585" spans="1:6" ht="13">
      <c r="A585" s="1">
        <v>10466</v>
      </c>
      <c r="B585" s="1">
        <v>46</v>
      </c>
      <c r="C585" s="1">
        <v>9.6</v>
      </c>
      <c r="D585" s="1">
        <v>5</v>
      </c>
      <c r="E585" s="1">
        <v>0</v>
      </c>
      <c r="F585">
        <f t="shared" si="9"/>
        <v>48</v>
      </c>
    </row>
    <row r="586" spans="1:6" ht="13">
      <c r="A586" s="1">
        <v>10467</v>
      </c>
      <c r="B586" s="1">
        <v>24</v>
      </c>
      <c r="C586" s="1">
        <v>3.6</v>
      </c>
      <c r="D586" s="1">
        <v>28</v>
      </c>
      <c r="E586" s="1">
        <v>0</v>
      </c>
      <c r="F586">
        <f t="shared" si="9"/>
        <v>100.8</v>
      </c>
    </row>
    <row r="587" spans="1:6" ht="13">
      <c r="A587" s="1">
        <v>10467</v>
      </c>
      <c r="B587" s="1">
        <v>25</v>
      </c>
      <c r="C587" s="1">
        <v>11.2</v>
      </c>
      <c r="D587" s="1">
        <v>12</v>
      </c>
      <c r="E587" s="1">
        <v>0</v>
      </c>
      <c r="F587">
        <f t="shared" si="9"/>
        <v>134.39999999999998</v>
      </c>
    </row>
    <row r="588" spans="1:6" ht="13">
      <c r="A588" s="1">
        <v>10468</v>
      </c>
      <c r="B588" s="1">
        <v>30</v>
      </c>
      <c r="C588" s="1">
        <v>20.7</v>
      </c>
      <c r="D588" s="1">
        <v>8</v>
      </c>
      <c r="E588" s="1">
        <v>0</v>
      </c>
      <c r="F588">
        <f t="shared" si="9"/>
        <v>165.6</v>
      </c>
    </row>
    <row r="589" spans="1:6" ht="13">
      <c r="A589" s="1">
        <v>10468</v>
      </c>
      <c r="B589" s="1">
        <v>43</v>
      </c>
      <c r="C589" s="1">
        <v>36.799999999999997</v>
      </c>
      <c r="D589" s="1">
        <v>15</v>
      </c>
      <c r="E589" s="1">
        <v>0</v>
      </c>
      <c r="F589">
        <f t="shared" si="9"/>
        <v>552</v>
      </c>
    </row>
    <row r="590" spans="1:6" ht="13">
      <c r="A590" s="1">
        <v>10469</v>
      </c>
      <c r="B590" s="1">
        <v>2</v>
      </c>
      <c r="C590" s="1">
        <v>15.2</v>
      </c>
      <c r="D590" s="1">
        <v>40</v>
      </c>
      <c r="E590" s="1">
        <v>0.15</v>
      </c>
      <c r="F590">
        <f t="shared" si="9"/>
        <v>516.79999999999995</v>
      </c>
    </row>
    <row r="591" spans="1:6" ht="13">
      <c r="A591" s="1">
        <v>10469</v>
      </c>
      <c r="B591" s="1">
        <v>16</v>
      </c>
      <c r="C591" s="1">
        <v>13.9</v>
      </c>
      <c r="D591" s="1">
        <v>35</v>
      </c>
      <c r="E591" s="1">
        <v>0.15</v>
      </c>
      <c r="F591">
        <f t="shared" si="9"/>
        <v>413.52499999999998</v>
      </c>
    </row>
    <row r="592" spans="1:6" ht="13">
      <c r="A592" s="1">
        <v>10469</v>
      </c>
      <c r="B592" s="1">
        <v>44</v>
      </c>
      <c r="C592" s="1">
        <v>15.5</v>
      </c>
      <c r="D592" s="1">
        <v>2</v>
      </c>
      <c r="E592" s="1">
        <v>0.15</v>
      </c>
      <c r="F592">
        <f t="shared" si="9"/>
        <v>26.349999999999998</v>
      </c>
    </row>
    <row r="593" spans="1:6" ht="13">
      <c r="A593" s="1">
        <v>10470</v>
      </c>
      <c r="B593" s="1">
        <v>18</v>
      </c>
      <c r="C593" s="1">
        <v>50</v>
      </c>
      <c r="D593" s="1">
        <v>30</v>
      </c>
      <c r="E593" s="1">
        <v>0</v>
      </c>
      <c r="F593">
        <f t="shared" si="9"/>
        <v>1500</v>
      </c>
    </row>
    <row r="594" spans="1:6" ht="13">
      <c r="A594" s="1">
        <v>10470</v>
      </c>
      <c r="B594" s="1">
        <v>23</v>
      </c>
      <c r="C594" s="1">
        <v>7.2</v>
      </c>
      <c r="D594" s="1">
        <v>15</v>
      </c>
      <c r="E594" s="1">
        <v>0</v>
      </c>
      <c r="F594">
        <f t="shared" si="9"/>
        <v>108</v>
      </c>
    </row>
    <row r="595" spans="1:6" ht="13">
      <c r="A595" s="1">
        <v>10470</v>
      </c>
      <c r="B595" s="1">
        <v>64</v>
      </c>
      <c r="C595" s="1">
        <v>26.6</v>
      </c>
      <c r="D595" s="1">
        <v>8</v>
      </c>
      <c r="E595" s="1">
        <v>0</v>
      </c>
      <c r="F595">
        <f t="shared" si="9"/>
        <v>212.8</v>
      </c>
    </row>
    <row r="596" spans="1:6" ht="13">
      <c r="A596" s="1">
        <v>10471</v>
      </c>
      <c r="B596" s="1">
        <v>7</v>
      </c>
      <c r="C596" s="1">
        <v>24</v>
      </c>
      <c r="D596" s="1">
        <v>30</v>
      </c>
      <c r="E596" s="1">
        <v>0</v>
      </c>
      <c r="F596">
        <f t="shared" si="9"/>
        <v>720</v>
      </c>
    </row>
    <row r="597" spans="1:6" ht="13">
      <c r="A597" s="1">
        <v>10471</v>
      </c>
      <c r="B597" s="1">
        <v>56</v>
      </c>
      <c r="C597" s="1">
        <v>30.4</v>
      </c>
      <c r="D597" s="1">
        <v>20</v>
      </c>
      <c r="E597" s="1">
        <v>0</v>
      </c>
      <c r="F597">
        <f t="shared" si="9"/>
        <v>608</v>
      </c>
    </row>
    <row r="598" spans="1:6" ht="13">
      <c r="A598" s="1">
        <v>10472</v>
      </c>
      <c r="B598" s="1">
        <v>24</v>
      </c>
      <c r="C598" s="1">
        <v>3.6</v>
      </c>
      <c r="D598" s="1">
        <v>80</v>
      </c>
      <c r="E598" s="1">
        <v>0.05</v>
      </c>
      <c r="F598">
        <f t="shared" si="9"/>
        <v>273.59999999999997</v>
      </c>
    </row>
    <row r="599" spans="1:6" ht="13">
      <c r="A599" s="1">
        <v>10472</v>
      </c>
      <c r="B599" s="1">
        <v>51</v>
      </c>
      <c r="C599" s="1">
        <v>42.4</v>
      </c>
      <c r="D599" s="1">
        <v>18</v>
      </c>
      <c r="E599" s="1">
        <v>0</v>
      </c>
      <c r="F599">
        <f t="shared" si="9"/>
        <v>763.19999999999993</v>
      </c>
    </row>
    <row r="600" spans="1:6" ht="13">
      <c r="A600" s="1">
        <v>10473</v>
      </c>
      <c r="B600" s="1">
        <v>33</v>
      </c>
      <c r="C600" s="1">
        <v>2</v>
      </c>
      <c r="D600" s="1">
        <v>12</v>
      </c>
      <c r="E600" s="1">
        <v>0</v>
      </c>
      <c r="F600">
        <f t="shared" si="9"/>
        <v>24</v>
      </c>
    </row>
    <row r="601" spans="1:6" ht="13">
      <c r="A601" s="1">
        <v>10473</v>
      </c>
      <c r="B601" s="1">
        <v>71</v>
      </c>
      <c r="C601" s="1">
        <v>17.2</v>
      </c>
      <c r="D601" s="1">
        <v>12</v>
      </c>
      <c r="E601" s="1">
        <v>0</v>
      </c>
      <c r="F601">
        <f t="shared" si="9"/>
        <v>206.39999999999998</v>
      </c>
    </row>
    <row r="602" spans="1:6" ht="13">
      <c r="A602" s="1">
        <v>10474</v>
      </c>
      <c r="B602" s="1">
        <v>14</v>
      </c>
      <c r="C602" s="1">
        <v>18.600000000000001</v>
      </c>
      <c r="D602" s="1">
        <v>12</v>
      </c>
      <c r="E602" s="1">
        <v>0</v>
      </c>
      <c r="F602">
        <f t="shared" si="9"/>
        <v>223.20000000000002</v>
      </c>
    </row>
    <row r="603" spans="1:6" ht="13">
      <c r="A603" s="1">
        <v>10474</v>
      </c>
      <c r="B603" s="1">
        <v>28</v>
      </c>
      <c r="C603" s="1">
        <v>36.4</v>
      </c>
      <c r="D603" s="1">
        <v>18</v>
      </c>
      <c r="E603" s="1">
        <v>0</v>
      </c>
      <c r="F603">
        <f t="shared" si="9"/>
        <v>655.19999999999993</v>
      </c>
    </row>
    <row r="604" spans="1:6" ht="13">
      <c r="A604" s="1">
        <v>10474</v>
      </c>
      <c r="B604" s="1">
        <v>40</v>
      </c>
      <c r="C604" s="1">
        <v>14.7</v>
      </c>
      <c r="D604" s="1">
        <v>21</v>
      </c>
      <c r="E604" s="1">
        <v>0</v>
      </c>
      <c r="F604">
        <f t="shared" si="9"/>
        <v>308.7</v>
      </c>
    </row>
    <row r="605" spans="1:6" ht="13">
      <c r="A605" s="1">
        <v>10474</v>
      </c>
      <c r="B605" s="1">
        <v>75</v>
      </c>
      <c r="C605" s="1">
        <v>6.2</v>
      </c>
      <c r="D605" s="1">
        <v>10</v>
      </c>
      <c r="E605" s="1">
        <v>0</v>
      </c>
      <c r="F605">
        <f t="shared" si="9"/>
        <v>62</v>
      </c>
    </row>
    <row r="606" spans="1:6" ht="13">
      <c r="A606" s="1">
        <v>10475</v>
      </c>
      <c r="B606" s="1">
        <v>31</v>
      </c>
      <c r="C606" s="1">
        <v>10</v>
      </c>
      <c r="D606" s="1">
        <v>35</v>
      </c>
      <c r="E606" s="1">
        <v>0.15</v>
      </c>
      <c r="F606">
        <f t="shared" si="9"/>
        <v>297.5</v>
      </c>
    </row>
    <row r="607" spans="1:6" ht="13">
      <c r="A607" s="1">
        <v>10475</v>
      </c>
      <c r="B607" s="1">
        <v>66</v>
      </c>
      <c r="C607" s="1">
        <v>13.6</v>
      </c>
      <c r="D607" s="1">
        <v>60</v>
      </c>
      <c r="E607" s="1">
        <v>0.15</v>
      </c>
      <c r="F607">
        <f t="shared" si="9"/>
        <v>693.6</v>
      </c>
    </row>
    <row r="608" spans="1:6" ht="13">
      <c r="A608" s="1">
        <v>10475</v>
      </c>
      <c r="B608" s="1">
        <v>76</v>
      </c>
      <c r="C608" s="1">
        <v>14.4</v>
      </c>
      <c r="D608" s="1">
        <v>42</v>
      </c>
      <c r="E608" s="1">
        <v>0.15</v>
      </c>
      <c r="F608">
        <f t="shared" si="9"/>
        <v>514.08000000000004</v>
      </c>
    </row>
    <row r="609" spans="1:6" ht="13">
      <c r="A609" s="1">
        <v>10476</v>
      </c>
      <c r="B609" s="1">
        <v>55</v>
      </c>
      <c r="C609" s="1">
        <v>19.2</v>
      </c>
      <c r="D609" s="1">
        <v>2</v>
      </c>
      <c r="E609" s="1">
        <v>0.05</v>
      </c>
      <c r="F609">
        <f t="shared" si="9"/>
        <v>36.479999999999997</v>
      </c>
    </row>
    <row r="610" spans="1:6" ht="13">
      <c r="A610" s="1">
        <v>10476</v>
      </c>
      <c r="B610" s="1">
        <v>70</v>
      </c>
      <c r="C610" s="1">
        <v>12</v>
      </c>
      <c r="D610" s="1">
        <v>12</v>
      </c>
      <c r="E610" s="1">
        <v>0</v>
      </c>
      <c r="F610">
        <f t="shared" si="9"/>
        <v>144</v>
      </c>
    </row>
    <row r="611" spans="1:6" ht="13">
      <c r="A611" s="1">
        <v>10477</v>
      </c>
      <c r="B611" s="1">
        <v>1</v>
      </c>
      <c r="C611" s="1">
        <v>14.4</v>
      </c>
      <c r="D611" s="1">
        <v>15</v>
      </c>
      <c r="E611" s="1">
        <v>0</v>
      </c>
      <c r="F611">
        <f t="shared" si="9"/>
        <v>216</v>
      </c>
    </row>
    <row r="612" spans="1:6" ht="13">
      <c r="A612" s="1">
        <v>10477</v>
      </c>
      <c r="B612" s="1">
        <v>21</v>
      </c>
      <c r="C612" s="1">
        <v>8</v>
      </c>
      <c r="D612" s="1">
        <v>21</v>
      </c>
      <c r="E612" s="1">
        <v>0.25</v>
      </c>
      <c r="F612">
        <f t="shared" si="9"/>
        <v>126</v>
      </c>
    </row>
    <row r="613" spans="1:6" ht="13">
      <c r="A613" s="1">
        <v>10477</v>
      </c>
      <c r="B613" s="1">
        <v>39</v>
      </c>
      <c r="C613" s="1">
        <v>14.4</v>
      </c>
      <c r="D613" s="1">
        <v>20</v>
      </c>
      <c r="E613" s="1">
        <v>0.25</v>
      </c>
      <c r="F613">
        <f t="shared" si="9"/>
        <v>216</v>
      </c>
    </row>
    <row r="614" spans="1:6" ht="13">
      <c r="A614" s="1">
        <v>10478</v>
      </c>
      <c r="B614" s="1">
        <v>10</v>
      </c>
      <c r="C614" s="1">
        <v>24.8</v>
      </c>
      <c r="D614" s="1">
        <v>20</v>
      </c>
      <c r="E614" s="1">
        <v>0.05</v>
      </c>
      <c r="F614">
        <f t="shared" si="9"/>
        <v>471.2</v>
      </c>
    </row>
    <row r="615" spans="1:6" ht="13">
      <c r="A615" s="1">
        <v>10479</v>
      </c>
      <c r="B615" s="1">
        <v>38</v>
      </c>
      <c r="C615" s="1">
        <v>210.8</v>
      </c>
      <c r="D615" s="1">
        <v>30</v>
      </c>
      <c r="E615" s="1">
        <v>0</v>
      </c>
      <c r="F615">
        <f t="shared" si="9"/>
        <v>6324</v>
      </c>
    </row>
    <row r="616" spans="1:6" ht="13">
      <c r="A616" s="1">
        <v>10479</v>
      </c>
      <c r="B616" s="1">
        <v>53</v>
      </c>
      <c r="C616" s="1">
        <v>26.2</v>
      </c>
      <c r="D616" s="1">
        <v>28</v>
      </c>
      <c r="E616" s="1">
        <v>0</v>
      </c>
      <c r="F616">
        <f t="shared" si="9"/>
        <v>733.6</v>
      </c>
    </row>
    <row r="617" spans="1:6" ht="13">
      <c r="A617" s="1">
        <v>10479</v>
      </c>
      <c r="B617" s="1">
        <v>59</v>
      </c>
      <c r="C617" s="1">
        <v>44</v>
      </c>
      <c r="D617" s="1">
        <v>60</v>
      </c>
      <c r="E617" s="1">
        <v>0</v>
      </c>
      <c r="F617">
        <f t="shared" si="9"/>
        <v>2640</v>
      </c>
    </row>
    <row r="618" spans="1:6" ht="13">
      <c r="A618" s="1">
        <v>10479</v>
      </c>
      <c r="B618" s="1">
        <v>64</v>
      </c>
      <c r="C618" s="1">
        <v>26.6</v>
      </c>
      <c r="D618" s="1">
        <v>30</v>
      </c>
      <c r="E618" s="1">
        <v>0</v>
      </c>
      <c r="F618">
        <f t="shared" si="9"/>
        <v>798</v>
      </c>
    </row>
    <row r="619" spans="1:6" ht="13">
      <c r="A619" s="1">
        <v>10480</v>
      </c>
      <c r="B619" s="1">
        <v>47</v>
      </c>
      <c r="C619" s="1">
        <v>7.6</v>
      </c>
      <c r="D619" s="1">
        <v>30</v>
      </c>
      <c r="E619" s="1">
        <v>0</v>
      </c>
      <c r="F619">
        <f t="shared" si="9"/>
        <v>228</v>
      </c>
    </row>
    <row r="620" spans="1:6" ht="13">
      <c r="A620" s="1">
        <v>10480</v>
      </c>
      <c r="B620" s="1">
        <v>59</v>
      </c>
      <c r="C620" s="1">
        <v>44</v>
      </c>
      <c r="D620" s="1">
        <v>12</v>
      </c>
      <c r="E620" s="1">
        <v>0</v>
      </c>
      <c r="F620">
        <f t="shared" si="9"/>
        <v>528</v>
      </c>
    </row>
    <row r="621" spans="1:6" ht="13">
      <c r="A621" s="1">
        <v>10481</v>
      </c>
      <c r="B621" s="1">
        <v>49</v>
      </c>
      <c r="C621" s="1">
        <v>16</v>
      </c>
      <c r="D621" s="1">
        <v>24</v>
      </c>
      <c r="E621" s="1">
        <v>0</v>
      </c>
      <c r="F621">
        <f t="shared" si="9"/>
        <v>384</v>
      </c>
    </row>
    <row r="622" spans="1:6" ht="13">
      <c r="A622" s="1">
        <v>10481</v>
      </c>
      <c r="B622" s="1">
        <v>60</v>
      </c>
      <c r="C622" s="1">
        <v>27.2</v>
      </c>
      <c r="D622" s="1">
        <v>40</v>
      </c>
      <c r="E622" s="1">
        <v>0</v>
      </c>
      <c r="F622">
        <f t="shared" si="9"/>
        <v>1088</v>
      </c>
    </row>
    <row r="623" spans="1:6" ht="13">
      <c r="A623" s="1">
        <v>10482</v>
      </c>
      <c r="B623" s="1">
        <v>40</v>
      </c>
      <c r="C623" s="1">
        <v>14.7</v>
      </c>
      <c r="D623" s="1">
        <v>10</v>
      </c>
      <c r="E623" s="1">
        <v>0</v>
      </c>
      <c r="F623">
        <f t="shared" si="9"/>
        <v>147</v>
      </c>
    </row>
    <row r="624" spans="1:6" ht="13">
      <c r="A624" s="1">
        <v>10483</v>
      </c>
      <c r="B624" s="1">
        <v>34</v>
      </c>
      <c r="C624" s="1">
        <v>11.2</v>
      </c>
      <c r="D624" s="1">
        <v>35</v>
      </c>
      <c r="E624" s="1">
        <v>0.05</v>
      </c>
      <c r="F624">
        <f t="shared" si="9"/>
        <v>372.4</v>
      </c>
    </row>
    <row r="625" spans="1:6" ht="13">
      <c r="A625" s="1">
        <v>10483</v>
      </c>
      <c r="B625" s="1">
        <v>77</v>
      </c>
      <c r="C625" s="1">
        <v>10.4</v>
      </c>
      <c r="D625" s="1">
        <v>30</v>
      </c>
      <c r="E625" s="1">
        <v>0.05</v>
      </c>
      <c r="F625">
        <f t="shared" si="9"/>
        <v>296.39999999999998</v>
      </c>
    </row>
    <row r="626" spans="1:6" ht="13">
      <c r="A626" s="1">
        <v>10484</v>
      </c>
      <c r="B626" s="1">
        <v>21</v>
      </c>
      <c r="C626" s="1">
        <v>8</v>
      </c>
      <c r="D626" s="1">
        <v>14</v>
      </c>
      <c r="E626" s="1">
        <v>0</v>
      </c>
      <c r="F626">
        <f t="shared" si="9"/>
        <v>112</v>
      </c>
    </row>
    <row r="627" spans="1:6" ht="13">
      <c r="A627" s="1">
        <v>10484</v>
      </c>
      <c r="B627" s="1">
        <v>40</v>
      </c>
      <c r="C627" s="1">
        <v>14.7</v>
      </c>
      <c r="D627" s="1">
        <v>10</v>
      </c>
      <c r="E627" s="1">
        <v>0</v>
      </c>
      <c r="F627">
        <f t="shared" si="9"/>
        <v>147</v>
      </c>
    </row>
    <row r="628" spans="1:6" ht="13">
      <c r="A628" s="1">
        <v>10484</v>
      </c>
      <c r="B628" s="1">
        <v>51</v>
      </c>
      <c r="C628" s="1">
        <v>42.4</v>
      </c>
      <c r="D628" s="1">
        <v>3</v>
      </c>
      <c r="E628" s="1">
        <v>0</v>
      </c>
      <c r="F628">
        <f t="shared" si="9"/>
        <v>127.19999999999999</v>
      </c>
    </row>
    <row r="629" spans="1:6" ht="13">
      <c r="A629" s="1">
        <v>10485</v>
      </c>
      <c r="B629" s="1">
        <v>2</v>
      </c>
      <c r="C629" s="1">
        <v>15.2</v>
      </c>
      <c r="D629" s="1">
        <v>20</v>
      </c>
      <c r="E629" s="1">
        <v>0.1</v>
      </c>
      <c r="F629">
        <f t="shared" si="9"/>
        <v>273.60000000000002</v>
      </c>
    </row>
    <row r="630" spans="1:6" ht="13">
      <c r="A630" s="1">
        <v>10485</v>
      </c>
      <c r="B630" s="1">
        <v>3</v>
      </c>
      <c r="C630" s="1">
        <v>8</v>
      </c>
      <c r="D630" s="1">
        <v>20</v>
      </c>
      <c r="E630" s="1">
        <v>0.1</v>
      </c>
      <c r="F630">
        <f t="shared" si="9"/>
        <v>144</v>
      </c>
    </row>
    <row r="631" spans="1:6" ht="13">
      <c r="A631" s="1">
        <v>10485</v>
      </c>
      <c r="B631" s="1">
        <v>55</v>
      </c>
      <c r="C631" s="1">
        <v>19.2</v>
      </c>
      <c r="D631" s="1">
        <v>30</v>
      </c>
      <c r="E631" s="1">
        <v>0.1</v>
      </c>
      <c r="F631">
        <f t="shared" si="9"/>
        <v>518.4</v>
      </c>
    </row>
    <row r="632" spans="1:6" ht="13">
      <c r="A632" s="1">
        <v>10485</v>
      </c>
      <c r="B632" s="1">
        <v>70</v>
      </c>
      <c r="C632" s="1">
        <v>12</v>
      </c>
      <c r="D632" s="1">
        <v>60</v>
      </c>
      <c r="E632" s="1">
        <v>0.1</v>
      </c>
      <c r="F632">
        <f t="shared" si="9"/>
        <v>648</v>
      </c>
    </row>
    <row r="633" spans="1:6" ht="13">
      <c r="A633" s="1">
        <v>10486</v>
      </c>
      <c r="B633" s="1">
        <v>11</v>
      </c>
      <c r="C633" s="1">
        <v>16.8</v>
      </c>
      <c r="D633" s="1">
        <v>5</v>
      </c>
      <c r="E633" s="1">
        <v>0</v>
      </c>
      <c r="F633">
        <f t="shared" si="9"/>
        <v>84</v>
      </c>
    </row>
    <row r="634" spans="1:6" ht="13">
      <c r="A634" s="1">
        <v>10486</v>
      </c>
      <c r="B634" s="1">
        <v>51</v>
      </c>
      <c r="C634" s="1">
        <v>42.4</v>
      </c>
      <c r="D634" s="1">
        <v>25</v>
      </c>
      <c r="E634" s="1">
        <v>0</v>
      </c>
      <c r="F634">
        <f t="shared" si="9"/>
        <v>1060</v>
      </c>
    </row>
    <row r="635" spans="1:6" ht="13">
      <c r="A635" s="1">
        <v>10486</v>
      </c>
      <c r="B635" s="1">
        <v>74</v>
      </c>
      <c r="C635" s="1">
        <v>8</v>
      </c>
      <c r="D635" s="1">
        <v>16</v>
      </c>
      <c r="E635" s="1">
        <v>0</v>
      </c>
      <c r="F635">
        <f t="shared" si="9"/>
        <v>128</v>
      </c>
    </row>
    <row r="636" spans="1:6" ht="13">
      <c r="A636" s="1">
        <v>10487</v>
      </c>
      <c r="B636" s="1">
        <v>19</v>
      </c>
      <c r="C636" s="1">
        <v>7.3</v>
      </c>
      <c r="D636" s="1">
        <v>5</v>
      </c>
      <c r="E636" s="1">
        <v>0</v>
      </c>
      <c r="F636">
        <f t="shared" si="9"/>
        <v>36.5</v>
      </c>
    </row>
    <row r="637" spans="1:6" ht="13">
      <c r="A637" s="1">
        <v>10487</v>
      </c>
      <c r="B637" s="1">
        <v>26</v>
      </c>
      <c r="C637" s="1">
        <v>24.9</v>
      </c>
      <c r="D637" s="1">
        <v>30</v>
      </c>
      <c r="E637" s="1">
        <v>0</v>
      </c>
      <c r="F637">
        <f t="shared" si="9"/>
        <v>747</v>
      </c>
    </row>
    <row r="638" spans="1:6" ht="13">
      <c r="A638" s="1">
        <v>10487</v>
      </c>
      <c r="B638" s="1">
        <v>54</v>
      </c>
      <c r="C638" s="1">
        <v>5.9</v>
      </c>
      <c r="D638" s="1">
        <v>24</v>
      </c>
      <c r="E638" s="1">
        <v>0.25</v>
      </c>
      <c r="F638">
        <f t="shared" si="9"/>
        <v>106.20000000000002</v>
      </c>
    </row>
    <row r="639" spans="1:6" ht="13">
      <c r="A639" s="1">
        <v>10488</v>
      </c>
      <c r="B639" s="1">
        <v>59</v>
      </c>
      <c r="C639" s="1">
        <v>44</v>
      </c>
      <c r="D639" s="1">
        <v>30</v>
      </c>
      <c r="E639" s="1">
        <v>0</v>
      </c>
      <c r="F639">
        <f t="shared" si="9"/>
        <v>1320</v>
      </c>
    </row>
    <row r="640" spans="1:6" ht="13">
      <c r="A640" s="1">
        <v>10488</v>
      </c>
      <c r="B640" s="1">
        <v>73</v>
      </c>
      <c r="C640" s="1">
        <v>12</v>
      </c>
      <c r="D640" s="1">
        <v>20</v>
      </c>
      <c r="E640" s="1">
        <v>0.2</v>
      </c>
      <c r="F640">
        <f t="shared" si="9"/>
        <v>192</v>
      </c>
    </row>
    <row r="641" spans="1:6" ht="13">
      <c r="A641" s="1">
        <v>10489</v>
      </c>
      <c r="B641" s="1">
        <v>11</v>
      </c>
      <c r="C641" s="1">
        <v>16.8</v>
      </c>
      <c r="D641" s="1">
        <v>15</v>
      </c>
      <c r="E641" s="1">
        <v>0.25</v>
      </c>
      <c r="F641">
        <f t="shared" si="9"/>
        <v>189</v>
      </c>
    </row>
    <row r="642" spans="1:6" ht="13">
      <c r="A642" s="1">
        <v>10489</v>
      </c>
      <c r="B642" s="1">
        <v>16</v>
      </c>
      <c r="C642" s="1">
        <v>13.9</v>
      </c>
      <c r="D642" s="1">
        <v>18</v>
      </c>
      <c r="E642" s="1">
        <v>0</v>
      </c>
      <c r="F642">
        <f t="shared" si="9"/>
        <v>250.20000000000002</v>
      </c>
    </row>
    <row r="643" spans="1:6" ht="13">
      <c r="A643" s="1">
        <v>10490</v>
      </c>
      <c r="B643" s="1">
        <v>59</v>
      </c>
      <c r="C643" s="1">
        <v>44</v>
      </c>
      <c r="D643" s="1">
        <v>60</v>
      </c>
      <c r="E643" s="1">
        <v>0</v>
      </c>
      <c r="F643">
        <f t="shared" ref="F643:F706" si="10">C643*D643*(1-E643)</f>
        <v>2640</v>
      </c>
    </row>
    <row r="644" spans="1:6" ht="13">
      <c r="A644" s="1">
        <v>10490</v>
      </c>
      <c r="B644" s="1">
        <v>68</v>
      </c>
      <c r="C644" s="1">
        <v>10</v>
      </c>
      <c r="D644" s="1">
        <v>30</v>
      </c>
      <c r="E644" s="1">
        <v>0</v>
      </c>
      <c r="F644">
        <f t="shared" si="10"/>
        <v>300</v>
      </c>
    </row>
    <row r="645" spans="1:6" ht="13">
      <c r="A645" s="1">
        <v>10490</v>
      </c>
      <c r="B645" s="1">
        <v>75</v>
      </c>
      <c r="C645" s="1">
        <v>6.2</v>
      </c>
      <c r="D645" s="1">
        <v>36</v>
      </c>
      <c r="E645" s="1">
        <v>0</v>
      </c>
      <c r="F645">
        <f t="shared" si="10"/>
        <v>223.20000000000002</v>
      </c>
    </row>
    <row r="646" spans="1:6" ht="13">
      <c r="A646" s="1">
        <v>10491</v>
      </c>
      <c r="B646" s="1">
        <v>44</v>
      </c>
      <c r="C646" s="1">
        <v>15.5</v>
      </c>
      <c r="D646" s="1">
        <v>15</v>
      </c>
      <c r="E646" s="1">
        <v>0.15</v>
      </c>
      <c r="F646">
        <f t="shared" si="10"/>
        <v>197.625</v>
      </c>
    </row>
    <row r="647" spans="1:6" ht="13">
      <c r="A647" s="1">
        <v>10491</v>
      </c>
      <c r="B647" s="1">
        <v>77</v>
      </c>
      <c r="C647" s="1">
        <v>10.4</v>
      </c>
      <c r="D647" s="1">
        <v>7</v>
      </c>
      <c r="E647" s="1">
        <v>0.15</v>
      </c>
      <c r="F647">
        <f t="shared" si="10"/>
        <v>61.879999999999995</v>
      </c>
    </row>
    <row r="648" spans="1:6" ht="13">
      <c r="A648" s="1">
        <v>10492</v>
      </c>
      <c r="B648" s="1">
        <v>25</v>
      </c>
      <c r="C648" s="1">
        <v>11.2</v>
      </c>
      <c r="D648" s="1">
        <v>60</v>
      </c>
      <c r="E648" s="1">
        <v>0.05</v>
      </c>
      <c r="F648">
        <f t="shared" si="10"/>
        <v>638.4</v>
      </c>
    </row>
    <row r="649" spans="1:6" ht="13">
      <c r="A649" s="1">
        <v>10492</v>
      </c>
      <c r="B649" s="1">
        <v>42</v>
      </c>
      <c r="C649" s="1">
        <v>11.2</v>
      </c>
      <c r="D649" s="1">
        <v>20</v>
      </c>
      <c r="E649" s="1">
        <v>0.05</v>
      </c>
      <c r="F649">
        <f t="shared" si="10"/>
        <v>212.79999999999998</v>
      </c>
    </row>
    <row r="650" spans="1:6" ht="13">
      <c r="A650" s="1">
        <v>10493</v>
      </c>
      <c r="B650" s="1">
        <v>65</v>
      </c>
      <c r="C650" s="1">
        <v>16.8</v>
      </c>
      <c r="D650" s="1">
        <v>15</v>
      </c>
      <c r="E650" s="1">
        <v>0.1</v>
      </c>
      <c r="F650">
        <f t="shared" si="10"/>
        <v>226.8</v>
      </c>
    </row>
    <row r="651" spans="1:6" ht="13">
      <c r="A651" s="1">
        <v>10493</v>
      </c>
      <c r="B651" s="1">
        <v>66</v>
      </c>
      <c r="C651" s="1">
        <v>13.6</v>
      </c>
      <c r="D651" s="1">
        <v>10</v>
      </c>
      <c r="E651" s="1">
        <v>0.1</v>
      </c>
      <c r="F651">
        <f t="shared" si="10"/>
        <v>122.4</v>
      </c>
    </row>
    <row r="652" spans="1:6" ht="13">
      <c r="A652" s="1">
        <v>10493</v>
      </c>
      <c r="B652" s="1">
        <v>69</v>
      </c>
      <c r="C652" s="1">
        <v>28.8</v>
      </c>
      <c r="D652" s="1">
        <v>10</v>
      </c>
      <c r="E652" s="1">
        <v>0.1</v>
      </c>
      <c r="F652">
        <f t="shared" si="10"/>
        <v>259.2</v>
      </c>
    </row>
    <row r="653" spans="1:6" ht="13">
      <c r="A653" s="1">
        <v>10494</v>
      </c>
      <c r="B653" s="1">
        <v>56</v>
      </c>
      <c r="C653" s="1">
        <v>30.4</v>
      </c>
      <c r="D653" s="1">
        <v>30</v>
      </c>
      <c r="E653" s="1">
        <v>0</v>
      </c>
      <c r="F653">
        <f t="shared" si="10"/>
        <v>912</v>
      </c>
    </row>
    <row r="654" spans="1:6" ht="13">
      <c r="A654" s="1">
        <v>10495</v>
      </c>
      <c r="B654" s="1">
        <v>23</v>
      </c>
      <c r="C654" s="1">
        <v>7.2</v>
      </c>
      <c r="D654" s="1">
        <v>10</v>
      </c>
      <c r="E654" s="1">
        <v>0</v>
      </c>
      <c r="F654">
        <f t="shared" si="10"/>
        <v>72</v>
      </c>
    </row>
    <row r="655" spans="1:6" ht="13">
      <c r="A655" s="1">
        <v>10495</v>
      </c>
      <c r="B655" s="1">
        <v>41</v>
      </c>
      <c r="C655" s="1">
        <v>7.7</v>
      </c>
      <c r="D655" s="1">
        <v>20</v>
      </c>
      <c r="E655" s="1">
        <v>0</v>
      </c>
      <c r="F655">
        <f t="shared" si="10"/>
        <v>154</v>
      </c>
    </row>
    <row r="656" spans="1:6" ht="13">
      <c r="A656" s="1">
        <v>10495</v>
      </c>
      <c r="B656" s="1">
        <v>77</v>
      </c>
      <c r="C656" s="1">
        <v>10.4</v>
      </c>
      <c r="D656" s="1">
        <v>5</v>
      </c>
      <c r="E656" s="1">
        <v>0</v>
      </c>
      <c r="F656">
        <f t="shared" si="10"/>
        <v>52</v>
      </c>
    </row>
    <row r="657" spans="1:6" ht="13">
      <c r="A657" s="1">
        <v>10496</v>
      </c>
      <c r="B657" s="1">
        <v>31</v>
      </c>
      <c r="C657" s="1">
        <v>10</v>
      </c>
      <c r="D657" s="1">
        <v>20</v>
      </c>
      <c r="E657" s="1">
        <v>0.05</v>
      </c>
      <c r="F657">
        <f t="shared" si="10"/>
        <v>190</v>
      </c>
    </row>
    <row r="658" spans="1:6" ht="13">
      <c r="A658" s="1">
        <v>10497</v>
      </c>
      <c r="B658" s="1">
        <v>56</v>
      </c>
      <c r="C658" s="1">
        <v>30.4</v>
      </c>
      <c r="D658" s="1">
        <v>14</v>
      </c>
      <c r="E658" s="1">
        <v>0</v>
      </c>
      <c r="F658">
        <f t="shared" si="10"/>
        <v>425.59999999999997</v>
      </c>
    </row>
    <row r="659" spans="1:6" ht="13">
      <c r="A659" s="1">
        <v>10497</v>
      </c>
      <c r="B659" s="1">
        <v>72</v>
      </c>
      <c r="C659" s="1">
        <v>27.8</v>
      </c>
      <c r="D659" s="1">
        <v>25</v>
      </c>
      <c r="E659" s="1">
        <v>0</v>
      </c>
      <c r="F659">
        <f t="shared" si="10"/>
        <v>695</v>
      </c>
    </row>
    <row r="660" spans="1:6" ht="13">
      <c r="A660" s="1">
        <v>10497</v>
      </c>
      <c r="B660" s="1">
        <v>77</v>
      </c>
      <c r="C660" s="1">
        <v>10.4</v>
      </c>
      <c r="D660" s="1">
        <v>25</v>
      </c>
      <c r="E660" s="1">
        <v>0</v>
      </c>
      <c r="F660">
        <f t="shared" si="10"/>
        <v>260</v>
      </c>
    </row>
    <row r="661" spans="1:6" ht="13">
      <c r="A661" s="1">
        <v>10498</v>
      </c>
      <c r="B661" s="1">
        <v>24</v>
      </c>
      <c r="C661" s="1">
        <v>4.5</v>
      </c>
      <c r="D661" s="1">
        <v>14</v>
      </c>
      <c r="E661" s="1">
        <v>0</v>
      </c>
      <c r="F661">
        <f t="shared" si="10"/>
        <v>63</v>
      </c>
    </row>
    <row r="662" spans="1:6" ht="13">
      <c r="A662" s="1">
        <v>10498</v>
      </c>
      <c r="B662" s="1">
        <v>40</v>
      </c>
      <c r="C662" s="1">
        <v>18.399999999999999</v>
      </c>
      <c r="D662" s="1">
        <v>5</v>
      </c>
      <c r="E662" s="1">
        <v>0</v>
      </c>
      <c r="F662">
        <f t="shared" si="10"/>
        <v>92</v>
      </c>
    </row>
    <row r="663" spans="1:6" ht="13">
      <c r="A663" s="1">
        <v>10498</v>
      </c>
      <c r="B663" s="1">
        <v>42</v>
      </c>
      <c r="C663" s="1">
        <v>14</v>
      </c>
      <c r="D663" s="1">
        <v>30</v>
      </c>
      <c r="E663" s="1">
        <v>0</v>
      </c>
      <c r="F663">
        <f t="shared" si="10"/>
        <v>420</v>
      </c>
    </row>
    <row r="664" spans="1:6" ht="13">
      <c r="A664" s="1">
        <v>10499</v>
      </c>
      <c r="B664" s="1">
        <v>28</v>
      </c>
      <c r="C664" s="1">
        <v>45.6</v>
      </c>
      <c r="D664" s="1">
        <v>20</v>
      </c>
      <c r="E664" s="1">
        <v>0</v>
      </c>
      <c r="F664">
        <f t="shared" si="10"/>
        <v>912</v>
      </c>
    </row>
    <row r="665" spans="1:6" ht="13">
      <c r="A665" s="1">
        <v>10499</v>
      </c>
      <c r="B665" s="1">
        <v>49</v>
      </c>
      <c r="C665" s="1">
        <v>20</v>
      </c>
      <c r="D665" s="1">
        <v>25</v>
      </c>
      <c r="E665" s="1">
        <v>0</v>
      </c>
      <c r="F665">
        <f t="shared" si="10"/>
        <v>500</v>
      </c>
    </row>
    <row r="666" spans="1:6" ht="13">
      <c r="A666" s="1">
        <v>10500</v>
      </c>
      <c r="B666" s="1">
        <v>15</v>
      </c>
      <c r="C666" s="1">
        <v>15.5</v>
      </c>
      <c r="D666" s="1">
        <v>12</v>
      </c>
      <c r="E666" s="1">
        <v>0.05</v>
      </c>
      <c r="F666">
        <f t="shared" si="10"/>
        <v>176.7</v>
      </c>
    </row>
    <row r="667" spans="1:6" ht="13">
      <c r="A667" s="1">
        <v>10500</v>
      </c>
      <c r="B667" s="1">
        <v>28</v>
      </c>
      <c r="C667" s="1">
        <v>45.6</v>
      </c>
      <c r="D667" s="1">
        <v>8</v>
      </c>
      <c r="E667" s="1">
        <v>0.05</v>
      </c>
      <c r="F667">
        <f t="shared" si="10"/>
        <v>346.56</v>
      </c>
    </row>
    <row r="668" spans="1:6" ht="13">
      <c r="A668" s="1">
        <v>10501</v>
      </c>
      <c r="B668" s="1">
        <v>54</v>
      </c>
      <c r="C668" s="1">
        <v>7.45</v>
      </c>
      <c r="D668" s="1">
        <v>20</v>
      </c>
      <c r="E668" s="1">
        <v>0</v>
      </c>
      <c r="F668">
        <f t="shared" si="10"/>
        <v>149</v>
      </c>
    </row>
    <row r="669" spans="1:6" ht="13">
      <c r="A669" s="1">
        <v>10502</v>
      </c>
      <c r="B669" s="1">
        <v>45</v>
      </c>
      <c r="C669" s="1">
        <v>9.5</v>
      </c>
      <c r="D669" s="1">
        <v>21</v>
      </c>
      <c r="E669" s="1">
        <v>0</v>
      </c>
      <c r="F669">
        <f t="shared" si="10"/>
        <v>199.5</v>
      </c>
    </row>
    <row r="670" spans="1:6" ht="13">
      <c r="A670" s="1">
        <v>10502</v>
      </c>
      <c r="B670" s="1">
        <v>53</v>
      </c>
      <c r="C670" s="1">
        <v>32.799999999999997</v>
      </c>
      <c r="D670" s="1">
        <v>6</v>
      </c>
      <c r="E670" s="1">
        <v>0</v>
      </c>
      <c r="F670">
        <f t="shared" si="10"/>
        <v>196.79999999999998</v>
      </c>
    </row>
    <row r="671" spans="1:6" ht="13">
      <c r="A671" s="1">
        <v>10502</v>
      </c>
      <c r="B671" s="1">
        <v>67</v>
      </c>
      <c r="C671" s="1">
        <v>14</v>
      </c>
      <c r="D671" s="1">
        <v>30</v>
      </c>
      <c r="E671" s="1">
        <v>0</v>
      </c>
      <c r="F671">
        <f t="shared" si="10"/>
        <v>420</v>
      </c>
    </row>
    <row r="672" spans="1:6" ht="13">
      <c r="A672" s="1">
        <v>10503</v>
      </c>
      <c r="B672" s="1">
        <v>14</v>
      </c>
      <c r="C672" s="1">
        <v>23.25</v>
      </c>
      <c r="D672" s="1">
        <v>70</v>
      </c>
      <c r="E672" s="1">
        <v>0</v>
      </c>
      <c r="F672">
        <f t="shared" si="10"/>
        <v>1627.5</v>
      </c>
    </row>
    <row r="673" spans="1:6" ht="13">
      <c r="A673" s="1">
        <v>10503</v>
      </c>
      <c r="B673" s="1">
        <v>65</v>
      </c>
      <c r="C673" s="1">
        <v>21.05</v>
      </c>
      <c r="D673" s="1">
        <v>20</v>
      </c>
      <c r="E673" s="1">
        <v>0</v>
      </c>
      <c r="F673">
        <f t="shared" si="10"/>
        <v>421</v>
      </c>
    </row>
    <row r="674" spans="1:6" ht="13">
      <c r="A674" s="1">
        <v>10504</v>
      </c>
      <c r="B674" s="1">
        <v>2</v>
      </c>
      <c r="C674" s="1">
        <v>19</v>
      </c>
      <c r="D674" s="1">
        <v>12</v>
      </c>
      <c r="E674" s="1">
        <v>0</v>
      </c>
      <c r="F674">
        <f t="shared" si="10"/>
        <v>228</v>
      </c>
    </row>
    <row r="675" spans="1:6" ht="13">
      <c r="A675" s="1">
        <v>10504</v>
      </c>
      <c r="B675" s="1">
        <v>21</v>
      </c>
      <c r="C675" s="1">
        <v>10</v>
      </c>
      <c r="D675" s="1">
        <v>12</v>
      </c>
      <c r="E675" s="1">
        <v>0</v>
      </c>
      <c r="F675">
        <f t="shared" si="10"/>
        <v>120</v>
      </c>
    </row>
    <row r="676" spans="1:6" ht="13">
      <c r="A676" s="1">
        <v>10504</v>
      </c>
      <c r="B676" s="1">
        <v>53</v>
      </c>
      <c r="C676" s="1">
        <v>32.799999999999997</v>
      </c>
      <c r="D676" s="1">
        <v>10</v>
      </c>
      <c r="E676" s="1">
        <v>0</v>
      </c>
      <c r="F676">
        <f t="shared" si="10"/>
        <v>328</v>
      </c>
    </row>
    <row r="677" spans="1:6" ht="13">
      <c r="A677" s="1">
        <v>10504</v>
      </c>
      <c r="B677" s="1">
        <v>61</v>
      </c>
      <c r="C677" s="1">
        <v>28.5</v>
      </c>
      <c r="D677" s="1">
        <v>25</v>
      </c>
      <c r="E677" s="1">
        <v>0</v>
      </c>
      <c r="F677">
        <f t="shared" si="10"/>
        <v>712.5</v>
      </c>
    </row>
    <row r="678" spans="1:6" ht="13">
      <c r="A678" s="1">
        <v>10505</v>
      </c>
      <c r="B678" s="1">
        <v>62</v>
      </c>
      <c r="C678" s="1">
        <v>49.3</v>
      </c>
      <c r="D678" s="1">
        <v>3</v>
      </c>
      <c r="E678" s="1">
        <v>0</v>
      </c>
      <c r="F678">
        <f t="shared" si="10"/>
        <v>147.89999999999998</v>
      </c>
    </row>
    <row r="679" spans="1:6" ht="13">
      <c r="A679" s="1">
        <v>10506</v>
      </c>
      <c r="B679" s="1">
        <v>25</v>
      </c>
      <c r="C679" s="1">
        <v>14</v>
      </c>
      <c r="D679" s="1">
        <v>18</v>
      </c>
      <c r="E679" s="1">
        <v>0.1</v>
      </c>
      <c r="F679">
        <f t="shared" si="10"/>
        <v>226.8</v>
      </c>
    </row>
    <row r="680" spans="1:6" ht="13">
      <c r="A680" s="1">
        <v>10506</v>
      </c>
      <c r="B680" s="1">
        <v>70</v>
      </c>
      <c r="C680" s="1">
        <v>15</v>
      </c>
      <c r="D680" s="1">
        <v>14</v>
      </c>
      <c r="E680" s="1">
        <v>0.1</v>
      </c>
      <c r="F680">
        <f t="shared" si="10"/>
        <v>189</v>
      </c>
    </row>
    <row r="681" spans="1:6" ht="13">
      <c r="A681" s="1">
        <v>10507</v>
      </c>
      <c r="B681" s="1">
        <v>43</v>
      </c>
      <c r="C681" s="1">
        <v>46</v>
      </c>
      <c r="D681" s="1">
        <v>15</v>
      </c>
      <c r="E681" s="1">
        <v>0.15</v>
      </c>
      <c r="F681">
        <f t="shared" si="10"/>
        <v>586.5</v>
      </c>
    </row>
    <row r="682" spans="1:6" ht="13">
      <c r="A682" s="1">
        <v>10507</v>
      </c>
      <c r="B682" s="1">
        <v>48</v>
      </c>
      <c r="C682" s="1">
        <v>12.75</v>
      </c>
      <c r="D682" s="1">
        <v>15</v>
      </c>
      <c r="E682" s="1">
        <v>0.15</v>
      </c>
      <c r="F682">
        <f t="shared" si="10"/>
        <v>162.5625</v>
      </c>
    </row>
    <row r="683" spans="1:6" ht="13">
      <c r="A683" s="1">
        <v>10508</v>
      </c>
      <c r="B683" s="1">
        <v>13</v>
      </c>
      <c r="C683" s="1">
        <v>6</v>
      </c>
      <c r="D683" s="1">
        <v>10</v>
      </c>
      <c r="E683" s="1">
        <v>0</v>
      </c>
      <c r="F683">
        <f t="shared" si="10"/>
        <v>60</v>
      </c>
    </row>
    <row r="684" spans="1:6" ht="13">
      <c r="A684" s="1">
        <v>10508</v>
      </c>
      <c r="B684" s="1">
        <v>39</v>
      </c>
      <c r="C684" s="1">
        <v>18</v>
      </c>
      <c r="D684" s="1">
        <v>10</v>
      </c>
      <c r="E684" s="1">
        <v>0</v>
      </c>
      <c r="F684">
        <f t="shared" si="10"/>
        <v>180</v>
      </c>
    </row>
    <row r="685" spans="1:6" ht="13">
      <c r="A685" s="1">
        <v>10509</v>
      </c>
      <c r="B685" s="1">
        <v>28</v>
      </c>
      <c r="C685" s="1">
        <v>45.6</v>
      </c>
      <c r="D685" s="1">
        <v>3</v>
      </c>
      <c r="E685" s="1">
        <v>0</v>
      </c>
      <c r="F685">
        <f t="shared" si="10"/>
        <v>136.80000000000001</v>
      </c>
    </row>
    <row r="686" spans="1:6" ht="13">
      <c r="A686" s="1">
        <v>10510</v>
      </c>
      <c r="B686" s="1">
        <v>29</v>
      </c>
      <c r="C686" s="1">
        <v>123.79</v>
      </c>
      <c r="D686" s="1">
        <v>36</v>
      </c>
      <c r="E686" s="1">
        <v>0</v>
      </c>
      <c r="F686">
        <f t="shared" si="10"/>
        <v>4456.4400000000005</v>
      </c>
    </row>
    <row r="687" spans="1:6" ht="13">
      <c r="A687" s="1">
        <v>10510</v>
      </c>
      <c r="B687" s="1">
        <v>75</v>
      </c>
      <c r="C687" s="1">
        <v>7.75</v>
      </c>
      <c r="D687" s="1">
        <v>36</v>
      </c>
      <c r="E687" s="1">
        <v>0.1</v>
      </c>
      <c r="F687">
        <f t="shared" si="10"/>
        <v>251.1</v>
      </c>
    </row>
    <row r="688" spans="1:6" ht="13">
      <c r="A688" s="1">
        <v>10511</v>
      </c>
      <c r="B688" s="1">
        <v>4</v>
      </c>
      <c r="C688" s="1">
        <v>22</v>
      </c>
      <c r="D688" s="1">
        <v>50</v>
      </c>
      <c r="E688" s="1">
        <v>0.15</v>
      </c>
      <c r="F688">
        <f t="shared" si="10"/>
        <v>935</v>
      </c>
    </row>
    <row r="689" spans="1:6" ht="13">
      <c r="A689" s="1">
        <v>10511</v>
      </c>
      <c r="B689" s="1">
        <v>7</v>
      </c>
      <c r="C689" s="1">
        <v>30</v>
      </c>
      <c r="D689" s="1">
        <v>50</v>
      </c>
      <c r="E689" s="1">
        <v>0.15</v>
      </c>
      <c r="F689">
        <f t="shared" si="10"/>
        <v>1275</v>
      </c>
    </row>
    <row r="690" spans="1:6" ht="13">
      <c r="A690" s="1">
        <v>10511</v>
      </c>
      <c r="B690" s="1">
        <v>8</v>
      </c>
      <c r="C690" s="1">
        <v>40</v>
      </c>
      <c r="D690" s="1">
        <v>10</v>
      </c>
      <c r="E690" s="1">
        <v>0.15</v>
      </c>
      <c r="F690">
        <f t="shared" si="10"/>
        <v>340</v>
      </c>
    </row>
    <row r="691" spans="1:6" ht="13">
      <c r="A691" s="1">
        <v>10512</v>
      </c>
      <c r="B691" s="1">
        <v>24</v>
      </c>
      <c r="C691" s="1">
        <v>4.5</v>
      </c>
      <c r="D691" s="1">
        <v>10</v>
      </c>
      <c r="E691" s="1">
        <v>0.15</v>
      </c>
      <c r="F691">
        <f t="shared" si="10"/>
        <v>38.25</v>
      </c>
    </row>
    <row r="692" spans="1:6" ht="13">
      <c r="A692" s="1">
        <v>10512</v>
      </c>
      <c r="B692" s="1">
        <v>46</v>
      </c>
      <c r="C692" s="1">
        <v>12</v>
      </c>
      <c r="D692" s="1">
        <v>9</v>
      </c>
      <c r="E692" s="1">
        <v>0.15</v>
      </c>
      <c r="F692">
        <f t="shared" si="10"/>
        <v>91.8</v>
      </c>
    </row>
    <row r="693" spans="1:6" ht="13">
      <c r="A693" s="1">
        <v>10512</v>
      </c>
      <c r="B693" s="1">
        <v>47</v>
      </c>
      <c r="C693" s="1">
        <v>9.5</v>
      </c>
      <c r="D693" s="1">
        <v>6</v>
      </c>
      <c r="E693" s="1">
        <v>0.15</v>
      </c>
      <c r="F693">
        <f t="shared" si="10"/>
        <v>48.449999999999996</v>
      </c>
    </row>
    <row r="694" spans="1:6" ht="13">
      <c r="A694" s="1">
        <v>10512</v>
      </c>
      <c r="B694" s="1">
        <v>60</v>
      </c>
      <c r="C694" s="1">
        <v>34</v>
      </c>
      <c r="D694" s="1">
        <v>12</v>
      </c>
      <c r="E694" s="1">
        <v>0.15</v>
      </c>
      <c r="F694">
        <f t="shared" si="10"/>
        <v>346.8</v>
      </c>
    </row>
    <row r="695" spans="1:6" ht="13">
      <c r="A695" s="1">
        <v>10513</v>
      </c>
      <c r="B695" s="1">
        <v>21</v>
      </c>
      <c r="C695" s="1">
        <v>10</v>
      </c>
      <c r="D695" s="1">
        <v>40</v>
      </c>
      <c r="E695" s="1">
        <v>0.2</v>
      </c>
      <c r="F695">
        <f t="shared" si="10"/>
        <v>320</v>
      </c>
    </row>
    <row r="696" spans="1:6" ht="13">
      <c r="A696" s="1">
        <v>10513</v>
      </c>
      <c r="B696" s="1">
        <v>32</v>
      </c>
      <c r="C696" s="1">
        <v>32</v>
      </c>
      <c r="D696" s="1">
        <v>50</v>
      </c>
      <c r="E696" s="1">
        <v>0.2</v>
      </c>
      <c r="F696">
        <f t="shared" si="10"/>
        <v>1280</v>
      </c>
    </row>
    <row r="697" spans="1:6" ht="13">
      <c r="A697" s="1">
        <v>10513</v>
      </c>
      <c r="B697" s="1">
        <v>61</v>
      </c>
      <c r="C697" s="1">
        <v>28.5</v>
      </c>
      <c r="D697" s="1">
        <v>15</v>
      </c>
      <c r="E697" s="1">
        <v>0.2</v>
      </c>
      <c r="F697">
        <f t="shared" si="10"/>
        <v>342</v>
      </c>
    </row>
    <row r="698" spans="1:6" ht="13">
      <c r="A698" s="1">
        <v>10514</v>
      </c>
      <c r="B698" s="1">
        <v>20</v>
      </c>
      <c r="C698" s="1">
        <v>81</v>
      </c>
      <c r="D698" s="1">
        <v>39</v>
      </c>
      <c r="E698" s="1">
        <v>0</v>
      </c>
      <c r="F698">
        <f t="shared" si="10"/>
        <v>3159</v>
      </c>
    </row>
    <row r="699" spans="1:6" ht="13">
      <c r="A699" s="1">
        <v>10514</v>
      </c>
      <c r="B699" s="1">
        <v>28</v>
      </c>
      <c r="C699" s="1">
        <v>45.6</v>
      </c>
      <c r="D699" s="1">
        <v>35</v>
      </c>
      <c r="E699" s="1">
        <v>0</v>
      </c>
      <c r="F699">
        <f t="shared" si="10"/>
        <v>1596</v>
      </c>
    </row>
    <row r="700" spans="1:6" ht="13">
      <c r="A700" s="1">
        <v>10514</v>
      </c>
      <c r="B700" s="1">
        <v>56</v>
      </c>
      <c r="C700" s="1">
        <v>38</v>
      </c>
      <c r="D700" s="1">
        <v>70</v>
      </c>
      <c r="E700" s="1">
        <v>0</v>
      </c>
      <c r="F700">
        <f t="shared" si="10"/>
        <v>2660</v>
      </c>
    </row>
    <row r="701" spans="1:6" ht="13">
      <c r="A701" s="1">
        <v>10514</v>
      </c>
      <c r="B701" s="1">
        <v>65</v>
      </c>
      <c r="C701" s="1">
        <v>21.05</v>
      </c>
      <c r="D701" s="1">
        <v>39</v>
      </c>
      <c r="E701" s="1">
        <v>0</v>
      </c>
      <c r="F701">
        <f t="shared" si="10"/>
        <v>820.95</v>
      </c>
    </row>
    <row r="702" spans="1:6" ht="13">
      <c r="A702" s="1">
        <v>10514</v>
      </c>
      <c r="B702" s="1">
        <v>75</v>
      </c>
      <c r="C702" s="1">
        <v>7.75</v>
      </c>
      <c r="D702" s="1">
        <v>50</v>
      </c>
      <c r="E702" s="1">
        <v>0</v>
      </c>
      <c r="F702">
        <f t="shared" si="10"/>
        <v>387.5</v>
      </c>
    </row>
    <row r="703" spans="1:6" ht="13">
      <c r="A703" s="1">
        <v>10515</v>
      </c>
      <c r="B703" s="1">
        <v>9</v>
      </c>
      <c r="C703" s="1">
        <v>97</v>
      </c>
      <c r="D703" s="1">
        <v>16</v>
      </c>
      <c r="E703" s="1">
        <v>0.15</v>
      </c>
      <c r="F703">
        <f t="shared" si="10"/>
        <v>1319.2</v>
      </c>
    </row>
    <row r="704" spans="1:6" ht="13">
      <c r="A704" s="1">
        <v>10515</v>
      </c>
      <c r="B704" s="1">
        <v>16</v>
      </c>
      <c r="C704" s="1">
        <v>17.45</v>
      </c>
      <c r="D704" s="1">
        <v>50</v>
      </c>
      <c r="E704" s="1">
        <v>0</v>
      </c>
      <c r="F704">
        <f t="shared" si="10"/>
        <v>872.5</v>
      </c>
    </row>
    <row r="705" spans="1:6" ht="13">
      <c r="A705" s="1">
        <v>10515</v>
      </c>
      <c r="B705" s="1">
        <v>27</v>
      </c>
      <c r="C705" s="1">
        <v>43.9</v>
      </c>
      <c r="D705" s="1">
        <v>120</v>
      </c>
      <c r="E705" s="1">
        <v>0</v>
      </c>
      <c r="F705">
        <f t="shared" si="10"/>
        <v>5268</v>
      </c>
    </row>
    <row r="706" spans="1:6" ht="13">
      <c r="A706" s="1">
        <v>10515</v>
      </c>
      <c r="B706" s="1">
        <v>33</v>
      </c>
      <c r="C706" s="1">
        <v>2.5</v>
      </c>
      <c r="D706" s="1">
        <v>16</v>
      </c>
      <c r="E706" s="1">
        <v>0.15</v>
      </c>
      <c r="F706">
        <f t="shared" si="10"/>
        <v>34</v>
      </c>
    </row>
    <row r="707" spans="1:6" ht="13">
      <c r="A707" s="1">
        <v>10515</v>
      </c>
      <c r="B707" s="1">
        <v>60</v>
      </c>
      <c r="C707" s="1">
        <v>34</v>
      </c>
      <c r="D707" s="1">
        <v>84</v>
      </c>
      <c r="E707" s="1">
        <v>0.15</v>
      </c>
      <c r="F707">
        <f t="shared" ref="F707:F770" si="11">C707*D707*(1-E707)</f>
        <v>2427.6</v>
      </c>
    </row>
    <row r="708" spans="1:6" ht="13">
      <c r="A708" s="1">
        <v>10516</v>
      </c>
      <c r="B708" s="1">
        <v>18</v>
      </c>
      <c r="C708" s="1">
        <v>62.5</v>
      </c>
      <c r="D708" s="1">
        <v>25</v>
      </c>
      <c r="E708" s="1">
        <v>0.1</v>
      </c>
      <c r="F708">
        <f t="shared" si="11"/>
        <v>1406.25</v>
      </c>
    </row>
    <row r="709" spans="1:6" ht="13">
      <c r="A709" s="1">
        <v>10516</v>
      </c>
      <c r="B709" s="1">
        <v>41</v>
      </c>
      <c r="C709" s="1">
        <v>9.65</v>
      </c>
      <c r="D709" s="1">
        <v>80</v>
      </c>
      <c r="E709" s="1">
        <v>0.1</v>
      </c>
      <c r="F709">
        <f t="shared" si="11"/>
        <v>694.80000000000007</v>
      </c>
    </row>
    <row r="710" spans="1:6" ht="13">
      <c r="A710" s="1">
        <v>10516</v>
      </c>
      <c r="B710" s="1">
        <v>42</v>
      </c>
      <c r="C710" s="1">
        <v>14</v>
      </c>
      <c r="D710" s="1">
        <v>20</v>
      </c>
      <c r="E710" s="1">
        <v>0</v>
      </c>
      <c r="F710">
        <f t="shared" si="11"/>
        <v>280</v>
      </c>
    </row>
    <row r="711" spans="1:6" ht="13">
      <c r="A711" s="1">
        <v>10517</v>
      </c>
      <c r="B711" s="1">
        <v>52</v>
      </c>
      <c r="C711" s="1">
        <v>7</v>
      </c>
      <c r="D711" s="1">
        <v>6</v>
      </c>
      <c r="E711" s="1">
        <v>0</v>
      </c>
      <c r="F711">
        <f t="shared" si="11"/>
        <v>42</v>
      </c>
    </row>
    <row r="712" spans="1:6" ht="13">
      <c r="A712" s="1">
        <v>10517</v>
      </c>
      <c r="B712" s="1">
        <v>59</v>
      </c>
      <c r="C712" s="1">
        <v>55</v>
      </c>
      <c r="D712" s="1">
        <v>4</v>
      </c>
      <c r="E712" s="1">
        <v>0</v>
      </c>
      <c r="F712">
        <f t="shared" si="11"/>
        <v>220</v>
      </c>
    </row>
    <row r="713" spans="1:6" ht="13">
      <c r="A713" s="1">
        <v>10517</v>
      </c>
      <c r="B713" s="1">
        <v>70</v>
      </c>
      <c r="C713" s="1">
        <v>15</v>
      </c>
      <c r="D713" s="1">
        <v>6</v>
      </c>
      <c r="E713" s="1">
        <v>0</v>
      </c>
      <c r="F713">
        <f t="shared" si="11"/>
        <v>90</v>
      </c>
    </row>
    <row r="714" spans="1:6" ht="13">
      <c r="A714" s="1">
        <v>10518</v>
      </c>
      <c r="B714" s="1">
        <v>24</v>
      </c>
      <c r="C714" s="1">
        <v>4.5</v>
      </c>
      <c r="D714" s="1">
        <v>5</v>
      </c>
      <c r="E714" s="1">
        <v>0</v>
      </c>
      <c r="F714">
        <f t="shared" si="11"/>
        <v>22.5</v>
      </c>
    </row>
    <row r="715" spans="1:6" ht="13">
      <c r="A715" s="1">
        <v>10518</v>
      </c>
      <c r="B715" s="1">
        <v>38</v>
      </c>
      <c r="C715" s="1">
        <v>263.5</v>
      </c>
      <c r="D715" s="1">
        <v>15</v>
      </c>
      <c r="E715" s="1">
        <v>0</v>
      </c>
      <c r="F715">
        <f t="shared" si="11"/>
        <v>3952.5</v>
      </c>
    </row>
    <row r="716" spans="1:6" ht="13">
      <c r="A716" s="1">
        <v>10518</v>
      </c>
      <c r="B716" s="1">
        <v>44</v>
      </c>
      <c r="C716" s="1">
        <v>19.45</v>
      </c>
      <c r="D716" s="1">
        <v>9</v>
      </c>
      <c r="E716" s="1">
        <v>0</v>
      </c>
      <c r="F716">
        <f t="shared" si="11"/>
        <v>175.04999999999998</v>
      </c>
    </row>
    <row r="717" spans="1:6" ht="13">
      <c r="A717" s="1">
        <v>10519</v>
      </c>
      <c r="B717" s="1">
        <v>10</v>
      </c>
      <c r="C717" s="1">
        <v>31</v>
      </c>
      <c r="D717" s="1">
        <v>16</v>
      </c>
      <c r="E717" s="1">
        <v>0.05</v>
      </c>
      <c r="F717">
        <f t="shared" si="11"/>
        <v>471.2</v>
      </c>
    </row>
    <row r="718" spans="1:6" ht="13">
      <c r="A718" s="1">
        <v>10519</v>
      </c>
      <c r="B718" s="1">
        <v>56</v>
      </c>
      <c r="C718" s="1">
        <v>38</v>
      </c>
      <c r="D718" s="1">
        <v>40</v>
      </c>
      <c r="E718" s="1">
        <v>0</v>
      </c>
      <c r="F718">
        <f t="shared" si="11"/>
        <v>1520</v>
      </c>
    </row>
    <row r="719" spans="1:6" ht="13">
      <c r="A719" s="1">
        <v>10519</v>
      </c>
      <c r="B719" s="1">
        <v>60</v>
      </c>
      <c r="C719" s="1">
        <v>34</v>
      </c>
      <c r="D719" s="1">
        <v>10</v>
      </c>
      <c r="E719" s="1">
        <v>0.05</v>
      </c>
      <c r="F719">
        <f t="shared" si="11"/>
        <v>323</v>
      </c>
    </row>
    <row r="720" spans="1:6" ht="13">
      <c r="A720" s="1">
        <v>10520</v>
      </c>
      <c r="B720" s="1">
        <v>24</v>
      </c>
      <c r="C720" s="1">
        <v>4.5</v>
      </c>
      <c r="D720" s="1">
        <v>8</v>
      </c>
      <c r="E720" s="1">
        <v>0</v>
      </c>
      <c r="F720">
        <f t="shared" si="11"/>
        <v>36</v>
      </c>
    </row>
    <row r="721" spans="1:6" ht="13">
      <c r="A721" s="1">
        <v>10520</v>
      </c>
      <c r="B721" s="1">
        <v>53</v>
      </c>
      <c r="C721" s="1">
        <v>32.799999999999997</v>
      </c>
      <c r="D721" s="1">
        <v>5</v>
      </c>
      <c r="E721" s="1">
        <v>0</v>
      </c>
      <c r="F721">
        <f t="shared" si="11"/>
        <v>164</v>
      </c>
    </row>
    <row r="722" spans="1:6" ht="13">
      <c r="A722" s="1">
        <v>10521</v>
      </c>
      <c r="B722" s="1">
        <v>35</v>
      </c>
      <c r="C722" s="1">
        <v>18</v>
      </c>
      <c r="D722" s="1">
        <v>3</v>
      </c>
      <c r="E722" s="1">
        <v>0</v>
      </c>
      <c r="F722">
        <f t="shared" si="11"/>
        <v>54</v>
      </c>
    </row>
    <row r="723" spans="1:6" ht="13">
      <c r="A723" s="1">
        <v>10521</v>
      </c>
      <c r="B723" s="1">
        <v>41</v>
      </c>
      <c r="C723" s="1">
        <v>9.65</v>
      </c>
      <c r="D723" s="1">
        <v>10</v>
      </c>
      <c r="E723" s="1">
        <v>0</v>
      </c>
      <c r="F723">
        <f t="shared" si="11"/>
        <v>96.5</v>
      </c>
    </row>
    <row r="724" spans="1:6" ht="13">
      <c r="A724" s="1">
        <v>10521</v>
      </c>
      <c r="B724" s="1">
        <v>68</v>
      </c>
      <c r="C724" s="1">
        <v>12.5</v>
      </c>
      <c r="D724" s="1">
        <v>6</v>
      </c>
      <c r="E724" s="1">
        <v>0</v>
      </c>
      <c r="F724">
        <f t="shared" si="11"/>
        <v>75</v>
      </c>
    </row>
    <row r="725" spans="1:6" ht="13">
      <c r="A725" s="1">
        <v>10522</v>
      </c>
      <c r="B725" s="1">
        <v>1</v>
      </c>
      <c r="C725" s="1">
        <v>18</v>
      </c>
      <c r="D725" s="1">
        <v>40</v>
      </c>
      <c r="E725" s="1">
        <v>0.2</v>
      </c>
      <c r="F725">
        <f t="shared" si="11"/>
        <v>576</v>
      </c>
    </row>
    <row r="726" spans="1:6" ht="13">
      <c r="A726" s="1">
        <v>10522</v>
      </c>
      <c r="B726" s="1">
        <v>8</v>
      </c>
      <c r="C726" s="1">
        <v>40</v>
      </c>
      <c r="D726" s="1">
        <v>24</v>
      </c>
      <c r="E726" s="1">
        <v>0</v>
      </c>
      <c r="F726">
        <f t="shared" si="11"/>
        <v>960</v>
      </c>
    </row>
    <row r="727" spans="1:6" ht="13">
      <c r="A727" s="1">
        <v>10522</v>
      </c>
      <c r="B727" s="1">
        <v>30</v>
      </c>
      <c r="C727" s="1">
        <v>25.89</v>
      </c>
      <c r="D727" s="1">
        <v>20</v>
      </c>
      <c r="E727" s="1">
        <v>0.2</v>
      </c>
      <c r="F727">
        <f t="shared" si="11"/>
        <v>414.24</v>
      </c>
    </row>
    <row r="728" spans="1:6" ht="13">
      <c r="A728" s="1">
        <v>10522</v>
      </c>
      <c r="B728" s="1">
        <v>40</v>
      </c>
      <c r="C728" s="1">
        <v>18.399999999999999</v>
      </c>
      <c r="D728" s="1">
        <v>25</v>
      </c>
      <c r="E728" s="1">
        <v>0.2</v>
      </c>
      <c r="F728">
        <f t="shared" si="11"/>
        <v>368</v>
      </c>
    </row>
    <row r="729" spans="1:6" ht="13">
      <c r="A729" s="1">
        <v>10523</v>
      </c>
      <c r="B729" s="1">
        <v>17</v>
      </c>
      <c r="C729" s="1">
        <v>39</v>
      </c>
      <c r="D729" s="1">
        <v>25</v>
      </c>
      <c r="E729" s="1">
        <v>0.1</v>
      </c>
      <c r="F729">
        <f t="shared" si="11"/>
        <v>877.5</v>
      </c>
    </row>
    <row r="730" spans="1:6" ht="13">
      <c r="A730" s="1">
        <v>10523</v>
      </c>
      <c r="B730" s="1">
        <v>20</v>
      </c>
      <c r="C730" s="1">
        <v>81</v>
      </c>
      <c r="D730" s="1">
        <v>15</v>
      </c>
      <c r="E730" s="1">
        <v>0.1</v>
      </c>
      <c r="F730">
        <f t="shared" si="11"/>
        <v>1093.5</v>
      </c>
    </row>
    <row r="731" spans="1:6" ht="13">
      <c r="A731" s="1">
        <v>10523</v>
      </c>
      <c r="B731" s="1">
        <v>37</v>
      </c>
      <c r="C731" s="1">
        <v>26</v>
      </c>
      <c r="D731" s="1">
        <v>18</v>
      </c>
      <c r="E731" s="1">
        <v>0.1</v>
      </c>
      <c r="F731">
        <f t="shared" si="11"/>
        <v>421.2</v>
      </c>
    </row>
    <row r="732" spans="1:6" ht="13">
      <c r="A732" s="1">
        <v>10523</v>
      </c>
      <c r="B732" s="1">
        <v>41</v>
      </c>
      <c r="C732" s="1">
        <v>9.65</v>
      </c>
      <c r="D732" s="1">
        <v>6</v>
      </c>
      <c r="E732" s="1">
        <v>0.1</v>
      </c>
      <c r="F732">
        <f t="shared" si="11"/>
        <v>52.110000000000007</v>
      </c>
    </row>
    <row r="733" spans="1:6" ht="13">
      <c r="A733" s="1">
        <v>10524</v>
      </c>
      <c r="B733" s="1">
        <v>10</v>
      </c>
      <c r="C733" s="1">
        <v>31</v>
      </c>
      <c r="D733" s="1">
        <v>2</v>
      </c>
      <c r="E733" s="1">
        <v>0</v>
      </c>
      <c r="F733">
        <f t="shared" si="11"/>
        <v>62</v>
      </c>
    </row>
    <row r="734" spans="1:6" ht="13">
      <c r="A734" s="1">
        <v>10524</v>
      </c>
      <c r="B734" s="1">
        <v>30</v>
      </c>
      <c r="C734" s="1">
        <v>25.89</v>
      </c>
      <c r="D734" s="1">
        <v>10</v>
      </c>
      <c r="E734" s="1">
        <v>0</v>
      </c>
      <c r="F734">
        <f t="shared" si="11"/>
        <v>258.89999999999998</v>
      </c>
    </row>
    <row r="735" spans="1:6" ht="13">
      <c r="A735" s="1">
        <v>10524</v>
      </c>
      <c r="B735" s="1">
        <v>43</v>
      </c>
      <c r="C735" s="1">
        <v>46</v>
      </c>
      <c r="D735" s="1">
        <v>60</v>
      </c>
      <c r="E735" s="1">
        <v>0</v>
      </c>
      <c r="F735">
        <f t="shared" si="11"/>
        <v>2760</v>
      </c>
    </row>
    <row r="736" spans="1:6" ht="13">
      <c r="A736" s="1">
        <v>10524</v>
      </c>
      <c r="B736" s="1">
        <v>54</v>
      </c>
      <c r="C736" s="1">
        <v>7.45</v>
      </c>
      <c r="D736" s="1">
        <v>15</v>
      </c>
      <c r="E736" s="1">
        <v>0</v>
      </c>
      <c r="F736">
        <f t="shared" si="11"/>
        <v>111.75</v>
      </c>
    </row>
    <row r="737" spans="1:6" ht="13">
      <c r="A737" s="1">
        <v>10525</v>
      </c>
      <c r="B737" s="1">
        <v>36</v>
      </c>
      <c r="C737" s="1">
        <v>19</v>
      </c>
      <c r="D737" s="1">
        <v>30</v>
      </c>
      <c r="E737" s="1">
        <v>0</v>
      </c>
      <c r="F737">
        <f t="shared" si="11"/>
        <v>570</v>
      </c>
    </row>
    <row r="738" spans="1:6" ht="13">
      <c r="A738" s="1">
        <v>10525</v>
      </c>
      <c r="B738" s="1">
        <v>40</v>
      </c>
      <c r="C738" s="1">
        <v>18.399999999999999</v>
      </c>
      <c r="D738" s="1">
        <v>15</v>
      </c>
      <c r="E738" s="1">
        <v>0.1</v>
      </c>
      <c r="F738">
        <f t="shared" si="11"/>
        <v>248.4</v>
      </c>
    </row>
    <row r="739" spans="1:6" ht="13">
      <c r="A739" s="1">
        <v>10526</v>
      </c>
      <c r="B739" s="1">
        <v>1</v>
      </c>
      <c r="C739" s="1">
        <v>18</v>
      </c>
      <c r="D739" s="1">
        <v>8</v>
      </c>
      <c r="E739" s="1">
        <v>0.15</v>
      </c>
      <c r="F739">
        <f t="shared" si="11"/>
        <v>122.39999999999999</v>
      </c>
    </row>
    <row r="740" spans="1:6" ht="13">
      <c r="A740" s="1">
        <v>10526</v>
      </c>
      <c r="B740" s="1">
        <v>13</v>
      </c>
      <c r="C740" s="1">
        <v>6</v>
      </c>
      <c r="D740" s="1">
        <v>10</v>
      </c>
      <c r="E740" s="1">
        <v>0</v>
      </c>
      <c r="F740">
        <f t="shared" si="11"/>
        <v>60</v>
      </c>
    </row>
    <row r="741" spans="1:6" ht="13">
      <c r="A741" s="1">
        <v>10526</v>
      </c>
      <c r="B741" s="1">
        <v>56</v>
      </c>
      <c r="C741" s="1">
        <v>38</v>
      </c>
      <c r="D741" s="1">
        <v>30</v>
      </c>
      <c r="E741" s="1">
        <v>0.15</v>
      </c>
      <c r="F741">
        <f t="shared" si="11"/>
        <v>969</v>
      </c>
    </row>
    <row r="742" spans="1:6" ht="13">
      <c r="A742" s="1">
        <v>10527</v>
      </c>
      <c r="B742" s="1">
        <v>4</v>
      </c>
      <c r="C742" s="1">
        <v>22</v>
      </c>
      <c r="D742" s="1">
        <v>50</v>
      </c>
      <c r="E742" s="1">
        <v>0.1</v>
      </c>
      <c r="F742">
        <f t="shared" si="11"/>
        <v>990</v>
      </c>
    </row>
    <row r="743" spans="1:6" ht="13">
      <c r="A743" s="1">
        <v>10527</v>
      </c>
      <c r="B743" s="1">
        <v>36</v>
      </c>
      <c r="C743" s="1">
        <v>19</v>
      </c>
      <c r="D743" s="1">
        <v>30</v>
      </c>
      <c r="E743" s="1">
        <v>0.1</v>
      </c>
      <c r="F743">
        <f t="shared" si="11"/>
        <v>513</v>
      </c>
    </row>
    <row r="744" spans="1:6" ht="13">
      <c r="A744" s="1">
        <v>10528</v>
      </c>
      <c r="B744" s="1">
        <v>11</v>
      </c>
      <c r="C744" s="1">
        <v>21</v>
      </c>
      <c r="D744" s="1">
        <v>3</v>
      </c>
      <c r="E744" s="1">
        <v>0</v>
      </c>
      <c r="F744">
        <f t="shared" si="11"/>
        <v>63</v>
      </c>
    </row>
    <row r="745" spans="1:6" ht="13">
      <c r="A745" s="1">
        <v>10528</v>
      </c>
      <c r="B745" s="1">
        <v>33</v>
      </c>
      <c r="C745" s="1">
        <v>2.5</v>
      </c>
      <c r="D745" s="1">
        <v>8</v>
      </c>
      <c r="E745" s="1">
        <v>0.2</v>
      </c>
      <c r="F745">
        <f t="shared" si="11"/>
        <v>16</v>
      </c>
    </row>
    <row r="746" spans="1:6" ht="13">
      <c r="A746" s="1">
        <v>10528</v>
      </c>
      <c r="B746" s="1">
        <v>72</v>
      </c>
      <c r="C746" s="1">
        <v>34.799999999999997</v>
      </c>
      <c r="D746" s="1">
        <v>9</v>
      </c>
      <c r="E746" s="1">
        <v>0</v>
      </c>
      <c r="F746">
        <f t="shared" si="11"/>
        <v>313.2</v>
      </c>
    </row>
    <row r="747" spans="1:6" ht="13">
      <c r="A747" s="1">
        <v>10529</v>
      </c>
      <c r="B747" s="1">
        <v>55</v>
      </c>
      <c r="C747" s="1">
        <v>24</v>
      </c>
      <c r="D747" s="1">
        <v>14</v>
      </c>
      <c r="E747" s="1">
        <v>0</v>
      </c>
      <c r="F747">
        <f t="shared" si="11"/>
        <v>336</v>
      </c>
    </row>
    <row r="748" spans="1:6" ht="13">
      <c r="A748" s="1">
        <v>10529</v>
      </c>
      <c r="B748" s="1">
        <v>68</v>
      </c>
      <c r="C748" s="1">
        <v>12.5</v>
      </c>
      <c r="D748" s="1">
        <v>20</v>
      </c>
      <c r="E748" s="1">
        <v>0</v>
      </c>
      <c r="F748">
        <f t="shared" si="11"/>
        <v>250</v>
      </c>
    </row>
    <row r="749" spans="1:6" ht="13">
      <c r="A749" s="1">
        <v>10529</v>
      </c>
      <c r="B749" s="1">
        <v>69</v>
      </c>
      <c r="C749" s="1">
        <v>36</v>
      </c>
      <c r="D749" s="1">
        <v>10</v>
      </c>
      <c r="E749" s="1">
        <v>0</v>
      </c>
      <c r="F749">
        <f t="shared" si="11"/>
        <v>360</v>
      </c>
    </row>
    <row r="750" spans="1:6" ht="13">
      <c r="A750" s="1">
        <v>10530</v>
      </c>
      <c r="B750" s="1">
        <v>17</v>
      </c>
      <c r="C750" s="1">
        <v>39</v>
      </c>
      <c r="D750" s="1">
        <v>40</v>
      </c>
      <c r="E750" s="1">
        <v>0</v>
      </c>
      <c r="F750">
        <f t="shared" si="11"/>
        <v>1560</v>
      </c>
    </row>
    <row r="751" spans="1:6" ht="13">
      <c r="A751" s="1">
        <v>10530</v>
      </c>
      <c r="B751" s="1">
        <v>43</v>
      </c>
      <c r="C751" s="1">
        <v>46</v>
      </c>
      <c r="D751" s="1">
        <v>25</v>
      </c>
      <c r="E751" s="1">
        <v>0</v>
      </c>
      <c r="F751">
        <f t="shared" si="11"/>
        <v>1150</v>
      </c>
    </row>
    <row r="752" spans="1:6" ht="13">
      <c r="A752" s="1">
        <v>10530</v>
      </c>
      <c r="B752" s="1">
        <v>61</v>
      </c>
      <c r="C752" s="1">
        <v>28.5</v>
      </c>
      <c r="D752" s="1">
        <v>20</v>
      </c>
      <c r="E752" s="1">
        <v>0</v>
      </c>
      <c r="F752">
        <f t="shared" si="11"/>
        <v>570</v>
      </c>
    </row>
    <row r="753" spans="1:6" ht="13">
      <c r="A753" s="1">
        <v>10530</v>
      </c>
      <c r="B753" s="1">
        <v>76</v>
      </c>
      <c r="C753" s="1">
        <v>18</v>
      </c>
      <c r="D753" s="1">
        <v>50</v>
      </c>
      <c r="E753" s="1">
        <v>0</v>
      </c>
      <c r="F753">
        <f t="shared" si="11"/>
        <v>900</v>
      </c>
    </row>
    <row r="754" spans="1:6" ht="13">
      <c r="A754" s="1">
        <v>10531</v>
      </c>
      <c r="B754" s="1">
        <v>59</v>
      </c>
      <c r="C754" s="1">
        <v>55</v>
      </c>
      <c r="D754" s="1">
        <v>2</v>
      </c>
      <c r="E754" s="1">
        <v>0</v>
      </c>
      <c r="F754">
        <f t="shared" si="11"/>
        <v>110</v>
      </c>
    </row>
    <row r="755" spans="1:6" ht="13">
      <c r="A755" s="1">
        <v>10532</v>
      </c>
      <c r="B755" s="1">
        <v>30</v>
      </c>
      <c r="C755" s="1">
        <v>25.89</v>
      </c>
      <c r="D755" s="1">
        <v>15</v>
      </c>
      <c r="E755" s="1">
        <v>0</v>
      </c>
      <c r="F755">
        <f t="shared" si="11"/>
        <v>388.35</v>
      </c>
    </row>
    <row r="756" spans="1:6" ht="13">
      <c r="A756" s="1">
        <v>10532</v>
      </c>
      <c r="B756" s="1">
        <v>66</v>
      </c>
      <c r="C756" s="1">
        <v>17</v>
      </c>
      <c r="D756" s="1">
        <v>24</v>
      </c>
      <c r="E756" s="1">
        <v>0</v>
      </c>
      <c r="F756">
        <f t="shared" si="11"/>
        <v>408</v>
      </c>
    </row>
    <row r="757" spans="1:6" ht="13">
      <c r="A757" s="1">
        <v>10533</v>
      </c>
      <c r="B757" s="1">
        <v>4</v>
      </c>
      <c r="C757" s="1">
        <v>22</v>
      </c>
      <c r="D757" s="1">
        <v>50</v>
      </c>
      <c r="E757" s="1">
        <v>0.05</v>
      </c>
      <c r="F757">
        <f t="shared" si="11"/>
        <v>1045</v>
      </c>
    </row>
    <row r="758" spans="1:6" ht="13">
      <c r="A758" s="1">
        <v>10533</v>
      </c>
      <c r="B758" s="1">
        <v>72</v>
      </c>
      <c r="C758" s="1">
        <v>34.799999999999997</v>
      </c>
      <c r="D758" s="1">
        <v>24</v>
      </c>
      <c r="E758" s="1">
        <v>0</v>
      </c>
      <c r="F758">
        <f t="shared" si="11"/>
        <v>835.19999999999993</v>
      </c>
    </row>
    <row r="759" spans="1:6" ht="13">
      <c r="A759" s="1">
        <v>10533</v>
      </c>
      <c r="B759" s="1">
        <v>73</v>
      </c>
      <c r="C759" s="1">
        <v>15</v>
      </c>
      <c r="D759" s="1">
        <v>24</v>
      </c>
      <c r="E759" s="1">
        <v>0.05</v>
      </c>
      <c r="F759">
        <f t="shared" si="11"/>
        <v>342</v>
      </c>
    </row>
    <row r="760" spans="1:6" ht="13">
      <c r="A760" s="1">
        <v>10534</v>
      </c>
      <c r="B760" s="1">
        <v>30</v>
      </c>
      <c r="C760" s="1">
        <v>25.89</v>
      </c>
      <c r="D760" s="1">
        <v>10</v>
      </c>
      <c r="E760" s="1">
        <v>0</v>
      </c>
      <c r="F760">
        <f t="shared" si="11"/>
        <v>258.89999999999998</v>
      </c>
    </row>
    <row r="761" spans="1:6" ht="13">
      <c r="A761" s="1">
        <v>10534</v>
      </c>
      <c r="B761" s="1">
        <v>40</v>
      </c>
      <c r="C761" s="1">
        <v>18.399999999999999</v>
      </c>
      <c r="D761" s="1">
        <v>10</v>
      </c>
      <c r="E761" s="1">
        <v>0.2</v>
      </c>
      <c r="F761">
        <f t="shared" si="11"/>
        <v>147.20000000000002</v>
      </c>
    </row>
    <row r="762" spans="1:6" ht="13">
      <c r="A762" s="1">
        <v>10534</v>
      </c>
      <c r="B762" s="1">
        <v>54</v>
      </c>
      <c r="C762" s="1">
        <v>7.45</v>
      </c>
      <c r="D762" s="1">
        <v>10</v>
      </c>
      <c r="E762" s="1">
        <v>0.2</v>
      </c>
      <c r="F762">
        <f t="shared" si="11"/>
        <v>59.6</v>
      </c>
    </row>
    <row r="763" spans="1:6" ht="13">
      <c r="A763" s="1">
        <v>10535</v>
      </c>
      <c r="B763" s="1">
        <v>11</v>
      </c>
      <c r="C763" s="1">
        <v>21</v>
      </c>
      <c r="D763" s="1">
        <v>50</v>
      </c>
      <c r="E763" s="1">
        <v>0.1</v>
      </c>
      <c r="F763">
        <f t="shared" si="11"/>
        <v>945</v>
      </c>
    </row>
    <row r="764" spans="1:6" ht="13">
      <c r="A764" s="1">
        <v>10535</v>
      </c>
      <c r="B764" s="1">
        <v>40</v>
      </c>
      <c r="C764" s="1">
        <v>18.399999999999999</v>
      </c>
      <c r="D764" s="1">
        <v>10</v>
      </c>
      <c r="E764" s="1">
        <v>0.1</v>
      </c>
      <c r="F764">
        <f t="shared" si="11"/>
        <v>165.6</v>
      </c>
    </row>
    <row r="765" spans="1:6" ht="13">
      <c r="A765" s="1">
        <v>10535</v>
      </c>
      <c r="B765" s="1">
        <v>57</v>
      </c>
      <c r="C765" s="1">
        <v>19.5</v>
      </c>
      <c r="D765" s="1">
        <v>5</v>
      </c>
      <c r="E765" s="1">
        <v>0.1</v>
      </c>
      <c r="F765">
        <f t="shared" si="11"/>
        <v>87.75</v>
      </c>
    </row>
    <row r="766" spans="1:6" ht="13">
      <c r="A766" s="1">
        <v>10535</v>
      </c>
      <c r="B766" s="1">
        <v>59</v>
      </c>
      <c r="C766" s="1">
        <v>55</v>
      </c>
      <c r="D766" s="1">
        <v>15</v>
      </c>
      <c r="E766" s="1">
        <v>0.1</v>
      </c>
      <c r="F766">
        <f t="shared" si="11"/>
        <v>742.5</v>
      </c>
    </row>
    <row r="767" spans="1:6" ht="13">
      <c r="A767" s="1">
        <v>10536</v>
      </c>
      <c r="B767" s="1">
        <v>12</v>
      </c>
      <c r="C767" s="1">
        <v>38</v>
      </c>
      <c r="D767" s="1">
        <v>15</v>
      </c>
      <c r="E767" s="1">
        <v>0.25</v>
      </c>
      <c r="F767">
        <f t="shared" si="11"/>
        <v>427.5</v>
      </c>
    </row>
    <row r="768" spans="1:6" ht="13">
      <c r="A768" s="1">
        <v>10536</v>
      </c>
      <c r="B768" s="1">
        <v>31</v>
      </c>
      <c r="C768" s="1">
        <v>12.5</v>
      </c>
      <c r="D768" s="1">
        <v>20</v>
      </c>
      <c r="E768" s="1">
        <v>0</v>
      </c>
      <c r="F768">
        <f t="shared" si="11"/>
        <v>250</v>
      </c>
    </row>
    <row r="769" spans="1:6" ht="13">
      <c r="A769" s="1">
        <v>10536</v>
      </c>
      <c r="B769" s="1">
        <v>33</v>
      </c>
      <c r="C769" s="1">
        <v>2.5</v>
      </c>
      <c r="D769" s="1">
        <v>30</v>
      </c>
      <c r="E769" s="1">
        <v>0</v>
      </c>
      <c r="F769">
        <f t="shared" si="11"/>
        <v>75</v>
      </c>
    </row>
    <row r="770" spans="1:6" ht="13">
      <c r="A770" s="1">
        <v>10536</v>
      </c>
      <c r="B770" s="1">
        <v>60</v>
      </c>
      <c r="C770" s="1">
        <v>34</v>
      </c>
      <c r="D770" s="1">
        <v>35</v>
      </c>
      <c r="E770" s="1">
        <v>0.25</v>
      </c>
      <c r="F770">
        <f t="shared" si="11"/>
        <v>892.5</v>
      </c>
    </row>
    <row r="771" spans="1:6" ht="13">
      <c r="A771" s="1">
        <v>10537</v>
      </c>
      <c r="B771" s="1">
        <v>31</v>
      </c>
      <c r="C771" s="1">
        <v>12.5</v>
      </c>
      <c r="D771" s="1">
        <v>30</v>
      </c>
      <c r="E771" s="1">
        <v>0</v>
      </c>
      <c r="F771">
        <f t="shared" ref="F771:F834" si="12">C771*D771*(1-E771)</f>
        <v>375</v>
      </c>
    </row>
    <row r="772" spans="1:6" ht="13">
      <c r="A772" s="1">
        <v>10537</v>
      </c>
      <c r="B772" s="1">
        <v>51</v>
      </c>
      <c r="C772" s="1">
        <v>53</v>
      </c>
      <c r="D772" s="1">
        <v>6</v>
      </c>
      <c r="E772" s="1">
        <v>0</v>
      </c>
      <c r="F772">
        <f t="shared" si="12"/>
        <v>318</v>
      </c>
    </row>
    <row r="773" spans="1:6" ht="13">
      <c r="A773" s="1">
        <v>10537</v>
      </c>
      <c r="B773" s="1">
        <v>58</v>
      </c>
      <c r="C773" s="1">
        <v>13.25</v>
      </c>
      <c r="D773" s="1">
        <v>20</v>
      </c>
      <c r="E773" s="1">
        <v>0</v>
      </c>
      <c r="F773">
        <f t="shared" si="12"/>
        <v>265</v>
      </c>
    </row>
    <row r="774" spans="1:6" ht="13">
      <c r="A774" s="1">
        <v>10537</v>
      </c>
      <c r="B774" s="1">
        <v>72</v>
      </c>
      <c r="C774" s="1">
        <v>34.799999999999997</v>
      </c>
      <c r="D774" s="1">
        <v>21</v>
      </c>
      <c r="E774" s="1">
        <v>0</v>
      </c>
      <c r="F774">
        <f t="shared" si="12"/>
        <v>730.8</v>
      </c>
    </row>
    <row r="775" spans="1:6" ht="13">
      <c r="A775" s="1">
        <v>10537</v>
      </c>
      <c r="B775" s="1">
        <v>73</v>
      </c>
      <c r="C775" s="1">
        <v>15</v>
      </c>
      <c r="D775" s="1">
        <v>9</v>
      </c>
      <c r="E775" s="1">
        <v>0</v>
      </c>
      <c r="F775">
        <f t="shared" si="12"/>
        <v>135</v>
      </c>
    </row>
    <row r="776" spans="1:6" ht="13">
      <c r="A776" s="1">
        <v>10538</v>
      </c>
      <c r="B776" s="1">
        <v>70</v>
      </c>
      <c r="C776" s="1">
        <v>15</v>
      </c>
      <c r="D776" s="1">
        <v>7</v>
      </c>
      <c r="E776" s="1">
        <v>0</v>
      </c>
      <c r="F776">
        <f t="shared" si="12"/>
        <v>105</v>
      </c>
    </row>
    <row r="777" spans="1:6" ht="13">
      <c r="A777" s="1">
        <v>10538</v>
      </c>
      <c r="B777" s="1">
        <v>72</v>
      </c>
      <c r="C777" s="1">
        <v>34.799999999999997</v>
      </c>
      <c r="D777" s="1">
        <v>1</v>
      </c>
      <c r="E777" s="1">
        <v>0</v>
      </c>
      <c r="F777">
        <f t="shared" si="12"/>
        <v>34.799999999999997</v>
      </c>
    </row>
    <row r="778" spans="1:6" ht="13">
      <c r="A778" s="1">
        <v>10539</v>
      </c>
      <c r="B778" s="1">
        <v>13</v>
      </c>
      <c r="C778" s="1">
        <v>6</v>
      </c>
      <c r="D778" s="1">
        <v>8</v>
      </c>
      <c r="E778" s="1">
        <v>0</v>
      </c>
      <c r="F778">
        <f t="shared" si="12"/>
        <v>48</v>
      </c>
    </row>
    <row r="779" spans="1:6" ht="13">
      <c r="A779" s="1">
        <v>10539</v>
      </c>
      <c r="B779" s="1">
        <v>21</v>
      </c>
      <c r="C779" s="1">
        <v>10</v>
      </c>
      <c r="D779" s="1">
        <v>15</v>
      </c>
      <c r="E779" s="1">
        <v>0</v>
      </c>
      <c r="F779">
        <f t="shared" si="12"/>
        <v>150</v>
      </c>
    </row>
    <row r="780" spans="1:6" ht="13">
      <c r="A780" s="1">
        <v>10539</v>
      </c>
      <c r="B780" s="1">
        <v>33</v>
      </c>
      <c r="C780" s="1">
        <v>2.5</v>
      </c>
      <c r="D780" s="1">
        <v>15</v>
      </c>
      <c r="E780" s="1">
        <v>0</v>
      </c>
      <c r="F780">
        <f t="shared" si="12"/>
        <v>37.5</v>
      </c>
    </row>
    <row r="781" spans="1:6" ht="13">
      <c r="A781" s="1">
        <v>10539</v>
      </c>
      <c r="B781" s="1">
        <v>49</v>
      </c>
      <c r="C781" s="1">
        <v>20</v>
      </c>
      <c r="D781" s="1">
        <v>6</v>
      </c>
      <c r="E781" s="1">
        <v>0</v>
      </c>
      <c r="F781">
        <f t="shared" si="12"/>
        <v>120</v>
      </c>
    </row>
    <row r="782" spans="1:6" ht="13">
      <c r="A782" s="1">
        <v>10540</v>
      </c>
      <c r="B782" s="1">
        <v>3</v>
      </c>
      <c r="C782" s="1">
        <v>10</v>
      </c>
      <c r="D782" s="1">
        <v>60</v>
      </c>
      <c r="E782" s="1">
        <v>0</v>
      </c>
      <c r="F782">
        <f t="shared" si="12"/>
        <v>600</v>
      </c>
    </row>
    <row r="783" spans="1:6" ht="13">
      <c r="A783" s="1">
        <v>10540</v>
      </c>
      <c r="B783" s="1">
        <v>26</v>
      </c>
      <c r="C783" s="1">
        <v>31.23</v>
      </c>
      <c r="D783" s="1">
        <v>40</v>
      </c>
      <c r="E783" s="1">
        <v>0</v>
      </c>
      <c r="F783">
        <f t="shared" si="12"/>
        <v>1249.2</v>
      </c>
    </row>
    <row r="784" spans="1:6" ht="13">
      <c r="A784" s="1">
        <v>10540</v>
      </c>
      <c r="B784" s="1">
        <v>38</v>
      </c>
      <c r="C784" s="1">
        <v>263.5</v>
      </c>
      <c r="D784" s="1">
        <v>30</v>
      </c>
      <c r="E784" s="1">
        <v>0</v>
      </c>
      <c r="F784">
        <f t="shared" si="12"/>
        <v>7905</v>
      </c>
    </row>
    <row r="785" spans="1:6" ht="13">
      <c r="A785" s="1">
        <v>10540</v>
      </c>
      <c r="B785" s="1">
        <v>68</v>
      </c>
      <c r="C785" s="1">
        <v>12.5</v>
      </c>
      <c r="D785" s="1">
        <v>35</v>
      </c>
      <c r="E785" s="1">
        <v>0</v>
      </c>
      <c r="F785">
        <f t="shared" si="12"/>
        <v>437.5</v>
      </c>
    </row>
    <row r="786" spans="1:6" ht="13">
      <c r="A786" s="1">
        <v>10541</v>
      </c>
      <c r="B786" s="1">
        <v>24</v>
      </c>
      <c r="C786" s="1">
        <v>4.5</v>
      </c>
      <c r="D786" s="1">
        <v>35</v>
      </c>
      <c r="E786" s="1">
        <v>0.1</v>
      </c>
      <c r="F786">
        <f t="shared" si="12"/>
        <v>141.75</v>
      </c>
    </row>
    <row r="787" spans="1:6" ht="13">
      <c r="A787" s="1">
        <v>10541</v>
      </c>
      <c r="B787" s="1">
        <v>38</v>
      </c>
      <c r="C787" s="1">
        <v>263.5</v>
      </c>
      <c r="D787" s="1">
        <v>4</v>
      </c>
      <c r="E787" s="1">
        <v>0.1</v>
      </c>
      <c r="F787">
        <f t="shared" si="12"/>
        <v>948.6</v>
      </c>
    </row>
    <row r="788" spans="1:6" ht="13">
      <c r="A788" s="1">
        <v>10541</v>
      </c>
      <c r="B788" s="1">
        <v>65</v>
      </c>
      <c r="C788" s="1">
        <v>21.05</v>
      </c>
      <c r="D788" s="1">
        <v>36</v>
      </c>
      <c r="E788" s="1">
        <v>0.1</v>
      </c>
      <c r="F788">
        <f t="shared" si="12"/>
        <v>682.0200000000001</v>
      </c>
    </row>
    <row r="789" spans="1:6" ht="13">
      <c r="A789" s="1">
        <v>10541</v>
      </c>
      <c r="B789" s="1">
        <v>71</v>
      </c>
      <c r="C789" s="1">
        <v>21.5</v>
      </c>
      <c r="D789" s="1">
        <v>9</v>
      </c>
      <c r="E789" s="1">
        <v>0.1</v>
      </c>
      <c r="F789">
        <f t="shared" si="12"/>
        <v>174.15</v>
      </c>
    </row>
    <row r="790" spans="1:6" ht="13">
      <c r="A790" s="1">
        <v>10542</v>
      </c>
      <c r="B790" s="1">
        <v>11</v>
      </c>
      <c r="C790" s="1">
        <v>21</v>
      </c>
      <c r="D790" s="1">
        <v>15</v>
      </c>
      <c r="E790" s="1">
        <v>0.05</v>
      </c>
      <c r="F790">
        <f t="shared" si="12"/>
        <v>299.25</v>
      </c>
    </row>
    <row r="791" spans="1:6" ht="13">
      <c r="A791" s="1">
        <v>10542</v>
      </c>
      <c r="B791" s="1">
        <v>54</v>
      </c>
      <c r="C791" s="1">
        <v>7.45</v>
      </c>
      <c r="D791" s="1">
        <v>24</v>
      </c>
      <c r="E791" s="1">
        <v>0.05</v>
      </c>
      <c r="F791">
        <f t="shared" si="12"/>
        <v>169.86</v>
      </c>
    </row>
    <row r="792" spans="1:6" ht="13">
      <c r="A792" s="1">
        <v>10543</v>
      </c>
      <c r="B792" s="1">
        <v>12</v>
      </c>
      <c r="C792" s="1">
        <v>38</v>
      </c>
      <c r="D792" s="1">
        <v>30</v>
      </c>
      <c r="E792" s="1">
        <v>0.15</v>
      </c>
      <c r="F792">
        <f t="shared" si="12"/>
        <v>969</v>
      </c>
    </row>
    <row r="793" spans="1:6" ht="13">
      <c r="A793" s="1">
        <v>10543</v>
      </c>
      <c r="B793" s="1">
        <v>23</v>
      </c>
      <c r="C793" s="1">
        <v>9</v>
      </c>
      <c r="D793" s="1">
        <v>70</v>
      </c>
      <c r="E793" s="1">
        <v>0.15</v>
      </c>
      <c r="F793">
        <f t="shared" si="12"/>
        <v>535.5</v>
      </c>
    </row>
    <row r="794" spans="1:6" ht="13">
      <c r="A794" s="1">
        <v>10544</v>
      </c>
      <c r="B794" s="1">
        <v>28</v>
      </c>
      <c r="C794" s="1">
        <v>45.6</v>
      </c>
      <c r="D794" s="1">
        <v>7</v>
      </c>
      <c r="E794" s="1">
        <v>0</v>
      </c>
      <c r="F794">
        <f t="shared" si="12"/>
        <v>319.2</v>
      </c>
    </row>
    <row r="795" spans="1:6" ht="13">
      <c r="A795" s="1">
        <v>10544</v>
      </c>
      <c r="B795" s="1">
        <v>67</v>
      </c>
      <c r="C795" s="1">
        <v>14</v>
      </c>
      <c r="D795" s="1">
        <v>7</v>
      </c>
      <c r="E795" s="1">
        <v>0</v>
      </c>
      <c r="F795">
        <f t="shared" si="12"/>
        <v>98</v>
      </c>
    </row>
    <row r="796" spans="1:6" ht="13">
      <c r="A796" s="1">
        <v>10545</v>
      </c>
      <c r="B796" s="1">
        <v>11</v>
      </c>
      <c r="C796" s="1">
        <v>21</v>
      </c>
      <c r="D796" s="1">
        <v>10</v>
      </c>
      <c r="E796" s="1">
        <v>0</v>
      </c>
      <c r="F796">
        <f t="shared" si="12"/>
        <v>210</v>
      </c>
    </row>
    <row r="797" spans="1:6" ht="13">
      <c r="A797" s="1">
        <v>10546</v>
      </c>
      <c r="B797" s="1">
        <v>7</v>
      </c>
      <c r="C797" s="1">
        <v>30</v>
      </c>
      <c r="D797" s="1">
        <v>10</v>
      </c>
      <c r="E797" s="1">
        <v>0</v>
      </c>
      <c r="F797">
        <f t="shared" si="12"/>
        <v>300</v>
      </c>
    </row>
    <row r="798" spans="1:6" ht="13">
      <c r="A798" s="1">
        <v>10546</v>
      </c>
      <c r="B798" s="1">
        <v>35</v>
      </c>
      <c r="C798" s="1">
        <v>18</v>
      </c>
      <c r="D798" s="1">
        <v>30</v>
      </c>
      <c r="E798" s="1">
        <v>0</v>
      </c>
      <c r="F798">
        <f t="shared" si="12"/>
        <v>540</v>
      </c>
    </row>
    <row r="799" spans="1:6" ht="13">
      <c r="A799" s="1">
        <v>10546</v>
      </c>
      <c r="B799" s="1">
        <v>62</v>
      </c>
      <c r="C799" s="1">
        <v>49.3</v>
      </c>
      <c r="D799" s="1">
        <v>40</v>
      </c>
      <c r="E799" s="1">
        <v>0</v>
      </c>
      <c r="F799">
        <f t="shared" si="12"/>
        <v>1972</v>
      </c>
    </row>
    <row r="800" spans="1:6" ht="13">
      <c r="A800" s="1">
        <v>10547</v>
      </c>
      <c r="B800" s="1">
        <v>32</v>
      </c>
      <c r="C800" s="1">
        <v>32</v>
      </c>
      <c r="D800" s="1">
        <v>24</v>
      </c>
      <c r="E800" s="1">
        <v>0.15</v>
      </c>
      <c r="F800">
        <f t="shared" si="12"/>
        <v>652.79999999999995</v>
      </c>
    </row>
    <row r="801" spans="1:6" ht="13">
      <c r="A801" s="1">
        <v>10547</v>
      </c>
      <c r="B801" s="1">
        <v>36</v>
      </c>
      <c r="C801" s="1">
        <v>19</v>
      </c>
      <c r="D801" s="1">
        <v>60</v>
      </c>
      <c r="E801" s="1">
        <v>0</v>
      </c>
      <c r="F801">
        <f t="shared" si="12"/>
        <v>1140</v>
      </c>
    </row>
    <row r="802" spans="1:6" ht="13">
      <c r="A802" s="1">
        <v>10548</v>
      </c>
      <c r="B802" s="1">
        <v>34</v>
      </c>
      <c r="C802" s="1">
        <v>14</v>
      </c>
      <c r="D802" s="1">
        <v>10</v>
      </c>
      <c r="E802" s="1">
        <v>0.25</v>
      </c>
      <c r="F802">
        <f t="shared" si="12"/>
        <v>105</v>
      </c>
    </row>
    <row r="803" spans="1:6" ht="13">
      <c r="A803" s="1">
        <v>10548</v>
      </c>
      <c r="B803" s="1">
        <v>41</v>
      </c>
      <c r="C803" s="1">
        <v>9.65</v>
      </c>
      <c r="D803" s="1">
        <v>14</v>
      </c>
      <c r="E803" s="1">
        <v>0</v>
      </c>
      <c r="F803">
        <f t="shared" si="12"/>
        <v>135.1</v>
      </c>
    </row>
    <row r="804" spans="1:6" ht="13">
      <c r="A804" s="1">
        <v>10549</v>
      </c>
      <c r="B804" s="1">
        <v>31</v>
      </c>
      <c r="C804" s="1">
        <v>12.5</v>
      </c>
      <c r="D804" s="1">
        <v>55</v>
      </c>
      <c r="E804" s="1">
        <v>0.15</v>
      </c>
      <c r="F804">
        <f t="shared" si="12"/>
        <v>584.375</v>
      </c>
    </row>
    <row r="805" spans="1:6" ht="13">
      <c r="A805" s="1">
        <v>10549</v>
      </c>
      <c r="B805" s="1">
        <v>45</v>
      </c>
      <c r="C805" s="1">
        <v>9.5</v>
      </c>
      <c r="D805" s="1">
        <v>100</v>
      </c>
      <c r="E805" s="1">
        <v>0.15</v>
      </c>
      <c r="F805">
        <f t="shared" si="12"/>
        <v>807.5</v>
      </c>
    </row>
    <row r="806" spans="1:6" ht="13">
      <c r="A806" s="1">
        <v>10549</v>
      </c>
      <c r="B806" s="1">
        <v>51</v>
      </c>
      <c r="C806" s="1">
        <v>53</v>
      </c>
      <c r="D806" s="1">
        <v>48</v>
      </c>
      <c r="E806" s="1">
        <v>0.15</v>
      </c>
      <c r="F806">
        <f t="shared" si="12"/>
        <v>2162.4</v>
      </c>
    </row>
    <row r="807" spans="1:6" ht="13">
      <c r="A807" s="1">
        <v>10550</v>
      </c>
      <c r="B807" s="1">
        <v>17</v>
      </c>
      <c r="C807" s="1">
        <v>39</v>
      </c>
      <c r="D807" s="1">
        <v>8</v>
      </c>
      <c r="E807" s="1">
        <v>0.1</v>
      </c>
      <c r="F807">
        <f t="shared" si="12"/>
        <v>280.8</v>
      </c>
    </row>
    <row r="808" spans="1:6" ht="13">
      <c r="A808" s="1">
        <v>10550</v>
      </c>
      <c r="B808" s="1">
        <v>19</v>
      </c>
      <c r="C808" s="1">
        <v>9.1999999999999993</v>
      </c>
      <c r="D808" s="1">
        <v>10</v>
      </c>
      <c r="E808" s="1">
        <v>0</v>
      </c>
      <c r="F808">
        <f t="shared" si="12"/>
        <v>92</v>
      </c>
    </row>
    <row r="809" spans="1:6" ht="13">
      <c r="A809" s="1">
        <v>10550</v>
      </c>
      <c r="B809" s="1">
        <v>21</v>
      </c>
      <c r="C809" s="1">
        <v>10</v>
      </c>
      <c r="D809" s="1">
        <v>6</v>
      </c>
      <c r="E809" s="1">
        <v>0.1</v>
      </c>
      <c r="F809">
        <f t="shared" si="12"/>
        <v>54</v>
      </c>
    </row>
    <row r="810" spans="1:6" ht="13">
      <c r="A810" s="1">
        <v>10550</v>
      </c>
      <c r="B810" s="1">
        <v>61</v>
      </c>
      <c r="C810" s="1">
        <v>28.5</v>
      </c>
      <c r="D810" s="1">
        <v>10</v>
      </c>
      <c r="E810" s="1">
        <v>0.1</v>
      </c>
      <c r="F810">
        <f t="shared" si="12"/>
        <v>256.5</v>
      </c>
    </row>
    <row r="811" spans="1:6" ht="13">
      <c r="A811" s="1">
        <v>10551</v>
      </c>
      <c r="B811" s="1">
        <v>16</v>
      </c>
      <c r="C811" s="1">
        <v>17.45</v>
      </c>
      <c r="D811" s="1">
        <v>40</v>
      </c>
      <c r="E811" s="1">
        <v>0.15</v>
      </c>
      <c r="F811">
        <f t="shared" si="12"/>
        <v>593.29999999999995</v>
      </c>
    </row>
    <row r="812" spans="1:6" ht="13">
      <c r="A812" s="1">
        <v>10551</v>
      </c>
      <c r="B812" s="1">
        <v>35</v>
      </c>
      <c r="C812" s="1">
        <v>18</v>
      </c>
      <c r="D812" s="1">
        <v>20</v>
      </c>
      <c r="E812" s="1">
        <v>0.15</v>
      </c>
      <c r="F812">
        <f t="shared" si="12"/>
        <v>306</v>
      </c>
    </row>
    <row r="813" spans="1:6" ht="13">
      <c r="A813" s="1">
        <v>10551</v>
      </c>
      <c r="B813" s="1">
        <v>44</v>
      </c>
      <c r="C813" s="1">
        <v>19.45</v>
      </c>
      <c r="D813" s="1">
        <v>40</v>
      </c>
      <c r="E813" s="1">
        <v>0</v>
      </c>
      <c r="F813">
        <f t="shared" si="12"/>
        <v>778</v>
      </c>
    </row>
    <row r="814" spans="1:6" ht="13">
      <c r="A814" s="1">
        <v>10552</v>
      </c>
      <c r="B814" s="1">
        <v>69</v>
      </c>
      <c r="C814" s="1">
        <v>36</v>
      </c>
      <c r="D814" s="1">
        <v>18</v>
      </c>
      <c r="E814" s="1">
        <v>0</v>
      </c>
      <c r="F814">
        <f t="shared" si="12"/>
        <v>648</v>
      </c>
    </row>
    <row r="815" spans="1:6" ht="13">
      <c r="A815" s="1">
        <v>10552</v>
      </c>
      <c r="B815" s="1">
        <v>75</v>
      </c>
      <c r="C815" s="1">
        <v>7.75</v>
      </c>
      <c r="D815" s="1">
        <v>30</v>
      </c>
      <c r="E815" s="1">
        <v>0</v>
      </c>
      <c r="F815">
        <f t="shared" si="12"/>
        <v>232.5</v>
      </c>
    </row>
    <row r="816" spans="1:6" ht="13">
      <c r="A816" s="1">
        <v>10553</v>
      </c>
      <c r="B816" s="1">
        <v>11</v>
      </c>
      <c r="C816" s="1">
        <v>21</v>
      </c>
      <c r="D816" s="1">
        <v>15</v>
      </c>
      <c r="E816" s="1">
        <v>0</v>
      </c>
      <c r="F816">
        <f t="shared" si="12"/>
        <v>315</v>
      </c>
    </row>
    <row r="817" spans="1:6" ht="13">
      <c r="A817" s="1">
        <v>10553</v>
      </c>
      <c r="B817" s="1">
        <v>16</v>
      </c>
      <c r="C817" s="1">
        <v>17.45</v>
      </c>
      <c r="D817" s="1">
        <v>14</v>
      </c>
      <c r="E817" s="1">
        <v>0</v>
      </c>
      <c r="F817">
        <f t="shared" si="12"/>
        <v>244.29999999999998</v>
      </c>
    </row>
    <row r="818" spans="1:6" ht="13">
      <c r="A818" s="1">
        <v>10553</v>
      </c>
      <c r="B818" s="1">
        <v>22</v>
      </c>
      <c r="C818" s="1">
        <v>21</v>
      </c>
      <c r="D818" s="1">
        <v>24</v>
      </c>
      <c r="E818" s="1">
        <v>0</v>
      </c>
      <c r="F818">
        <f t="shared" si="12"/>
        <v>504</v>
      </c>
    </row>
    <row r="819" spans="1:6" ht="13">
      <c r="A819" s="1">
        <v>10553</v>
      </c>
      <c r="B819" s="1">
        <v>31</v>
      </c>
      <c r="C819" s="1">
        <v>12.5</v>
      </c>
      <c r="D819" s="1">
        <v>30</v>
      </c>
      <c r="E819" s="1">
        <v>0</v>
      </c>
      <c r="F819">
        <f t="shared" si="12"/>
        <v>375</v>
      </c>
    </row>
    <row r="820" spans="1:6" ht="13">
      <c r="A820" s="1">
        <v>10553</v>
      </c>
      <c r="B820" s="1">
        <v>35</v>
      </c>
      <c r="C820" s="1">
        <v>18</v>
      </c>
      <c r="D820" s="1">
        <v>6</v>
      </c>
      <c r="E820" s="1">
        <v>0</v>
      </c>
      <c r="F820">
        <f t="shared" si="12"/>
        <v>108</v>
      </c>
    </row>
    <row r="821" spans="1:6" ht="13">
      <c r="A821" s="1">
        <v>10554</v>
      </c>
      <c r="B821" s="1">
        <v>16</v>
      </c>
      <c r="C821" s="1">
        <v>17.45</v>
      </c>
      <c r="D821" s="1">
        <v>30</v>
      </c>
      <c r="E821" s="1">
        <v>0.05</v>
      </c>
      <c r="F821">
        <f t="shared" si="12"/>
        <v>497.32499999999999</v>
      </c>
    </row>
    <row r="822" spans="1:6" ht="13">
      <c r="A822" s="1">
        <v>10554</v>
      </c>
      <c r="B822" s="1">
        <v>23</v>
      </c>
      <c r="C822" s="1">
        <v>9</v>
      </c>
      <c r="D822" s="1">
        <v>20</v>
      </c>
      <c r="E822" s="1">
        <v>0.05</v>
      </c>
      <c r="F822">
        <f t="shared" si="12"/>
        <v>171</v>
      </c>
    </row>
    <row r="823" spans="1:6" ht="13">
      <c r="A823" s="1">
        <v>10554</v>
      </c>
      <c r="B823" s="1">
        <v>62</v>
      </c>
      <c r="C823" s="1">
        <v>49.3</v>
      </c>
      <c r="D823" s="1">
        <v>20</v>
      </c>
      <c r="E823" s="1">
        <v>0.05</v>
      </c>
      <c r="F823">
        <f t="shared" si="12"/>
        <v>936.69999999999993</v>
      </c>
    </row>
    <row r="824" spans="1:6" ht="13">
      <c r="A824" s="1">
        <v>10554</v>
      </c>
      <c r="B824" s="1">
        <v>77</v>
      </c>
      <c r="C824" s="1">
        <v>13</v>
      </c>
      <c r="D824" s="1">
        <v>10</v>
      </c>
      <c r="E824" s="1">
        <v>0.05</v>
      </c>
      <c r="F824">
        <f t="shared" si="12"/>
        <v>123.5</v>
      </c>
    </row>
    <row r="825" spans="1:6" ht="13">
      <c r="A825" s="1">
        <v>10555</v>
      </c>
      <c r="B825" s="1">
        <v>14</v>
      </c>
      <c r="C825" s="1">
        <v>23.25</v>
      </c>
      <c r="D825" s="1">
        <v>30</v>
      </c>
      <c r="E825" s="1">
        <v>0.2</v>
      </c>
      <c r="F825">
        <f t="shared" si="12"/>
        <v>558</v>
      </c>
    </row>
    <row r="826" spans="1:6" ht="13">
      <c r="A826" s="1">
        <v>10555</v>
      </c>
      <c r="B826" s="1">
        <v>19</v>
      </c>
      <c r="C826" s="1">
        <v>9.1999999999999993</v>
      </c>
      <c r="D826" s="1">
        <v>35</v>
      </c>
      <c r="E826" s="1">
        <v>0.2</v>
      </c>
      <c r="F826">
        <f t="shared" si="12"/>
        <v>257.60000000000002</v>
      </c>
    </row>
    <row r="827" spans="1:6" ht="13">
      <c r="A827" s="1">
        <v>10555</v>
      </c>
      <c r="B827" s="1">
        <v>24</v>
      </c>
      <c r="C827" s="1">
        <v>4.5</v>
      </c>
      <c r="D827" s="1">
        <v>18</v>
      </c>
      <c r="E827" s="1">
        <v>0.2</v>
      </c>
      <c r="F827">
        <f t="shared" si="12"/>
        <v>64.8</v>
      </c>
    </row>
    <row r="828" spans="1:6" ht="13">
      <c r="A828" s="1">
        <v>10555</v>
      </c>
      <c r="B828" s="1">
        <v>51</v>
      </c>
      <c r="C828" s="1">
        <v>53</v>
      </c>
      <c r="D828" s="1">
        <v>20</v>
      </c>
      <c r="E828" s="1">
        <v>0.2</v>
      </c>
      <c r="F828">
        <f t="shared" si="12"/>
        <v>848</v>
      </c>
    </row>
    <row r="829" spans="1:6" ht="13">
      <c r="A829" s="1">
        <v>10555</v>
      </c>
      <c r="B829" s="1">
        <v>56</v>
      </c>
      <c r="C829" s="1">
        <v>38</v>
      </c>
      <c r="D829" s="1">
        <v>40</v>
      </c>
      <c r="E829" s="1">
        <v>0.2</v>
      </c>
      <c r="F829">
        <f t="shared" si="12"/>
        <v>1216</v>
      </c>
    </row>
    <row r="830" spans="1:6" ht="13">
      <c r="A830" s="1">
        <v>10556</v>
      </c>
      <c r="B830" s="1">
        <v>72</v>
      </c>
      <c r="C830" s="1">
        <v>34.799999999999997</v>
      </c>
      <c r="D830" s="1">
        <v>24</v>
      </c>
      <c r="E830" s="1">
        <v>0</v>
      </c>
      <c r="F830">
        <f t="shared" si="12"/>
        <v>835.19999999999993</v>
      </c>
    </row>
    <row r="831" spans="1:6" ht="13">
      <c r="A831" s="1">
        <v>10557</v>
      </c>
      <c r="B831" s="1">
        <v>64</v>
      </c>
      <c r="C831" s="1">
        <v>33.25</v>
      </c>
      <c r="D831" s="1">
        <v>30</v>
      </c>
      <c r="E831" s="1">
        <v>0</v>
      </c>
      <c r="F831">
        <f t="shared" si="12"/>
        <v>997.5</v>
      </c>
    </row>
    <row r="832" spans="1:6" ht="13">
      <c r="A832" s="1">
        <v>10557</v>
      </c>
      <c r="B832" s="1">
        <v>75</v>
      </c>
      <c r="C832" s="1">
        <v>7.75</v>
      </c>
      <c r="D832" s="1">
        <v>20</v>
      </c>
      <c r="E832" s="1">
        <v>0</v>
      </c>
      <c r="F832">
        <f t="shared" si="12"/>
        <v>155</v>
      </c>
    </row>
    <row r="833" spans="1:6" ht="13">
      <c r="A833" s="1">
        <v>10558</v>
      </c>
      <c r="B833" s="1">
        <v>47</v>
      </c>
      <c r="C833" s="1">
        <v>9.5</v>
      </c>
      <c r="D833" s="1">
        <v>25</v>
      </c>
      <c r="E833" s="1">
        <v>0</v>
      </c>
      <c r="F833">
        <f t="shared" si="12"/>
        <v>237.5</v>
      </c>
    </row>
    <row r="834" spans="1:6" ht="13">
      <c r="A834" s="1">
        <v>10558</v>
      </c>
      <c r="B834" s="1">
        <v>51</v>
      </c>
      <c r="C834" s="1">
        <v>53</v>
      </c>
      <c r="D834" s="1">
        <v>20</v>
      </c>
      <c r="E834" s="1">
        <v>0</v>
      </c>
      <c r="F834">
        <f t="shared" si="12"/>
        <v>1060</v>
      </c>
    </row>
    <row r="835" spans="1:6" ht="13">
      <c r="A835" s="1">
        <v>10558</v>
      </c>
      <c r="B835" s="1">
        <v>52</v>
      </c>
      <c r="C835" s="1">
        <v>7</v>
      </c>
      <c r="D835" s="1">
        <v>30</v>
      </c>
      <c r="E835" s="1">
        <v>0</v>
      </c>
      <c r="F835">
        <f t="shared" ref="F835:F898" si="13">C835*D835*(1-E835)</f>
        <v>210</v>
      </c>
    </row>
    <row r="836" spans="1:6" ht="13">
      <c r="A836" s="1">
        <v>10558</v>
      </c>
      <c r="B836" s="1">
        <v>53</v>
      </c>
      <c r="C836" s="1">
        <v>32.799999999999997</v>
      </c>
      <c r="D836" s="1">
        <v>18</v>
      </c>
      <c r="E836" s="1">
        <v>0</v>
      </c>
      <c r="F836">
        <f t="shared" si="13"/>
        <v>590.4</v>
      </c>
    </row>
    <row r="837" spans="1:6" ht="13">
      <c r="A837" s="1">
        <v>10558</v>
      </c>
      <c r="B837" s="1">
        <v>73</v>
      </c>
      <c r="C837" s="1">
        <v>15</v>
      </c>
      <c r="D837" s="1">
        <v>3</v>
      </c>
      <c r="E837" s="1">
        <v>0</v>
      </c>
      <c r="F837">
        <f t="shared" si="13"/>
        <v>45</v>
      </c>
    </row>
    <row r="838" spans="1:6" ht="13">
      <c r="A838" s="1">
        <v>10559</v>
      </c>
      <c r="B838" s="1">
        <v>41</v>
      </c>
      <c r="C838" s="1">
        <v>9.65</v>
      </c>
      <c r="D838" s="1">
        <v>12</v>
      </c>
      <c r="E838" s="1">
        <v>0.05</v>
      </c>
      <c r="F838">
        <f t="shared" si="13"/>
        <v>110.01</v>
      </c>
    </row>
    <row r="839" spans="1:6" ht="13">
      <c r="A839" s="1">
        <v>10559</v>
      </c>
      <c r="B839" s="1">
        <v>55</v>
      </c>
      <c r="C839" s="1">
        <v>24</v>
      </c>
      <c r="D839" s="1">
        <v>18</v>
      </c>
      <c r="E839" s="1">
        <v>0.05</v>
      </c>
      <c r="F839">
        <f t="shared" si="13"/>
        <v>410.4</v>
      </c>
    </row>
    <row r="840" spans="1:6" ht="13">
      <c r="A840" s="1">
        <v>10560</v>
      </c>
      <c r="B840" s="1">
        <v>30</v>
      </c>
      <c r="C840" s="1">
        <v>25.89</v>
      </c>
      <c r="D840" s="1">
        <v>20</v>
      </c>
      <c r="E840" s="1">
        <v>0</v>
      </c>
      <c r="F840">
        <f t="shared" si="13"/>
        <v>517.79999999999995</v>
      </c>
    </row>
    <row r="841" spans="1:6" ht="13">
      <c r="A841" s="1">
        <v>10560</v>
      </c>
      <c r="B841" s="1">
        <v>62</v>
      </c>
      <c r="C841" s="1">
        <v>49.3</v>
      </c>
      <c r="D841" s="1">
        <v>15</v>
      </c>
      <c r="E841" s="1">
        <v>0.25</v>
      </c>
      <c r="F841">
        <f t="shared" si="13"/>
        <v>554.625</v>
      </c>
    </row>
    <row r="842" spans="1:6" ht="13">
      <c r="A842" s="1">
        <v>10561</v>
      </c>
      <c r="B842" s="1">
        <v>44</v>
      </c>
      <c r="C842" s="1">
        <v>19.45</v>
      </c>
      <c r="D842" s="1">
        <v>10</v>
      </c>
      <c r="E842" s="1">
        <v>0</v>
      </c>
      <c r="F842">
        <f t="shared" si="13"/>
        <v>194.5</v>
      </c>
    </row>
    <row r="843" spans="1:6" ht="13">
      <c r="A843" s="1">
        <v>10561</v>
      </c>
      <c r="B843" s="1">
        <v>51</v>
      </c>
      <c r="C843" s="1">
        <v>53</v>
      </c>
      <c r="D843" s="1">
        <v>50</v>
      </c>
      <c r="E843" s="1">
        <v>0</v>
      </c>
      <c r="F843">
        <f t="shared" si="13"/>
        <v>2650</v>
      </c>
    </row>
    <row r="844" spans="1:6" ht="13">
      <c r="A844" s="1">
        <v>10562</v>
      </c>
      <c r="B844" s="1">
        <v>33</v>
      </c>
      <c r="C844" s="1">
        <v>2.5</v>
      </c>
      <c r="D844" s="1">
        <v>20</v>
      </c>
      <c r="E844" s="1">
        <v>0.1</v>
      </c>
      <c r="F844">
        <f t="shared" si="13"/>
        <v>45</v>
      </c>
    </row>
    <row r="845" spans="1:6" ht="13">
      <c r="A845" s="1">
        <v>10562</v>
      </c>
      <c r="B845" s="1">
        <v>62</v>
      </c>
      <c r="C845" s="1">
        <v>49.3</v>
      </c>
      <c r="D845" s="1">
        <v>10</v>
      </c>
      <c r="E845" s="1">
        <v>0.1</v>
      </c>
      <c r="F845">
        <f t="shared" si="13"/>
        <v>443.7</v>
      </c>
    </row>
    <row r="846" spans="1:6" ht="13">
      <c r="A846" s="1">
        <v>10563</v>
      </c>
      <c r="B846" s="1">
        <v>36</v>
      </c>
      <c r="C846" s="1">
        <v>19</v>
      </c>
      <c r="D846" s="1">
        <v>25</v>
      </c>
      <c r="E846" s="1">
        <v>0</v>
      </c>
      <c r="F846">
        <f t="shared" si="13"/>
        <v>475</v>
      </c>
    </row>
    <row r="847" spans="1:6" ht="13">
      <c r="A847" s="1">
        <v>10563</v>
      </c>
      <c r="B847" s="1">
        <v>52</v>
      </c>
      <c r="C847" s="1">
        <v>7</v>
      </c>
      <c r="D847" s="1">
        <v>70</v>
      </c>
      <c r="E847" s="1">
        <v>0</v>
      </c>
      <c r="F847">
        <f t="shared" si="13"/>
        <v>490</v>
      </c>
    </row>
    <row r="848" spans="1:6" ht="13">
      <c r="A848" s="1">
        <v>10564</v>
      </c>
      <c r="B848" s="1">
        <v>17</v>
      </c>
      <c r="C848" s="1">
        <v>39</v>
      </c>
      <c r="D848" s="1">
        <v>16</v>
      </c>
      <c r="E848" s="1">
        <v>0.05</v>
      </c>
      <c r="F848">
        <f t="shared" si="13"/>
        <v>592.79999999999995</v>
      </c>
    </row>
    <row r="849" spans="1:6" ht="13">
      <c r="A849" s="1">
        <v>10564</v>
      </c>
      <c r="B849" s="1">
        <v>31</v>
      </c>
      <c r="C849" s="1">
        <v>12.5</v>
      </c>
      <c r="D849" s="1">
        <v>6</v>
      </c>
      <c r="E849" s="1">
        <v>0.05</v>
      </c>
      <c r="F849">
        <f t="shared" si="13"/>
        <v>71.25</v>
      </c>
    </row>
    <row r="850" spans="1:6" ht="13">
      <c r="A850" s="1">
        <v>10564</v>
      </c>
      <c r="B850" s="1">
        <v>55</v>
      </c>
      <c r="C850" s="1">
        <v>24</v>
      </c>
      <c r="D850" s="1">
        <v>25</v>
      </c>
      <c r="E850" s="1">
        <v>0.05</v>
      </c>
      <c r="F850">
        <f t="shared" si="13"/>
        <v>570</v>
      </c>
    </row>
    <row r="851" spans="1:6" ht="13">
      <c r="A851" s="1">
        <v>10565</v>
      </c>
      <c r="B851" s="1">
        <v>24</v>
      </c>
      <c r="C851" s="1">
        <v>4.5</v>
      </c>
      <c r="D851" s="1">
        <v>25</v>
      </c>
      <c r="E851" s="1">
        <v>0.1</v>
      </c>
      <c r="F851">
        <f t="shared" si="13"/>
        <v>101.25</v>
      </c>
    </row>
    <row r="852" spans="1:6" ht="13">
      <c r="A852" s="1">
        <v>10565</v>
      </c>
      <c r="B852" s="1">
        <v>64</v>
      </c>
      <c r="C852" s="1">
        <v>33.25</v>
      </c>
      <c r="D852" s="1">
        <v>18</v>
      </c>
      <c r="E852" s="1">
        <v>0.1</v>
      </c>
      <c r="F852">
        <f t="shared" si="13"/>
        <v>538.65</v>
      </c>
    </row>
    <row r="853" spans="1:6" ht="13">
      <c r="A853" s="1">
        <v>10566</v>
      </c>
      <c r="B853" s="1">
        <v>11</v>
      </c>
      <c r="C853" s="1">
        <v>21</v>
      </c>
      <c r="D853" s="1">
        <v>35</v>
      </c>
      <c r="E853" s="1">
        <v>0.15</v>
      </c>
      <c r="F853">
        <f t="shared" si="13"/>
        <v>624.75</v>
      </c>
    </row>
    <row r="854" spans="1:6" ht="13">
      <c r="A854" s="1">
        <v>10566</v>
      </c>
      <c r="B854" s="1">
        <v>18</v>
      </c>
      <c r="C854" s="1">
        <v>62.5</v>
      </c>
      <c r="D854" s="1">
        <v>18</v>
      </c>
      <c r="E854" s="1">
        <v>0.15</v>
      </c>
      <c r="F854">
        <f t="shared" si="13"/>
        <v>956.25</v>
      </c>
    </row>
    <row r="855" spans="1:6" ht="13">
      <c r="A855" s="1">
        <v>10566</v>
      </c>
      <c r="B855" s="1">
        <v>76</v>
      </c>
      <c r="C855" s="1">
        <v>18</v>
      </c>
      <c r="D855" s="1">
        <v>10</v>
      </c>
      <c r="E855" s="1">
        <v>0</v>
      </c>
      <c r="F855">
        <f t="shared" si="13"/>
        <v>180</v>
      </c>
    </row>
    <row r="856" spans="1:6" ht="13">
      <c r="A856" s="1">
        <v>10567</v>
      </c>
      <c r="B856" s="1">
        <v>31</v>
      </c>
      <c r="C856" s="1">
        <v>12.5</v>
      </c>
      <c r="D856" s="1">
        <v>60</v>
      </c>
      <c r="E856" s="1">
        <v>0.2</v>
      </c>
      <c r="F856">
        <f t="shared" si="13"/>
        <v>600</v>
      </c>
    </row>
    <row r="857" spans="1:6" ht="13">
      <c r="A857" s="1">
        <v>10567</v>
      </c>
      <c r="B857" s="1">
        <v>51</v>
      </c>
      <c r="C857" s="1">
        <v>53</v>
      </c>
      <c r="D857" s="1">
        <v>3</v>
      </c>
      <c r="E857" s="1">
        <v>0</v>
      </c>
      <c r="F857">
        <f t="shared" si="13"/>
        <v>159</v>
      </c>
    </row>
    <row r="858" spans="1:6" ht="13">
      <c r="A858" s="1">
        <v>10567</v>
      </c>
      <c r="B858" s="1">
        <v>59</v>
      </c>
      <c r="C858" s="1">
        <v>55</v>
      </c>
      <c r="D858" s="1">
        <v>40</v>
      </c>
      <c r="E858" s="1">
        <v>0.2</v>
      </c>
      <c r="F858">
        <f t="shared" si="13"/>
        <v>1760</v>
      </c>
    </row>
    <row r="859" spans="1:6" ht="13">
      <c r="A859" s="1">
        <v>10568</v>
      </c>
      <c r="B859" s="1">
        <v>10</v>
      </c>
      <c r="C859" s="1">
        <v>31</v>
      </c>
      <c r="D859" s="1">
        <v>5</v>
      </c>
      <c r="E859" s="1">
        <v>0</v>
      </c>
      <c r="F859">
        <f t="shared" si="13"/>
        <v>155</v>
      </c>
    </row>
    <row r="860" spans="1:6" ht="13">
      <c r="A860" s="1">
        <v>10569</v>
      </c>
      <c r="B860" s="1">
        <v>31</v>
      </c>
      <c r="C860" s="1">
        <v>12.5</v>
      </c>
      <c r="D860" s="1">
        <v>35</v>
      </c>
      <c r="E860" s="1">
        <v>0.2</v>
      </c>
      <c r="F860">
        <f t="shared" si="13"/>
        <v>350</v>
      </c>
    </row>
    <row r="861" spans="1:6" ht="13">
      <c r="A861" s="1">
        <v>10569</v>
      </c>
      <c r="B861" s="1">
        <v>76</v>
      </c>
      <c r="C861" s="1">
        <v>18</v>
      </c>
      <c r="D861" s="1">
        <v>30</v>
      </c>
      <c r="E861" s="1">
        <v>0</v>
      </c>
      <c r="F861">
        <f t="shared" si="13"/>
        <v>540</v>
      </c>
    </row>
    <row r="862" spans="1:6" ht="13">
      <c r="A862" s="1">
        <v>10570</v>
      </c>
      <c r="B862" s="1">
        <v>11</v>
      </c>
      <c r="C862" s="1">
        <v>21</v>
      </c>
      <c r="D862" s="1">
        <v>15</v>
      </c>
      <c r="E862" s="1">
        <v>0.05</v>
      </c>
      <c r="F862">
        <f t="shared" si="13"/>
        <v>299.25</v>
      </c>
    </row>
    <row r="863" spans="1:6" ht="13">
      <c r="A863" s="1">
        <v>10570</v>
      </c>
      <c r="B863" s="1">
        <v>56</v>
      </c>
      <c r="C863" s="1">
        <v>38</v>
      </c>
      <c r="D863" s="1">
        <v>60</v>
      </c>
      <c r="E863" s="1">
        <v>0.05</v>
      </c>
      <c r="F863">
        <f t="shared" si="13"/>
        <v>2166</v>
      </c>
    </row>
    <row r="864" spans="1:6" ht="13">
      <c r="A864" s="1">
        <v>10571</v>
      </c>
      <c r="B864" s="1">
        <v>14</v>
      </c>
      <c r="C864" s="1">
        <v>23.25</v>
      </c>
      <c r="D864" s="1">
        <v>11</v>
      </c>
      <c r="E864" s="1">
        <v>0.15</v>
      </c>
      <c r="F864">
        <f t="shared" si="13"/>
        <v>217.38749999999999</v>
      </c>
    </row>
    <row r="865" spans="1:6" ht="13">
      <c r="A865" s="1">
        <v>10571</v>
      </c>
      <c r="B865" s="1">
        <v>42</v>
      </c>
      <c r="C865" s="1">
        <v>14</v>
      </c>
      <c r="D865" s="1">
        <v>28</v>
      </c>
      <c r="E865" s="1">
        <v>0.15</v>
      </c>
      <c r="F865">
        <f t="shared" si="13"/>
        <v>333.2</v>
      </c>
    </row>
    <row r="866" spans="1:6" ht="13">
      <c r="A866" s="1">
        <v>10572</v>
      </c>
      <c r="B866" s="1">
        <v>16</v>
      </c>
      <c r="C866" s="1">
        <v>17.45</v>
      </c>
      <c r="D866" s="1">
        <v>12</v>
      </c>
      <c r="E866" s="1">
        <v>0.1</v>
      </c>
      <c r="F866">
        <f t="shared" si="13"/>
        <v>188.45999999999998</v>
      </c>
    </row>
    <row r="867" spans="1:6" ht="13">
      <c r="A867" s="1">
        <v>10572</v>
      </c>
      <c r="B867" s="1">
        <v>32</v>
      </c>
      <c r="C867" s="1">
        <v>32</v>
      </c>
      <c r="D867" s="1">
        <v>10</v>
      </c>
      <c r="E867" s="1">
        <v>0.1</v>
      </c>
      <c r="F867">
        <f t="shared" si="13"/>
        <v>288</v>
      </c>
    </row>
    <row r="868" spans="1:6" ht="13">
      <c r="A868" s="1">
        <v>10572</v>
      </c>
      <c r="B868" s="1">
        <v>40</v>
      </c>
      <c r="C868" s="1">
        <v>18.399999999999999</v>
      </c>
      <c r="D868" s="1">
        <v>50</v>
      </c>
      <c r="E868" s="1">
        <v>0</v>
      </c>
      <c r="F868">
        <f t="shared" si="13"/>
        <v>919.99999999999989</v>
      </c>
    </row>
    <row r="869" spans="1:6" ht="13">
      <c r="A869" s="1">
        <v>10572</v>
      </c>
      <c r="B869" s="1">
        <v>75</v>
      </c>
      <c r="C869" s="1">
        <v>7.75</v>
      </c>
      <c r="D869" s="1">
        <v>15</v>
      </c>
      <c r="E869" s="1">
        <v>0.1</v>
      </c>
      <c r="F869">
        <f t="shared" si="13"/>
        <v>104.625</v>
      </c>
    </row>
    <row r="870" spans="1:6" ht="13">
      <c r="A870" s="1">
        <v>10573</v>
      </c>
      <c r="B870" s="1">
        <v>17</v>
      </c>
      <c r="C870" s="1">
        <v>39</v>
      </c>
      <c r="D870" s="1">
        <v>18</v>
      </c>
      <c r="E870" s="1">
        <v>0</v>
      </c>
      <c r="F870">
        <f t="shared" si="13"/>
        <v>702</v>
      </c>
    </row>
    <row r="871" spans="1:6" ht="13">
      <c r="A871" s="1">
        <v>10573</v>
      </c>
      <c r="B871" s="1">
        <v>34</v>
      </c>
      <c r="C871" s="1">
        <v>14</v>
      </c>
      <c r="D871" s="1">
        <v>40</v>
      </c>
      <c r="E871" s="1">
        <v>0</v>
      </c>
      <c r="F871">
        <f t="shared" si="13"/>
        <v>560</v>
      </c>
    </row>
    <row r="872" spans="1:6" ht="13">
      <c r="A872" s="1">
        <v>10573</v>
      </c>
      <c r="B872" s="1">
        <v>53</v>
      </c>
      <c r="C872" s="1">
        <v>32.799999999999997</v>
      </c>
      <c r="D872" s="1">
        <v>25</v>
      </c>
      <c r="E872" s="1">
        <v>0</v>
      </c>
      <c r="F872">
        <f t="shared" si="13"/>
        <v>819.99999999999989</v>
      </c>
    </row>
    <row r="873" spans="1:6" ht="13">
      <c r="A873" s="1">
        <v>10574</v>
      </c>
      <c r="B873" s="1">
        <v>33</v>
      </c>
      <c r="C873" s="1">
        <v>2.5</v>
      </c>
      <c r="D873" s="1">
        <v>14</v>
      </c>
      <c r="E873" s="1">
        <v>0</v>
      </c>
      <c r="F873">
        <f t="shared" si="13"/>
        <v>35</v>
      </c>
    </row>
    <row r="874" spans="1:6" ht="13">
      <c r="A874" s="1">
        <v>10574</v>
      </c>
      <c r="B874" s="1">
        <v>40</v>
      </c>
      <c r="C874" s="1">
        <v>18.399999999999999</v>
      </c>
      <c r="D874" s="1">
        <v>2</v>
      </c>
      <c r="E874" s="1">
        <v>0</v>
      </c>
      <c r="F874">
        <f t="shared" si="13"/>
        <v>36.799999999999997</v>
      </c>
    </row>
    <row r="875" spans="1:6" ht="13">
      <c r="A875" s="1">
        <v>10574</v>
      </c>
      <c r="B875" s="1">
        <v>62</v>
      </c>
      <c r="C875" s="1">
        <v>49.3</v>
      </c>
      <c r="D875" s="1">
        <v>10</v>
      </c>
      <c r="E875" s="1">
        <v>0</v>
      </c>
      <c r="F875">
        <f t="shared" si="13"/>
        <v>493</v>
      </c>
    </row>
    <row r="876" spans="1:6" ht="13">
      <c r="A876" s="1">
        <v>10574</v>
      </c>
      <c r="B876" s="1">
        <v>64</v>
      </c>
      <c r="C876" s="1">
        <v>33.25</v>
      </c>
      <c r="D876" s="1">
        <v>6</v>
      </c>
      <c r="E876" s="1">
        <v>0</v>
      </c>
      <c r="F876">
        <f t="shared" si="13"/>
        <v>199.5</v>
      </c>
    </row>
    <row r="877" spans="1:6" ht="13">
      <c r="A877" s="1">
        <v>10575</v>
      </c>
      <c r="B877" s="1">
        <v>59</v>
      </c>
      <c r="C877" s="1">
        <v>55</v>
      </c>
      <c r="D877" s="1">
        <v>12</v>
      </c>
      <c r="E877" s="1">
        <v>0</v>
      </c>
      <c r="F877">
        <f t="shared" si="13"/>
        <v>660</v>
      </c>
    </row>
    <row r="878" spans="1:6" ht="13">
      <c r="A878" s="1">
        <v>10575</v>
      </c>
      <c r="B878" s="1">
        <v>63</v>
      </c>
      <c r="C878" s="1">
        <v>43.9</v>
      </c>
      <c r="D878" s="1">
        <v>6</v>
      </c>
      <c r="E878" s="1">
        <v>0</v>
      </c>
      <c r="F878">
        <f t="shared" si="13"/>
        <v>263.39999999999998</v>
      </c>
    </row>
    <row r="879" spans="1:6" ht="13">
      <c r="A879" s="1">
        <v>10575</v>
      </c>
      <c r="B879" s="1">
        <v>72</v>
      </c>
      <c r="C879" s="1">
        <v>34.799999999999997</v>
      </c>
      <c r="D879" s="1">
        <v>30</v>
      </c>
      <c r="E879" s="1">
        <v>0</v>
      </c>
      <c r="F879">
        <f t="shared" si="13"/>
        <v>1044</v>
      </c>
    </row>
    <row r="880" spans="1:6" ht="13">
      <c r="A880" s="1">
        <v>10575</v>
      </c>
      <c r="B880" s="1">
        <v>76</v>
      </c>
      <c r="C880" s="1">
        <v>18</v>
      </c>
      <c r="D880" s="1">
        <v>10</v>
      </c>
      <c r="E880" s="1">
        <v>0</v>
      </c>
      <c r="F880">
        <f t="shared" si="13"/>
        <v>180</v>
      </c>
    </row>
    <row r="881" spans="1:6" ht="13">
      <c r="A881" s="1">
        <v>10576</v>
      </c>
      <c r="B881" s="1">
        <v>1</v>
      </c>
      <c r="C881" s="1">
        <v>18</v>
      </c>
      <c r="D881" s="1">
        <v>10</v>
      </c>
      <c r="E881" s="1">
        <v>0</v>
      </c>
      <c r="F881">
        <f t="shared" si="13"/>
        <v>180</v>
      </c>
    </row>
    <row r="882" spans="1:6" ht="13">
      <c r="A882" s="1">
        <v>10576</v>
      </c>
      <c r="B882" s="1">
        <v>31</v>
      </c>
      <c r="C882" s="1">
        <v>12.5</v>
      </c>
      <c r="D882" s="1">
        <v>20</v>
      </c>
      <c r="E882" s="1">
        <v>0</v>
      </c>
      <c r="F882">
        <f t="shared" si="13"/>
        <v>250</v>
      </c>
    </row>
    <row r="883" spans="1:6" ht="13">
      <c r="A883" s="1">
        <v>10576</v>
      </c>
      <c r="B883" s="1">
        <v>44</v>
      </c>
      <c r="C883" s="1">
        <v>19.45</v>
      </c>
      <c r="D883" s="1">
        <v>21</v>
      </c>
      <c r="E883" s="1">
        <v>0</v>
      </c>
      <c r="F883">
        <f t="shared" si="13"/>
        <v>408.45</v>
      </c>
    </row>
    <row r="884" spans="1:6" ht="13">
      <c r="A884" s="1">
        <v>10577</v>
      </c>
      <c r="B884" s="1">
        <v>39</v>
      </c>
      <c r="C884" s="1">
        <v>18</v>
      </c>
      <c r="D884" s="1">
        <v>10</v>
      </c>
      <c r="E884" s="1">
        <v>0</v>
      </c>
      <c r="F884">
        <f t="shared" si="13"/>
        <v>180</v>
      </c>
    </row>
    <row r="885" spans="1:6" ht="13">
      <c r="A885" s="1">
        <v>10577</v>
      </c>
      <c r="B885" s="1">
        <v>75</v>
      </c>
      <c r="C885" s="1">
        <v>7.75</v>
      </c>
      <c r="D885" s="1">
        <v>20</v>
      </c>
      <c r="E885" s="1">
        <v>0</v>
      </c>
      <c r="F885">
        <f t="shared" si="13"/>
        <v>155</v>
      </c>
    </row>
    <row r="886" spans="1:6" ht="13">
      <c r="A886" s="1">
        <v>10577</v>
      </c>
      <c r="B886" s="1">
        <v>77</v>
      </c>
      <c r="C886" s="1">
        <v>13</v>
      </c>
      <c r="D886" s="1">
        <v>18</v>
      </c>
      <c r="E886" s="1">
        <v>0</v>
      </c>
      <c r="F886">
        <f t="shared" si="13"/>
        <v>234</v>
      </c>
    </row>
    <row r="887" spans="1:6" ht="13">
      <c r="A887" s="1">
        <v>10578</v>
      </c>
      <c r="B887" s="1">
        <v>35</v>
      </c>
      <c r="C887" s="1">
        <v>18</v>
      </c>
      <c r="D887" s="1">
        <v>20</v>
      </c>
      <c r="E887" s="1">
        <v>0</v>
      </c>
      <c r="F887">
        <f t="shared" si="13"/>
        <v>360</v>
      </c>
    </row>
    <row r="888" spans="1:6" ht="13">
      <c r="A888" s="1">
        <v>10578</v>
      </c>
      <c r="B888" s="1">
        <v>57</v>
      </c>
      <c r="C888" s="1">
        <v>19.5</v>
      </c>
      <c r="D888" s="1">
        <v>6</v>
      </c>
      <c r="E888" s="1">
        <v>0</v>
      </c>
      <c r="F888">
        <f t="shared" si="13"/>
        <v>117</v>
      </c>
    </row>
    <row r="889" spans="1:6" ht="13">
      <c r="A889" s="1">
        <v>10579</v>
      </c>
      <c r="B889" s="1">
        <v>15</v>
      </c>
      <c r="C889" s="1">
        <v>15.5</v>
      </c>
      <c r="D889" s="1">
        <v>10</v>
      </c>
      <c r="E889" s="1">
        <v>0</v>
      </c>
      <c r="F889">
        <f t="shared" si="13"/>
        <v>155</v>
      </c>
    </row>
    <row r="890" spans="1:6" ht="13">
      <c r="A890" s="1">
        <v>10579</v>
      </c>
      <c r="B890" s="1">
        <v>75</v>
      </c>
      <c r="C890" s="1">
        <v>7.75</v>
      </c>
      <c r="D890" s="1">
        <v>21</v>
      </c>
      <c r="E890" s="1">
        <v>0</v>
      </c>
      <c r="F890">
        <f t="shared" si="13"/>
        <v>162.75</v>
      </c>
    </row>
    <row r="891" spans="1:6" ht="13">
      <c r="A891" s="1">
        <v>10580</v>
      </c>
      <c r="B891" s="1">
        <v>14</v>
      </c>
      <c r="C891" s="1">
        <v>23.25</v>
      </c>
      <c r="D891" s="1">
        <v>15</v>
      </c>
      <c r="E891" s="1">
        <v>0.05</v>
      </c>
      <c r="F891">
        <f t="shared" si="13"/>
        <v>331.3125</v>
      </c>
    </row>
    <row r="892" spans="1:6" ht="13">
      <c r="A892" s="1">
        <v>10580</v>
      </c>
      <c r="B892" s="1">
        <v>41</v>
      </c>
      <c r="C892" s="1">
        <v>9.65</v>
      </c>
      <c r="D892" s="1">
        <v>9</v>
      </c>
      <c r="E892" s="1">
        <v>0.05</v>
      </c>
      <c r="F892">
        <f t="shared" si="13"/>
        <v>82.507500000000007</v>
      </c>
    </row>
    <row r="893" spans="1:6" ht="13">
      <c r="A893" s="1">
        <v>10580</v>
      </c>
      <c r="B893" s="1">
        <v>65</v>
      </c>
      <c r="C893" s="1">
        <v>21.05</v>
      </c>
      <c r="D893" s="1">
        <v>30</v>
      </c>
      <c r="E893" s="1">
        <v>0.05</v>
      </c>
      <c r="F893">
        <f t="shared" si="13"/>
        <v>599.92499999999995</v>
      </c>
    </row>
    <row r="894" spans="1:6" ht="13">
      <c r="A894" s="1">
        <v>10581</v>
      </c>
      <c r="B894" s="1">
        <v>75</v>
      </c>
      <c r="C894" s="1">
        <v>7.75</v>
      </c>
      <c r="D894" s="1">
        <v>50</v>
      </c>
      <c r="E894" s="1">
        <v>0.2</v>
      </c>
      <c r="F894">
        <f t="shared" si="13"/>
        <v>310</v>
      </c>
    </row>
    <row r="895" spans="1:6" ht="13">
      <c r="A895" s="1">
        <v>10582</v>
      </c>
      <c r="B895" s="1">
        <v>57</v>
      </c>
      <c r="C895" s="1">
        <v>19.5</v>
      </c>
      <c r="D895" s="1">
        <v>4</v>
      </c>
      <c r="E895" s="1">
        <v>0</v>
      </c>
      <c r="F895">
        <f t="shared" si="13"/>
        <v>78</v>
      </c>
    </row>
    <row r="896" spans="1:6" ht="13">
      <c r="A896" s="1">
        <v>10582</v>
      </c>
      <c r="B896" s="1">
        <v>76</v>
      </c>
      <c r="C896" s="1">
        <v>18</v>
      </c>
      <c r="D896" s="1">
        <v>14</v>
      </c>
      <c r="E896" s="1">
        <v>0</v>
      </c>
      <c r="F896">
        <f t="shared" si="13"/>
        <v>252</v>
      </c>
    </row>
    <row r="897" spans="1:6" ht="13">
      <c r="A897" s="1">
        <v>10583</v>
      </c>
      <c r="B897" s="1">
        <v>29</v>
      </c>
      <c r="C897" s="1">
        <v>123.79</v>
      </c>
      <c r="D897" s="1">
        <v>10</v>
      </c>
      <c r="E897" s="1">
        <v>0</v>
      </c>
      <c r="F897">
        <f t="shared" si="13"/>
        <v>1237.9000000000001</v>
      </c>
    </row>
    <row r="898" spans="1:6" ht="13">
      <c r="A898" s="1">
        <v>10583</v>
      </c>
      <c r="B898" s="1">
        <v>60</v>
      </c>
      <c r="C898" s="1">
        <v>34</v>
      </c>
      <c r="D898" s="1">
        <v>24</v>
      </c>
      <c r="E898" s="1">
        <v>0.15</v>
      </c>
      <c r="F898">
        <f t="shared" si="13"/>
        <v>693.6</v>
      </c>
    </row>
    <row r="899" spans="1:6" ht="13">
      <c r="A899" s="1">
        <v>10583</v>
      </c>
      <c r="B899" s="1">
        <v>69</v>
      </c>
      <c r="C899" s="1">
        <v>36</v>
      </c>
      <c r="D899" s="1">
        <v>10</v>
      </c>
      <c r="E899" s="1">
        <v>0.15</v>
      </c>
      <c r="F899">
        <f t="shared" ref="F899:F962" si="14">C899*D899*(1-E899)</f>
        <v>306</v>
      </c>
    </row>
    <row r="900" spans="1:6" ht="13">
      <c r="A900" s="1">
        <v>10584</v>
      </c>
      <c r="B900" s="1">
        <v>31</v>
      </c>
      <c r="C900" s="1">
        <v>12.5</v>
      </c>
      <c r="D900" s="1">
        <v>50</v>
      </c>
      <c r="E900" s="1">
        <v>0.05</v>
      </c>
      <c r="F900">
        <f t="shared" si="14"/>
        <v>593.75</v>
      </c>
    </row>
    <row r="901" spans="1:6" ht="13">
      <c r="A901" s="1">
        <v>10585</v>
      </c>
      <c r="B901" s="1">
        <v>47</v>
      </c>
      <c r="C901" s="1">
        <v>9.5</v>
      </c>
      <c r="D901" s="1">
        <v>15</v>
      </c>
      <c r="E901" s="1">
        <v>0</v>
      </c>
      <c r="F901">
        <f t="shared" si="14"/>
        <v>142.5</v>
      </c>
    </row>
    <row r="902" spans="1:6" ht="13">
      <c r="A902" s="1">
        <v>10586</v>
      </c>
      <c r="B902" s="1">
        <v>52</v>
      </c>
      <c r="C902" s="1">
        <v>7</v>
      </c>
      <c r="D902" s="1">
        <v>4</v>
      </c>
      <c r="E902" s="1">
        <v>0.15</v>
      </c>
      <c r="F902">
        <f t="shared" si="14"/>
        <v>23.8</v>
      </c>
    </row>
    <row r="903" spans="1:6" ht="13">
      <c r="A903" s="1">
        <v>10587</v>
      </c>
      <c r="B903" s="1">
        <v>26</v>
      </c>
      <c r="C903" s="1">
        <v>31.23</v>
      </c>
      <c r="D903" s="1">
        <v>6</v>
      </c>
      <c r="E903" s="1">
        <v>0</v>
      </c>
      <c r="F903">
        <f t="shared" si="14"/>
        <v>187.38</v>
      </c>
    </row>
    <row r="904" spans="1:6" ht="13">
      <c r="A904" s="1">
        <v>10587</v>
      </c>
      <c r="B904" s="1">
        <v>35</v>
      </c>
      <c r="C904" s="1">
        <v>18</v>
      </c>
      <c r="D904" s="1">
        <v>20</v>
      </c>
      <c r="E904" s="1">
        <v>0</v>
      </c>
      <c r="F904">
        <f t="shared" si="14"/>
        <v>360</v>
      </c>
    </row>
    <row r="905" spans="1:6" ht="13">
      <c r="A905" s="1">
        <v>10587</v>
      </c>
      <c r="B905" s="1">
        <v>77</v>
      </c>
      <c r="C905" s="1">
        <v>13</v>
      </c>
      <c r="D905" s="1">
        <v>20</v>
      </c>
      <c r="E905" s="1">
        <v>0</v>
      </c>
      <c r="F905">
        <f t="shared" si="14"/>
        <v>260</v>
      </c>
    </row>
    <row r="906" spans="1:6" ht="13">
      <c r="A906" s="1">
        <v>10588</v>
      </c>
      <c r="B906" s="1">
        <v>18</v>
      </c>
      <c r="C906" s="1">
        <v>62.5</v>
      </c>
      <c r="D906" s="1">
        <v>40</v>
      </c>
      <c r="E906" s="1">
        <v>0.2</v>
      </c>
      <c r="F906">
        <f t="shared" si="14"/>
        <v>2000</v>
      </c>
    </row>
    <row r="907" spans="1:6" ht="13">
      <c r="A907" s="1">
        <v>10588</v>
      </c>
      <c r="B907" s="1">
        <v>42</v>
      </c>
      <c r="C907" s="1">
        <v>14</v>
      </c>
      <c r="D907" s="1">
        <v>100</v>
      </c>
      <c r="E907" s="1">
        <v>0.2</v>
      </c>
      <c r="F907">
        <f t="shared" si="14"/>
        <v>1120</v>
      </c>
    </row>
    <row r="908" spans="1:6" ht="13">
      <c r="A908" s="1">
        <v>10589</v>
      </c>
      <c r="B908" s="1">
        <v>35</v>
      </c>
      <c r="C908" s="1">
        <v>18</v>
      </c>
      <c r="D908" s="1">
        <v>4</v>
      </c>
      <c r="E908" s="1">
        <v>0</v>
      </c>
      <c r="F908">
        <f t="shared" si="14"/>
        <v>72</v>
      </c>
    </row>
    <row r="909" spans="1:6" ht="13">
      <c r="A909" s="1">
        <v>10590</v>
      </c>
      <c r="B909" s="1">
        <v>1</v>
      </c>
      <c r="C909" s="1">
        <v>18</v>
      </c>
      <c r="D909" s="1">
        <v>20</v>
      </c>
      <c r="E909" s="1">
        <v>0</v>
      </c>
      <c r="F909">
        <f t="shared" si="14"/>
        <v>360</v>
      </c>
    </row>
    <row r="910" spans="1:6" ht="13">
      <c r="A910" s="1">
        <v>10590</v>
      </c>
      <c r="B910" s="1">
        <v>77</v>
      </c>
      <c r="C910" s="1">
        <v>13</v>
      </c>
      <c r="D910" s="1">
        <v>60</v>
      </c>
      <c r="E910" s="1">
        <v>0.05</v>
      </c>
      <c r="F910">
        <f t="shared" si="14"/>
        <v>741</v>
      </c>
    </row>
    <row r="911" spans="1:6" ht="13">
      <c r="A911" s="1">
        <v>10591</v>
      </c>
      <c r="B911" s="1">
        <v>3</v>
      </c>
      <c r="C911" s="1">
        <v>10</v>
      </c>
      <c r="D911" s="1">
        <v>14</v>
      </c>
      <c r="E911" s="1">
        <v>0</v>
      </c>
      <c r="F911">
        <f t="shared" si="14"/>
        <v>140</v>
      </c>
    </row>
    <row r="912" spans="1:6" ht="13">
      <c r="A912" s="1">
        <v>10591</v>
      </c>
      <c r="B912" s="1">
        <v>7</v>
      </c>
      <c r="C912" s="1">
        <v>30</v>
      </c>
      <c r="D912" s="1">
        <v>10</v>
      </c>
      <c r="E912" s="1">
        <v>0</v>
      </c>
      <c r="F912">
        <f t="shared" si="14"/>
        <v>300</v>
      </c>
    </row>
    <row r="913" spans="1:6" ht="13">
      <c r="A913" s="1">
        <v>10591</v>
      </c>
      <c r="B913" s="1">
        <v>54</v>
      </c>
      <c r="C913" s="1">
        <v>7.45</v>
      </c>
      <c r="D913" s="1">
        <v>50</v>
      </c>
      <c r="E913" s="1">
        <v>0</v>
      </c>
      <c r="F913">
        <f t="shared" si="14"/>
        <v>372.5</v>
      </c>
    </row>
    <row r="914" spans="1:6" ht="13">
      <c r="A914" s="1">
        <v>10592</v>
      </c>
      <c r="B914" s="1">
        <v>15</v>
      </c>
      <c r="C914" s="1">
        <v>15.5</v>
      </c>
      <c r="D914" s="1">
        <v>25</v>
      </c>
      <c r="E914" s="1">
        <v>0.05</v>
      </c>
      <c r="F914">
        <f t="shared" si="14"/>
        <v>368.125</v>
      </c>
    </row>
    <row r="915" spans="1:6" ht="13">
      <c r="A915" s="1">
        <v>10592</v>
      </c>
      <c r="B915" s="1">
        <v>26</v>
      </c>
      <c r="C915" s="1">
        <v>31.23</v>
      </c>
      <c r="D915" s="1">
        <v>5</v>
      </c>
      <c r="E915" s="1">
        <v>0.05</v>
      </c>
      <c r="F915">
        <f t="shared" si="14"/>
        <v>148.3425</v>
      </c>
    </row>
    <row r="916" spans="1:6" ht="13">
      <c r="A916" s="1">
        <v>10593</v>
      </c>
      <c r="B916" s="1">
        <v>20</v>
      </c>
      <c r="C916" s="1">
        <v>81</v>
      </c>
      <c r="D916" s="1">
        <v>21</v>
      </c>
      <c r="E916" s="1">
        <v>0.2</v>
      </c>
      <c r="F916">
        <f t="shared" si="14"/>
        <v>1360.8000000000002</v>
      </c>
    </row>
    <row r="917" spans="1:6" ht="13">
      <c r="A917" s="1">
        <v>10593</v>
      </c>
      <c r="B917" s="1">
        <v>69</v>
      </c>
      <c r="C917" s="1">
        <v>36</v>
      </c>
      <c r="D917" s="1">
        <v>20</v>
      </c>
      <c r="E917" s="1">
        <v>0.2</v>
      </c>
      <c r="F917">
        <f t="shared" si="14"/>
        <v>576</v>
      </c>
    </row>
    <row r="918" spans="1:6" ht="13">
      <c r="A918" s="1">
        <v>10593</v>
      </c>
      <c r="B918" s="1">
        <v>76</v>
      </c>
      <c r="C918" s="1">
        <v>18</v>
      </c>
      <c r="D918" s="1">
        <v>4</v>
      </c>
      <c r="E918" s="1">
        <v>0.2</v>
      </c>
      <c r="F918">
        <f t="shared" si="14"/>
        <v>57.6</v>
      </c>
    </row>
    <row r="919" spans="1:6" ht="13">
      <c r="A919" s="1">
        <v>10594</v>
      </c>
      <c r="B919" s="1">
        <v>52</v>
      </c>
      <c r="C919" s="1">
        <v>7</v>
      </c>
      <c r="D919" s="1">
        <v>24</v>
      </c>
      <c r="E919" s="1">
        <v>0</v>
      </c>
      <c r="F919">
        <f t="shared" si="14"/>
        <v>168</v>
      </c>
    </row>
    <row r="920" spans="1:6" ht="13">
      <c r="A920" s="1">
        <v>10594</v>
      </c>
      <c r="B920" s="1">
        <v>58</v>
      </c>
      <c r="C920" s="1">
        <v>13.25</v>
      </c>
      <c r="D920" s="1">
        <v>30</v>
      </c>
      <c r="E920" s="1">
        <v>0</v>
      </c>
      <c r="F920">
        <f t="shared" si="14"/>
        <v>397.5</v>
      </c>
    </row>
    <row r="921" spans="1:6" ht="13">
      <c r="A921" s="1">
        <v>10595</v>
      </c>
      <c r="B921" s="1">
        <v>35</v>
      </c>
      <c r="C921" s="1">
        <v>18</v>
      </c>
      <c r="D921" s="1">
        <v>30</v>
      </c>
      <c r="E921" s="1">
        <v>0.25</v>
      </c>
      <c r="F921">
        <f t="shared" si="14"/>
        <v>405</v>
      </c>
    </row>
    <row r="922" spans="1:6" ht="13">
      <c r="A922" s="1">
        <v>10595</v>
      </c>
      <c r="B922" s="1">
        <v>61</v>
      </c>
      <c r="C922" s="1">
        <v>28.5</v>
      </c>
      <c r="D922" s="1">
        <v>120</v>
      </c>
      <c r="E922" s="1">
        <v>0.25</v>
      </c>
      <c r="F922">
        <f t="shared" si="14"/>
        <v>2565</v>
      </c>
    </row>
    <row r="923" spans="1:6" ht="13">
      <c r="A923" s="1">
        <v>10595</v>
      </c>
      <c r="B923" s="1">
        <v>69</v>
      </c>
      <c r="C923" s="1">
        <v>36</v>
      </c>
      <c r="D923" s="1">
        <v>65</v>
      </c>
      <c r="E923" s="1">
        <v>0.25</v>
      </c>
      <c r="F923">
        <f t="shared" si="14"/>
        <v>1755</v>
      </c>
    </row>
    <row r="924" spans="1:6" ht="13">
      <c r="A924" s="1">
        <v>10596</v>
      </c>
      <c r="B924" s="1">
        <v>56</v>
      </c>
      <c r="C924" s="1">
        <v>38</v>
      </c>
      <c r="D924" s="1">
        <v>5</v>
      </c>
      <c r="E924" s="1">
        <v>0.2</v>
      </c>
      <c r="F924">
        <f t="shared" si="14"/>
        <v>152</v>
      </c>
    </row>
    <row r="925" spans="1:6" ht="13">
      <c r="A925" s="1">
        <v>10596</v>
      </c>
      <c r="B925" s="1">
        <v>63</v>
      </c>
      <c r="C925" s="1">
        <v>43.9</v>
      </c>
      <c r="D925" s="1">
        <v>24</v>
      </c>
      <c r="E925" s="1">
        <v>0.2</v>
      </c>
      <c r="F925">
        <f t="shared" si="14"/>
        <v>842.88</v>
      </c>
    </row>
    <row r="926" spans="1:6" ht="13">
      <c r="A926" s="1">
        <v>10596</v>
      </c>
      <c r="B926" s="1">
        <v>75</v>
      </c>
      <c r="C926" s="1">
        <v>7.75</v>
      </c>
      <c r="D926" s="1">
        <v>30</v>
      </c>
      <c r="E926" s="1">
        <v>0.2</v>
      </c>
      <c r="F926">
        <f t="shared" si="14"/>
        <v>186</v>
      </c>
    </row>
    <row r="927" spans="1:6" ht="13">
      <c r="A927" s="1">
        <v>10597</v>
      </c>
      <c r="B927" s="1">
        <v>24</v>
      </c>
      <c r="C927" s="1">
        <v>4.5</v>
      </c>
      <c r="D927" s="1">
        <v>35</v>
      </c>
      <c r="E927" s="1">
        <v>0.2</v>
      </c>
      <c r="F927">
        <f t="shared" si="14"/>
        <v>126</v>
      </c>
    </row>
    <row r="928" spans="1:6" ht="13">
      <c r="A928" s="1">
        <v>10597</v>
      </c>
      <c r="B928" s="1">
        <v>57</v>
      </c>
      <c r="C928" s="1">
        <v>19.5</v>
      </c>
      <c r="D928" s="1">
        <v>20</v>
      </c>
      <c r="E928" s="1">
        <v>0</v>
      </c>
      <c r="F928">
        <f t="shared" si="14"/>
        <v>390</v>
      </c>
    </row>
    <row r="929" spans="1:6" ht="13">
      <c r="A929" s="1">
        <v>10597</v>
      </c>
      <c r="B929" s="1">
        <v>65</v>
      </c>
      <c r="C929" s="1">
        <v>21.05</v>
      </c>
      <c r="D929" s="1">
        <v>12</v>
      </c>
      <c r="E929" s="1">
        <v>0.2</v>
      </c>
      <c r="F929">
        <f t="shared" si="14"/>
        <v>202.08000000000004</v>
      </c>
    </row>
    <row r="930" spans="1:6" ht="13">
      <c r="A930" s="1">
        <v>10598</v>
      </c>
      <c r="B930" s="1">
        <v>27</v>
      </c>
      <c r="C930" s="1">
        <v>43.9</v>
      </c>
      <c r="D930" s="1">
        <v>50</v>
      </c>
      <c r="E930" s="1">
        <v>0</v>
      </c>
      <c r="F930">
        <f t="shared" si="14"/>
        <v>2195</v>
      </c>
    </row>
    <row r="931" spans="1:6" ht="13">
      <c r="A931" s="1">
        <v>10598</v>
      </c>
      <c r="B931" s="1">
        <v>71</v>
      </c>
      <c r="C931" s="1">
        <v>21.5</v>
      </c>
      <c r="D931" s="1">
        <v>9</v>
      </c>
      <c r="E931" s="1">
        <v>0</v>
      </c>
      <c r="F931">
        <f t="shared" si="14"/>
        <v>193.5</v>
      </c>
    </row>
    <row r="932" spans="1:6" ht="13">
      <c r="A932" s="1">
        <v>10599</v>
      </c>
      <c r="B932" s="1">
        <v>62</v>
      </c>
      <c r="C932" s="1">
        <v>49.3</v>
      </c>
      <c r="D932" s="1">
        <v>10</v>
      </c>
      <c r="E932" s="1">
        <v>0</v>
      </c>
      <c r="F932">
        <f t="shared" si="14"/>
        <v>493</v>
      </c>
    </row>
    <row r="933" spans="1:6" ht="13">
      <c r="A933" s="1">
        <v>10600</v>
      </c>
      <c r="B933" s="1">
        <v>54</v>
      </c>
      <c r="C933" s="1">
        <v>7.45</v>
      </c>
      <c r="D933" s="1">
        <v>4</v>
      </c>
      <c r="E933" s="1">
        <v>0</v>
      </c>
      <c r="F933">
        <f t="shared" si="14"/>
        <v>29.8</v>
      </c>
    </row>
    <row r="934" spans="1:6" ht="13">
      <c r="A934" s="1">
        <v>10600</v>
      </c>
      <c r="B934" s="1">
        <v>73</v>
      </c>
      <c r="C934" s="1">
        <v>15</v>
      </c>
      <c r="D934" s="1">
        <v>30</v>
      </c>
      <c r="E934" s="1">
        <v>0</v>
      </c>
      <c r="F934">
        <f t="shared" si="14"/>
        <v>450</v>
      </c>
    </row>
    <row r="935" spans="1:6" ht="13">
      <c r="A935" s="1">
        <v>10601</v>
      </c>
      <c r="B935" s="1">
        <v>13</v>
      </c>
      <c r="C935" s="1">
        <v>6</v>
      </c>
      <c r="D935" s="1">
        <v>60</v>
      </c>
      <c r="E935" s="1">
        <v>0</v>
      </c>
      <c r="F935">
        <f t="shared" si="14"/>
        <v>360</v>
      </c>
    </row>
    <row r="936" spans="1:6" ht="13">
      <c r="A936" s="1">
        <v>10601</v>
      </c>
      <c r="B936" s="1">
        <v>59</v>
      </c>
      <c r="C936" s="1">
        <v>55</v>
      </c>
      <c r="D936" s="1">
        <v>35</v>
      </c>
      <c r="E936" s="1">
        <v>0</v>
      </c>
      <c r="F936">
        <f t="shared" si="14"/>
        <v>1925</v>
      </c>
    </row>
    <row r="937" spans="1:6" ht="13">
      <c r="A937" s="1">
        <v>10602</v>
      </c>
      <c r="B937" s="1">
        <v>77</v>
      </c>
      <c r="C937" s="1">
        <v>13</v>
      </c>
      <c r="D937" s="1">
        <v>5</v>
      </c>
      <c r="E937" s="1">
        <v>0.25</v>
      </c>
      <c r="F937">
        <f t="shared" si="14"/>
        <v>48.75</v>
      </c>
    </row>
    <row r="938" spans="1:6" ht="13">
      <c r="A938" s="1">
        <v>10603</v>
      </c>
      <c r="B938" s="1">
        <v>22</v>
      </c>
      <c r="C938" s="1">
        <v>21</v>
      </c>
      <c r="D938" s="1">
        <v>48</v>
      </c>
      <c r="E938" s="1">
        <v>0</v>
      </c>
      <c r="F938">
        <f t="shared" si="14"/>
        <v>1008</v>
      </c>
    </row>
    <row r="939" spans="1:6" ht="13">
      <c r="A939" s="1">
        <v>10603</v>
      </c>
      <c r="B939" s="1">
        <v>49</v>
      </c>
      <c r="C939" s="1">
        <v>20</v>
      </c>
      <c r="D939" s="1">
        <v>25</v>
      </c>
      <c r="E939" s="1">
        <v>0.05</v>
      </c>
      <c r="F939">
        <f t="shared" si="14"/>
        <v>475</v>
      </c>
    </row>
    <row r="940" spans="1:6" ht="13">
      <c r="A940" s="1">
        <v>10604</v>
      </c>
      <c r="B940" s="1">
        <v>48</v>
      </c>
      <c r="C940" s="1">
        <v>12.75</v>
      </c>
      <c r="D940" s="1">
        <v>6</v>
      </c>
      <c r="E940" s="1">
        <v>0.1</v>
      </c>
      <c r="F940">
        <f t="shared" si="14"/>
        <v>68.850000000000009</v>
      </c>
    </row>
    <row r="941" spans="1:6" ht="13">
      <c r="A941" s="1">
        <v>10604</v>
      </c>
      <c r="B941" s="1">
        <v>76</v>
      </c>
      <c r="C941" s="1">
        <v>18</v>
      </c>
      <c r="D941" s="1">
        <v>10</v>
      </c>
      <c r="E941" s="1">
        <v>0.1</v>
      </c>
      <c r="F941">
        <f t="shared" si="14"/>
        <v>162</v>
      </c>
    </row>
    <row r="942" spans="1:6" ht="13">
      <c r="A942" s="1">
        <v>10605</v>
      </c>
      <c r="B942" s="1">
        <v>16</v>
      </c>
      <c r="C942" s="1">
        <v>17.45</v>
      </c>
      <c r="D942" s="1">
        <v>30</v>
      </c>
      <c r="E942" s="1">
        <v>0.05</v>
      </c>
      <c r="F942">
        <f t="shared" si="14"/>
        <v>497.32499999999999</v>
      </c>
    </row>
    <row r="943" spans="1:6" ht="13">
      <c r="A943" s="1">
        <v>10605</v>
      </c>
      <c r="B943" s="1">
        <v>59</v>
      </c>
      <c r="C943" s="1">
        <v>55</v>
      </c>
      <c r="D943" s="1">
        <v>20</v>
      </c>
      <c r="E943" s="1">
        <v>0.05</v>
      </c>
      <c r="F943">
        <f t="shared" si="14"/>
        <v>1045</v>
      </c>
    </row>
    <row r="944" spans="1:6" ht="13">
      <c r="A944" s="1">
        <v>10605</v>
      </c>
      <c r="B944" s="1">
        <v>60</v>
      </c>
      <c r="C944" s="1">
        <v>34</v>
      </c>
      <c r="D944" s="1">
        <v>70</v>
      </c>
      <c r="E944" s="1">
        <v>0.05</v>
      </c>
      <c r="F944">
        <f t="shared" si="14"/>
        <v>2261</v>
      </c>
    </row>
    <row r="945" spans="1:6" ht="13">
      <c r="A945" s="1">
        <v>10605</v>
      </c>
      <c r="B945" s="1">
        <v>71</v>
      </c>
      <c r="C945" s="1">
        <v>21.5</v>
      </c>
      <c r="D945" s="1">
        <v>15</v>
      </c>
      <c r="E945" s="1">
        <v>0.05</v>
      </c>
      <c r="F945">
        <f t="shared" si="14"/>
        <v>306.375</v>
      </c>
    </row>
    <row r="946" spans="1:6" ht="13">
      <c r="A946" s="1">
        <v>10606</v>
      </c>
      <c r="B946" s="1">
        <v>4</v>
      </c>
      <c r="C946" s="1">
        <v>22</v>
      </c>
      <c r="D946" s="1">
        <v>20</v>
      </c>
      <c r="E946" s="1">
        <v>0.2</v>
      </c>
      <c r="F946">
        <f t="shared" si="14"/>
        <v>352</v>
      </c>
    </row>
    <row r="947" spans="1:6" ht="13">
      <c r="A947" s="1">
        <v>10606</v>
      </c>
      <c r="B947" s="1">
        <v>55</v>
      </c>
      <c r="C947" s="1">
        <v>24</v>
      </c>
      <c r="D947" s="1">
        <v>20</v>
      </c>
      <c r="E947" s="1">
        <v>0.2</v>
      </c>
      <c r="F947">
        <f t="shared" si="14"/>
        <v>384</v>
      </c>
    </row>
    <row r="948" spans="1:6" ht="13">
      <c r="A948" s="1">
        <v>10606</v>
      </c>
      <c r="B948" s="1">
        <v>62</v>
      </c>
      <c r="C948" s="1">
        <v>49.3</v>
      </c>
      <c r="D948" s="1">
        <v>10</v>
      </c>
      <c r="E948" s="1">
        <v>0.2</v>
      </c>
      <c r="F948">
        <f t="shared" si="14"/>
        <v>394.40000000000003</v>
      </c>
    </row>
    <row r="949" spans="1:6" ht="13">
      <c r="A949" s="1">
        <v>10607</v>
      </c>
      <c r="B949" s="1">
        <v>7</v>
      </c>
      <c r="C949" s="1">
        <v>30</v>
      </c>
      <c r="D949" s="1">
        <v>45</v>
      </c>
      <c r="E949" s="1">
        <v>0</v>
      </c>
      <c r="F949">
        <f t="shared" si="14"/>
        <v>1350</v>
      </c>
    </row>
    <row r="950" spans="1:6" ht="13">
      <c r="A950" s="1">
        <v>10607</v>
      </c>
      <c r="B950" s="1">
        <v>17</v>
      </c>
      <c r="C950" s="1">
        <v>39</v>
      </c>
      <c r="D950" s="1">
        <v>100</v>
      </c>
      <c r="E950" s="1">
        <v>0</v>
      </c>
      <c r="F950">
        <f t="shared" si="14"/>
        <v>3900</v>
      </c>
    </row>
    <row r="951" spans="1:6" ht="13">
      <c r="A951" s="1">
        <v>10607</v>
      </c>
      <c r="B951" s="1">
        <v>33</v>
      </c>
      <c r="C951" s="1">
        <v>2.5</v>
      </c>
      <c r="D951" s="1">
        <v>14</v>
      </c>
      <c r="E951" s="1">
        <v>0</v>
      </c>
      <c r="F951">
        <f t="shared" si="14"/>
        <v>35</v>
      </c>
    </row>
    <row r="952" spans="1:6" ht="13">
      <c r="A952" s="1">
        <v>10607</v>
      </c>
      <c r="B952" s="1">
        <v>40</v>
      </c>
      <c r="C952" s="1">
        <v>18.399999999999999</v>
      </c>
      <c r="D952" s="1">
        <v>42</v>
      </c>
      <c r="E952" s="1">
        <v>0</v>
      </c>
      <c r="F952">
        <f t="shared" si="14"/>
        <v>772.8</v>
      </c>
    </row>
    <row r="953" spans="1:6" ht="13">
      <c r="A953" s="1">
        <v>10607</v>
      </c>
      <c r="B953" s="1">
        <v>72</v>
      </c>
      <c r="C953" s="1">
        <v>34.799999999999997</v>
      </c>
      <c r="D953" s="1">
        <v>12</v>
      </c>
      <c r="E953" s="1">
        <v>0</v>
      </c>
      <c r="F953">
        <f t="shared" si="14"/>
        <v>417.59999999999997</v>
      </c>
    </row>
    <row r="954" spans="1:6" ht="13">
      <c r="A954" s="1">
        <v>10608</v>
      </c>
      <c r="B954" s="1">
        <v>56</v>
      </c>
      <c r="C954" s="1">
        <v>38</v>
      </c>
      <c r="D954" s="1">
        <v>28</v>
      </c>
      <c r="E954" s="1">
        <v>0</v>
      </c>
      <c r="F954">
        <f t="shared" si="14"/>
        <v>1064</v>
      </c>
    </row>
    <row r="955" spans="1:6" ht="13">
      <c r="A955" s="1">
        <v>10609</v>
      </c>
      <c r="B955" s="1">
        <v>1</v>
      </c>
      <c r="C955" s="1">
        <v>18</v>
      </c>
      <c r="D955" s="1">
        <v>3</v>
      </c>
      <c r="E955" s="1">
        <v>0</v>
      </c>
      <c r="F955">
        <f t="shared" si="14"/>
        <v>54</v>
      </c>
    </row>
    <row r="956" spans="1:6" ht="13">
      <c r="A956" s="1">
        <v>10609</v>
      </c>
      <c r="B956" s="1">
        <v>10</v>
      </c>
      <c r="C956" s="1">
        <v>31</v>
      </c>
      <c r="D956" s="1">
        <v>10</v>
      </c>
      <c r="E956" s="1">
        <v>0</v>
      </c>
      <c r="F956">
        <f t="shared" si="14"/>
        <v>310</v>
      </c>
    </row>
    <row r="957" spans="1:6" ht="13">
      <c r="A957" s="1">
        <v>10609</v>
      </c>
      <c r="B957" s="1">
        <v>21</v>
      </c>
      <c r="C957" s="1">
        <v>10</v>
      </c>
      <c r="D957" s="1">
        <v>6</v>
      </c>
      <c r="E957" s="1">
        <v>0</v>
      </c>
      <c r="F957">
        <f t="shared" si="14"/>
        <v>60</v>
      </c>
    </row>
    <row r="958" spans="1:6" ht="13">
      <c r="A958" s="1">
        <v>10610</v>
      </c>
      <c r="B958" s="1">
        <v>36</v>
      </c>
      <c r="C958" s="1">
        <v>19</v>
      </c>
      <c r="D958" s="1">
        <v>21</v>
      </c>
      <c r="E958" s="1">
        <v>0.25</v>
      </c>
      <c r="F958">
        <f t="shared" si="14"/>
        <v>299.25</v>
      </c>
    </row>
    <row r="959" spans="1:6" ht="13">
      <c r="A959" s="1">
        <v>10611</v>
      </c>
      <c r="B959" s="1">
        <v>1</v>
      </c>
      <c r="C959" s="1">
        <v>18</v>
      </c>
      <c r="D959" s="1">
        <v>6</v>
      </c>
      <c r="E959" s="1">
        <v>0</v>
      </c>
      <c r="F959">
        <f t="shared" si="14"/>
        <v>108</v>
      </c>
    </row>
    <row r="960" spans="1:6" ht="13">
      <c r="A960" s="1">
        <v>10611</v>
      </c>
      <c r="B960" s="1">
        <v>2</v>
      </c>
      <c r="C960" s="1">
        <v>19</v>
      </c>
      <c r="D960" s="1">
        <v>10</v>
      </c>
      <c r="E960" s="1">
        <v>0</v>
      </c>
      <c r="F960">
        <f t="shared" si="14"/>
        <v>190</v>
      </c>
    </row>
    <row r="961" spans="1:6" ht="13">
      <c r="A961" s="1">
        <v>10611</v>
      </c>
      <c r="B961" s="1">
        <v>60</v>
      </c>
      <c r="C961" s="1">
        <v>34</v>
      </c>
      <c r="D961" s="1">
        <v>15</v>
      </c>
      <c r="E961" s="1">
        <v>0</v>
      </c>
      <c r="F961">
        <f t="shared" si="14"/>
        <v>510</v>
      </c>
    </row>
    <row r="962" spans="1:6" ht="13">
      <c r="A962" s="1">
        <v>10612</v>
      </c>
      <c r="B962" s="1">
        <v>10</v>
      </c>
      <c r="C962" s="1">
        <v>31</v>
      </c>
      <c r="D962" s="1">
        <v>70</v>
      </c>
      <c r="E962" s="1">
        <v>0</v>
      </c>
      <c r="F962">
        <f t="shared" si="14"/>
        <v>2170</v>
      </c>
    </row>
    <row r="963" spans="1:6" ht="13">
      <c r="A963" s="1">
        <v>10612</v>
      </c>
      <c r="B963" s="1">
        <v>36</v>
      </c>
      <c r="C963" s="1">
        <v>19</v>
      </c>
      <c r="D963" s="1">
        <v>55</v>
      </c>
      <c r="E963" s="1">
        <v>0</v>
      </c>
      <c r="F963">
        <f t="shared" ref="F963:F1026" si="15">C963*D963*(1-E963)</f>
        <v>1045</v>
      </c>
    </row>
    <row r="964" spans="1:6" ht="13">
      <c r="A964" s="1">
        <v>10612</v>
      </c>
      <c r="B964" s="1">
        <v>49</v>
      </c>
      <c r="C964" s="1">
        <v>20</v>
      </c>
      <c r="D964" s="1">
        <v>18</v>
      </c>
      <c r="E964" s="1">
        <v>0</v>
      </c>
      <c r="F964">
        <f t="shared" si="15"/>
        <v>360</v>
      </c>
    </row>
    <row r="965" spans="1:6" ht="13">
      <c r="A965" s="1">
        <v>10612</v>
      </c>
      <c r="B965" s="1">
        <v>60</v>
      </c>
      <c r="C965" s="1">
        <v>34</v>
      </c>
      <c r="D965" s="1">
        <v>40</v>
      </c>
      <c r="E965" s="1">
        <v>0</v>
      </c>
      <c r="F965">
        <f t="shared" si="15"/>
        <v>1360</v>
      </c>
    </row>
    <row r="966" spans="1:6" ht="13">
      <c r="A966" s="1">
        <v>10612</v>
      </c>
      <c r="B966" s="1">
        <v>76</v>
      </c>
      <c r="C966" s="1">
        <v>18</v>
      </c>
      <c r="D966" s="1">
        <v>80</v>
      </c>
      <c r="E966" s="1">
        <v>0</v>
      </c>
      <c r="F966">
        <f t="shared" si="15"/>
        <v>1440</v>
      </c>
    </row>
    <row r="967" spans="1:6" ht="13">
      <c r="A967" s="1">
        <v>10613</v>
      </c>
      <c r="B967" s="1">
        <v>13</v>
      </c>
      <c r="C967" s="1">
        <v>6</v>
      </c>
      <c r="D967" s="1">
        <v>8</v>
      </c>
      <c r="E967" s="1">
        <v>0.1</v>
      </c>
      <c r="F967">
        <f t="shared" si="15"/>
        <v>43.2</v>
      </c>
    </row>
    <row r="968" spans="1:6" ht="13">
      <c r="A968" s="1">
        <v>10613</v>
      </c>
      <c r="B968" s="1">
        <v>75</v>
      </c>
      <c r="C968" s="1">
        <v>7.75</v>
      </c>
      <c r="D968" s="1">
        <v>40</v>
      </c>
      <c r="E968" s="1">
        <v>0</v>
      </c>
      <c r="F968">
        <f t="shared" si="15"/>
        <v>310</v>
      </c>
    </row>
    <row r="969" spans="1:6" ht="13">
      <c r="A969" s="1">
        <v>10614</v>
      </c>
      <c r="B969" s="1">
        <v>11</v>
      </c>
      <c r="C969" s="1">
        <v>21</v>
      </c>
      <c r="D969" s="1">
        <v>14</v>
      </c>
      <c r="E969" s="1">
        <v>0</v>
      </c>
      <c r="F969">
        <f t="shared" si="15"/>
        <v>294</v>
      </c>
    </row>
    <row r="970" spans="1:6" ht="13">
      <c r="A970" s="1">
        <v>10614</v>
      </c>
      <c r="B970" s="1">
        <v>21</v>
      </c>
      <c r="C970" s="1">
        <v>10</v>
      </c>
      <c r="D970" s="1">
        <v>8</v>
      </c>
      <c r="E970" s="1">
        <v>0</v>
      </c>
      <c r="F970">
        <f t="shared" si="15"/>
        <v>80</v>
      </c>
    </row>
    <row r="971" spans="1:6" ht="13">
      <c r="A971" s="1">
        <v>10614</v>
      </c>
      <c r="B971" s="1">
        <v>39</v>
      </c>
      <c r="C971" s="1">
        <v>18</v>
      </c>
      <c r="D971" s="1">
        <v>5</v>
      </c>
      <c r="E971" s="1">
        <v>0</v>
      </c>
      <c r="F971">
        <f t="shared" si="15"/>
        <v>90</v>
      </c>
    </row>
    <row r="972" spans="1:6" ht="13">
      <c r="A972" s="1">
        <v>10615</v>
      </c>
      <c r="B972" s="1">
        <v>55</v>
      </c>
      <c r="C972" s="1">
        <v>24</v>
      </c>
      <c r="D972" s="1">
        <v>5</v>
      </c>
      <c r="E972" s="1">
        <v>0</v>
      </c>
      <c r="F972">
        <f t="shared" si="15"/>
        <v>120</v>
      </c>
    </row>
    <row r="973" spans="1:6" ht="13">
      <c r="A973" s="1">
        <v>10616</v>
      </c>
      <c r="B973" s="1">
        <v>38</v>
      </c>
      <c r="C973" s="1">
        <v>263.5</v>
      </c>
      <c r="D973" s="1">
        <v>15</v>
      </c>
      <c r="E973" s="1">
        <v>0.05</v>
      </c>
      <c r="F973">
        <f t="shared" si="15"/>
        <v>3754.875</v>
      </c>
    </row>
    <row r="974" spans="1:6" ht="13">
      <c r="A974" s="1">
        <v>10616</v>
      </c>
      <c r="B974" s="1">
        <v>56</v>
      </c>
      <c r="C974" s="1">
        <v>38</v>
      </c>
      <c r="D974" s="1">
        <v>14</v>
      </c>
      <c r="E974" s="1">
        <v>0</v>
      </c>
      <c r="F974">
        <f t="shared" si="15"/>
        <v>532</v>
      </c>
    </row>
    <row r="975" spans="1:6" ht="13">
      <c r="A975" s="1">
        <v>10616</v>
      </c>
      <c r="B975" s="1">
        <v>70</v>
      </c>
      <c r="C975" s="1">
        <v>15</v>
      </c>
      <c r="D975" s="1">
        <v>15</v>
      </c>
      <c r="E975" s="1">
        <v>0.05</v>
      </c>
      <c r="F975">
        <f t="shared" si="15"/>
        <v>213.75</v>
      </c>
    </row>
    <row r="976" spans="1:6" ht="13">
      <c r="A976" s="1">
        <v>10616</v>
      </c>
      <c r="B976" s="1">
        <v>71</v>
      </c>
      <c r="C976" s="1">
        <v>21.5</v>
      </c>
      <c r="D976" s="1">
        <v>15</v>
      </c>
      <c r="E976" s="1">
        <v>0.05</v>
      </c>
      <c r="F976">
        <f t="shared" si="15"/>
        <v>306.375</v>
      </c>
    </row>
    <row r="977" spans="1:6" ht="13">
      <c r="A977" s="1">
        <v>10617</v>
      </c>
      <c r="B977" s="1">
        <v>59</v>
      </c>
      <c r="C977" s="1">
        <v>55</v>
      </c>
      <c r="D977" s="1">
        <v>30</v>
      </c>
      <c r="E977" s="1">
        <v>0.15</v>
      </c>
      <c r="F977">
        <f t="shared" si="15"/>
        <v>1402.5</v>
      </c>
    </row>
    <row r="978" spans="1:6" ht="13">
      <c r="A978" s="1">
        <v>10618</v>
      </c>
      <c r="B978" s="1">
        <v>6</v>
      </c>
      <c r="C978" s="1">
        <v>25</v>
      </c>
      <c r="D978" s="1">
        <v>70</v>
      </c>
      <c r="E978" s="1">
        <v>0</v>
      </c>
      <c r="F978">
        <f t="shared" si="15"/>
        <v>1750</v>
      </c>
    </row>
    <row r="979" spans="1:6" ht="13">
      <c r="A979" s="1">
        <v>10618</v>
      </c>
      <c r="B979" s="1">
        <v>56</v>
      </c>
      <c r="C979" s="1">
        <v>38</v>
      </c>
      <c r="D979" s="1">
        <v>20</v>
      </c>
      <c r="E979" s="1">
        <v>0</v>
      </c>
      <c r="F979">
        <f t="shared" si="15"/>
        <v>760</v>
      </c>
    </row>
    <row r="980" spans="1:6" ht="13">
      <c r="A980" s="1">
        <v>10618</v>
      </c>
      <c r="B980" s="1">
        <v>68</v>
      </c>
      <c r="C980" s="1">
        <v>12.5</v>
      </c>
      <c r="D980" s="1">
        <v>15</v>
      </c>
      <c r="E980" s="1">
        <v>0</v>
      </c>
      <c r="F980">
        <f t="shared" si="15"/>
        <v>187.5</v>
      </c>
    </row>
    <row r="981" spans="1:6" ht="13">
      <c r="A981" s="1">
        <v>10619</v>
      </c>
      <c r="B981" s="1">
        <v>21</v>
      </c>
      <c r="C981" s="1">
        <v>10</v>
      </c>
      <c r="D981" s="1">
        <v>42</v>
      </c>
      <c r="E981" s="1">
        <v>0</v>
      </c>
      <c r="F981">
        <f t="shared" si="15"/>
        <v>420</v>
      </c>
    </row>
    <row r="982" spans="1:6" ht="13">
      <c r="A982" s="1">
        <v>10619</v>
      </c>
      <c r="B982" s="1">
        <v>22</v>
      </c>
      <c r="C982" s="1">
        <v>21</v>
      </c>
      <c r="D982" s="1">
        <v>40</v>
      </c>
      <c r="E982" s="1">
        <v>0</v>
      </c>
      <c r="F982">
        <f t="shared" si="15"/>
        <v>840</v>
      </c>
    </row>
    <row r="983" spans="1:6" ht="13">
      <c r="A983" s="1">
        <v>10620</v>
      </c>
      <c r="B983" s="1">
        <v>24</v>
      </c>
      <c r="C983" s="1">
        <v>4.5</v>
      </c>
      <c r="D983" s="1">
        <v>5</v>
      </c>
      <c r="E983" s="1">
        <v>0</v>
      </c>
      <c r="F983">
        <f t="shared" si="15"/>
        <v>22.5</v>
      </c>
    </row>
    <row r="984" spans="1:6" ht="13">
      <c r="A984" s="1">
        <v>10620</v>
      </c>
      <c r="B984" s="1">
        <v>52</v>
      </c>
      <c r="C984" s="1">
        <v>7</v>
      </c>
      <c r="D984" s="1">
        <v>5</v>
      </c>
      <c r="E984" s="1">
        <v>0</v>
      </c>
      <c r="F984">
        <f t="shared" si="15"/>
        <v>35</v>
      </c>
    </row>
    <row r="985" spans="1:6" ht="13">
      <c r="A985" s="1">
        <v>10621</v>
      </c>
      <c r="B985" s="1">
        <v>19</v>
      </c>
      <c r="C985" s="1">
        <v>9.1999999999999993</v>
      </c>
      <c r="D985" s="1">
        <v>5</v>
      </c>
      <c r="E985" s="1">
        <v>0</v>
      </c>
      <c r="F985">
        <f t="shared" si="15"/>
        <v>46</v>
      </c>
    </row>
    <row r="986" spans="1:6" ht="13">
      <c r="A986" s="1">
        <v>10621</v>
      </c>
      <c r="B986" s="1">
        <v>23</v>
      </c>
      <c r="C986" s="1">
        <v>9</v>
      </c>
      <c r="D986" s="1">
        <v>10</v>
      </c>
      <c r="E986" s="1">
        <v>0</v>
      </c>
      <c r="F986">
        <f t="shared" si="15"/>
        <v>90</v>
      </c>
    </row>
    <row r="987" spans="1:6" ht="13">
      <c r="A987" s="1">
        <v>10621</v>
      </c>
      <c r="B987" s="1">
        <v>70</v>
      </c>
      <c r="C987" s="1">
        <v>15</v>
      </c>
      <c r="D987" s="1">
        <v>20</v>
      </c>
      <c r="E987" s="1">
        <v>0</v>
      </c>
      <c r="F987">
        <f t="shared" si="15"/>
        <v>300</v>
      </c>
    </row>
    <row r="988" spans="1:6" ht="13">
      <c r="A988" s="1">
        <v>10621</v>
      </c>
      <c r="B988" s="1">
        <v>71</v>
      </c>
      <c r="C988" s="1">
        <v>21.5</v>
      </c>
      <c r="D988" s="1">
        <v>15</v>
      </c>
      <c r="E988" s="1">
        <v>0</v>
      </c>
      <c r="F988">
        <f t="shared" si="15"/>
        <v>322.5</v>
      </c>
    </row>
    <row r="989" spans="1:6" ht="13">
      <c r="A989" s="1">
        <v>10622</v>
      </c>
      <c r="B989" s="1">
        <v>2</v>
      </c>
      <c r="C989" s="1">
        <v>19</v>
      </c>
      <c r="D989" s="1">
        <v>20</v>
      </c>
      <c r="E989" s="1">
        <v>0</v>
      </c>
      <c r="F989">
        <f t="shared" si="15"/>
        <v>380</v>
      </c>
    </row>
    <row r="990" spans="1:6" ht="13">
      <c r="A990" s="1">
        <v>10622</v>
      </c>
      <c r="B990" s="1">
        <v>68</v>
      </c>
      <c r="C990" s="1">
        <v>12.5</v>
      </c>
      <c r="D990" s="1">
        <v>18</v>
      </c>
      <c r="E990" s="1">
        <v>0.2</v>
      </c>
      <c r="F990">
        <f t="shared" si="15"/>
        <v>180</v>
      </c>
    </row>
    <row r="991" spans="1:6" ht="13">
      <c r="A991" s="1">
        <v>10623</v>
      </c>
      <c r="B991" s="1">
        <v>14</v>
      </c>
      <c r="C991" s="1">
        <v>23.25</v>
      </c>
      <c r="D991" s="1">
        <v>21</v>
      </c>
      <c r="E991" s="1">
        <v>0</v>
      </c>
      <c r="F991">
        <f t="shared" si="15"/>
        <v>488.25</v>
      </c>
    </row>
    <row r="992" spans="1:6" ht="13">
      <c r="A992" s="1">
        <v>10623</v>
      </c>
      <c r="B992" s="1">
        <v>19</v>
      </c>
      <c r="C992" s="1">
        <v>9.1999999999999993</v>
      </c>
      <c r="D992" s="1">
        <v>15</v>
      </c>
      <c r="E992" s="1">
        <v>0.1</v>
      </c>
      <c r="F992">
        <f t="shared" si="15"/>
        <v>124.2</v>
      </c>
    </row>
    <row r="993" spans="1:6" ht="13">
      <c r="A993" s="1">
        <v>10623</v>
      </c>
      <c r="B993" s="1">
        <v>21</v>
      </c>
      <c r="C993" s="1">
        <v>10</v>
      </c>
      <c r="D993" s="1">
        <v>25</v>
      </c>
      <c r="E993" s="1">
        <v>0.1</v>
      </c>
      <c r="F993">
        <f t="shared" si="15"/>
        <v>225</v>
      </c>
    </row>
    <row r="994" spans="1:6" ht="13">
      <c r="A994" s="1">
        <v>10623</v>
      </c>
      <c r="B994" s="1">
        <v>24</v>
      </c>
      <c r="C994" s="1">
        <v>4.5</v>
      </c>
      <c r="D994" s="1">
        <v>3</v>
      </c>
      <c r="E994" s="1">
        <v>0</v>
      </c>
      <c r="F994">
        <f t="shared" si="15"/>
        <v>13.5</v>
      </c>
    </row>
    <row r="995" spans="1:6" ht="13">
      <c r="A995" s="1">
        <v>10623</v>
      </c>
      <c r="B995" s="1">
        <v>35</v>
      </c>
      <c r="C995" s="1">
        <v>18</v>
      </c>
      <c r="D995" s="1">
        <v>30</v>
      </c>
      <c r="E995" s="1">
        <v>0.1</v>
      </c>
      <c r="F995">
        <f t="shared" si="15"/>
        <v>486</v>
      </c>
    </row>
    <row r="996" spans="1:6" ht="13">
      <c r="A996" s="1">
        <v>10624</v>
      </c>
      <c r="B996" s="1">
        <v>28</v>
      </c>
      <c r="C996" s="1">
        <v>45.6</v>
      </c>
      <c r="D996" s="1">
        <v>10</v>
      </c>
      <c r="E996" s="1">
        <v>0</v>
      </c>
      <c r="F996">
        <f t="shared" si="15"/>
        <v>456</v>
      </c>
    </row>
    <row r="997" spans="1:6" ht="13">
      <c r="A997" s="1">
        <v>10624</v>
      </c>
      <c r="B997" s="1">
        <v>29</v>
      </c>
      <c r="C997" s="1">
        <v>123.79</v>
      </c>
      <c r="D997" s="1">
        <v>6</v>
      </c>
      <c r="E997" s="1">
        <v>0</v>
      </c>
      <c r="F997">
        <f t="shared" si="15"/>
        <v>742.74</v>
      </c>
    </row>
    <row r="998" spans="1:6" ht="13">
      <c r="A998" s="1">
        <v>10624</v>
      </c>
      <c r="B998" s="1">
        <v>44</v>
      </c>
      <c r="C998" s="1">
        <v>19.45</v>
      </c>
      <c r="D998" s="1">
        <v>10</v>
      </c>
      <c r="E998" s="1">
        <v>0</v>
      </c>
      <c r="F998">
        <f t="shared" si="15"/>
        <v>194.5</v>
      </c>
    </row>
    <row r="999" spans="1:6" ht="13">
      <c r="A999" s="1">
        <v>10625</v>
      </c>
      <c r="B999" s="1">
        <v>14</v>
      </c>
      <c r="C999" s="1">
        <v>23.25</v>
      </c>
      <c r="D999" s="1">
        <v>3</v>
      </c>
      <c r="E999" s="1">
        <v>0</v>
      </c>
      <c r="F999">
        <f t="shared" si="15"/>
        <v>69.75</v>
      </c>
    </row>
    <row r="1000" spans="1:6" ht="13">
      <c r="A1000" s="1">
        <v>10625</v>
      </c>
      <c r="B1000" s="1">
        <v>42</v>
      </c>
      <c r="C1000" s="1">
        <v>14</v>
      </c>
      <c r="D1000" s="1">
        <v>5</v>
      </c>
      <c r="E1000" s="1">
        <v>0</v>
      </c>
      <c r="F1000">
        <f t="shared" si="15"/>
        <v>70</v>
      </c>
    </row>
    <row r="1001" spans="1:6" ht="13">
      <c r="A1001" s="1">
        <v>10625</v>
      </c>
      <c r="B1001" s="1">
        <v>60</v>
      </c>
      <c r="C1001" s="1">
        <v>34</v>
      </c>
      <c r="D1001" s="1">
        <v>10</v>
      </c>
      <c r="E1001" s="1">
        <v>0</v>
      </c>
      <c r="F1001">
        <f t="shared" si="15"/>
        <v>340</v>
      </c>
    </row>
    <row r="1002" spans="1:6" ht="13">
      <c r="A1002" s="1">
        <v>10626</v>
      </c>
      <c r="B1002" s="1">
        <v>53</v>
      </c>
      <c r="C1002" s="1">
        <v>32.799999999999997</v>
      </c>
      <c r="D1002" s="1">
        <v>12</v>
      </c>
      <c r="E1002" s="1">
        <v>0</v>
      </c>
      <c r="F1002">
        <f t="shared" si="15"/>
        <v>393.59999999999997</v>
      </c>
    </row>
    <row r="1003" spans="1:6" ht="13">
      <c r="A1003" s="1">
        <v>10626</v>
      </c>
      <c r="B1003" s="1">
        <v>60</v>
      </c>
      <c r="C1003" s="1">
        <v>34</v>
      </c>
      <c r="D1003" s="1">
        <v>20</v>
      </c>
      <c r="E1003" s="1">
        <v>0</v>
      </c>
      <c r="F1003">
        <f t="shared" si="15"/>
        <v>680</v>
      </c>
    </row>
    <row r="1004" spans="1:6" ht="13">
      <c r="A1004" s="1">
        <v>10626</v>
      </c>
      <c r="B1004" s="1">
        <v>71</v>
      </c>
      <c r="C1004" s="1">
        <v>21.5</v>
      </c>
      <c r="D1004" s="1">
        <v>20</v>
      </c>
      <c r="E1004" s="1">
        <v>0</v>
      </c>
      <c r="F1004">
        <f t="shared" si="15"/>
        <v>430</v>
      </c>
    </row>
    <row r="1005" spans="1:6" ht="13">
      <c r="A1005" s="1">
        <v>10627</v>
      </c>
      <c r="B1005" s="1">
        <v>62</v>
      </c>
      <c r="C1005" s="1">
        <v>49.3</v>
      </c>
      <c r="D1005" s="1">
        <v>15</v>
      </c>
      <c r="E1005" s="1">
        <v>0</v>
      </c>
      <c r="F1005">
        <f t="shared" si="15"/>
        <v>739.5</v>
      </c>
    </row>
    <row r="1006" spans="1:6" ht="13">
      <c r="A1006" s="1">
        <v>10627</v>
      </c>
      <c r="B1006" s="1">
        <v>73</v>
      </c>
      <c r="C1006" s="1">
        <v>15</v>
      </c>
      <c r="D1006" s="1">
        <v>35</v>
      </c>
      <c r="E1006" s="1">
        <v>0.15</v>
      </c>
      <c r="F1006">
        <f t="shared" si="15"/>
        <v>446.25</v>
      </c>
    </row>
    <row r="1007" spans="1:6" ht="13">
      <c r="A1007" s="1">
        <v>10628</v>
      </c>
      <c r="B1007" s="1">
        <v>1</v>
      </c>
      <c r="C1007" s="1">
        <v>18</v>
      </c>
      <c r="D1007" s="1">
        <v>25</v>
      </c>
      <c r="E1007" s="1">
        <v>0</v>
      </c>
      <c r="F1007">
        <f t="shared" si="15"/>
        <v>450</v>
      </c>
    </row>
    <row r="1008" spans="1:6" ht="13">
      <c r="A1008" s="1">
        <v>10629</v>
      </c>
      <c r="B1008" s="1">
        <v>29</v>
      </c>
      <c r="C1008" s="1">
        <v>123.79</v>
      </c>
      <c r="D1008" s="1">
        <v>20</v>
      </c>
      <c r="E1008" s="1">
        <v>0</v>
      </c>
      <c r="F1008">
        <f t="shared" si="15"/>
        <v>2475.8000000000002</v>
      </c>
    </row>
    <row r="1009" spans="1:6" ht="13">
      <c r="A1009" s="1">
        <v>10629</v>
      </c>
      <c r="B1009" s="1">
        <v>64</v>
      </c>
      <c r="C1009" s="1">
        <v>33.25</v>
      </c>
      <c r="D1009" s="1">
        <v>9</v>
      </c>
      <c r="E1009" s="1">
        <v>0</v>
      </c>
      <c r="F1009">
        <f t="shared" si="15"/>
        <v>299.25</v>
      </c>
    </row>
    <row r="1010" spans="1:6" ht="13">
      <c r="A1010" s="1">
        <v>10630</v>
      </c>
      <c r="B1010" s="1">
        <v>55</v>
      </c>
      <c r="C1010" s="1">
        <v>24</v>
      </c>
      <c r="D1010" s="1">
        <v>12</v>
      </c>
      <c r="E1010" s="1">
        <v>0.05</v>
      </c>
      <c r="F1010">
        <f t="shared" si="15"/>
        <v>273.59999999999997</v>
      </c>
    </row>
    <row r="1011" spans="1:6" ht="13">
      <c r="A1011" s="1">
        <v>10630</v>
      </c>
      <c r="B1011" s="1">
        <v>76</v>
      </c>
      <c r="C1011" s="1">
        <v>18</v>
      </c>
      <c r="D1011" s="1">
        <v>35</v>
      </c>
      <c r="E1011" s="1">
        <v>0</v>
      </c>
      <c r="F1011">
        <f t="shared" si="15"/>
        <v>630</v>
      </c>
    </row>
    <row r="1012" spans="1:6" ht="13">
      <c r="A1012" s="1">
        <v>10631</v>
      </c>
      <c r="B1012" s="1">
        <v>75</v>
      </c>
      <c r="C1012" s="1">
        <v>7.75</v>
      </c>
      <c r="D1012" s="1">
        <v>8</v>
      </c>
      <c r="E1012" s="1">
        <v>0.1</v>
      </c>
      <c r="F1012">
        <f t="shared" si="15"/>
        <v>55.800000000000004</v>
      </c>
    </row>
    <row r="1013" spans="1:6" ht="13">
      <c r="A1013" s="1">
        <v>10632</v>
      </c>
      <c r="B1013" s="1">
        <v>2</v>
      </c>
      <c r="C1013" s="1">
        <v>19</v>
      </c>
      <c r="D1013" s="1">
        <v>30</v>
      </c>
      <c r="E1013" s="1">
        <v>0.05</v>
      </c>
      <c r="F1013">
        <f t="shared" si="15"/>
        <v>541.5</v>
      </c>
    </row>
    <row r="1014" spans="1:6" ht="13">
      <c r="A1014" s="1">
        <v>10632</v>
      </c>
      <c r="B1014" s="1">
        <v>33</v>
      </c>
      <c r="C1014" s="1">
        <v>2.5</v>
      </c>
      <c r="D1014" s="1">
        <v>20</v>
      </c>
      <c r="E1014" s="1">
        <v>0.05</v>
      </c>
      <c r="F1014">
        <f t="shared" si="15"/>
        <v>47.5</v>
      </c>
    </row>
    <row r="1015" spans="1:6" ht="13">
      <c r="A1015" s="1">
        <v>10633</v>
      </c>
      <c r="B1015" s="1">
        <v>12</v>
      </c>
      <c r="C1015" s="1">
        <v>38</v>
      </c>
      <c r="D1015" s="1">
        <v>36</v>
      </c>
      <c r="E1015" s="1">
        <v>0.15</v>
      </c>
      <c r="F1015">
        <f t="shared" si="15"/>
        <v>1162.8</v>
      </c>
    </row>
    <row r="1016" spans="1:6" ht="13">
      <c r="A1016" s="1">
        <v>10633</v>
      </c>
      <c r="B1016" s="1">
        <v>13</v>
      </c>
      <c r="C1016" s="1">
        <v>6</v>
      </c>
      <c r="D1016" s="1">
        <v>13</v>
      </c>
      <c r="E1016" s="1">
        <v>0.15</v>
      </c>
      <c r="F1016">
        <f t="shared" si="15"/>
        <v>66.3</v>
      </c>
    </row>
    <row r="1017" spans="1:6" ht="13">
      <c r="A1017" s="1">
        <v>10633</v>
      </c>
      <c r="B1017" s="1">
        <v>26</v>
      </c>
      <c r="C1017" s="1">
        <v>31.23</v>
      </c>
      <c r="D1017" s="1">
        <v>35</v>
      </c>
      <c r="E1017" s="1">
        <v>0.15</v>
      </c>
      <c r="F1017">
        <f t="shared" si="15"/>
        <v>929.09249999999997</v>
      </c>
    </row>
    <row r="1018" spans="1:6" ht="13">
      <c r="A1018" s="1">
        <v>10633</v>
      </c>
      <c r="B1018" s="1">
        <v>62</v>
      </c>
      <c r="C1018" s="1">
        <v>49.3</v>
      </c>
      <c r="D1018" s="1">
        <v>80</v>
      </c>
      <c r="E1018" s="1">
        <v>0.15</v>
      </c>
      <c r="F1018">
        <f t="shared" si="15"/>
        <v>3352.4</v>
      </c>
    </row>
    <row r="1019" spans="1:6" ht="13">
      <c r="A1019" s="1">
        <v>10634</v>
      </c>
      <c r="B1019" s="1">
        <v>7</v>
      </c>
      <c r="C1019" s="1">
        <v>30</v>
      </c>
      <c r="D1019" s="1">
        <v>35</v>
      </c>
      <c r="E1019" s="1">
        <v>0</v>
      </c>
      <c r="F1019">
        <f t="shared" si="15"/>
        <v>1050</v>
      </c>
    </row>
    <row r="1020" spans="1:6" ht="13">
      <c r="A1020" s="1">
        <v>10634</v>
      </c>
      <c r="B1020" s="1">
        <v>18</v>
      </c>
      <c r="C1020" s="1">
        <v>62.5</v>
      </c>
      <c r="D1020" s="1">
        <v>50</v>
      </c>
      <c r="E1020" s="1">
        <v>0</v>
      </c>
      <c r="F1020">
        <f t="shared" si="15"/>
        <v>3125</v>
      </c>
    </row>
    <row r="1021" spans="1:6" ht="13">
      <c r="A1021" s="1">
        <v>10634</v>
      </c>
      <c r="B1021" s="1">
        <v>51</v>
      </c>
      <c r="C1021" s="1">
        <v>53</v>
      </c>
      <c r="D1021" s="1">
        <v>15</v>
      </c>
      <c r="E1021" s="1">
        <v>0</v>
      </c>
      <c r="F1021">
        <f t="shared" si="15"/>
        <v>795</v>
      </c>
    </row>
    <row r="1022" spans="1:6" ht="13">
      <c r="A1022" s="1">
        <v>10634</v>
      </c>
      <c r="B1022" s="1">
        <v>75</v>
      </c>
      <c r="C1022" s="1">
        <v>7.75</v>
      </c>
      <c r="D1022" s="1">
        <v>2</v>
      </c>
      <c r="E1022" s="1">
        <v>0</v>
      </c>
      <c r="F1022">
        <f t="shared" si="15"/>
        <v>15.5</v>
      </c>
    </row>
    <row r="1023" spans="1:6" ht="13">
      <c r="A1023" s="1">
        <v>10635</v>
      </c>
      <c r="B1023" s="1">
        <v>4</v>
      </c>
      <c r="C1023" s="1">
        <v>22</v>
      </c>
      <c r="D1023" s="1">
        <v>10</v>
      </c>
      <c r="E1023" s="1">
        <v>0.1</v>
      </c>
      <c r="F1023">
        <f t="shared" si="15"/>
        <v>198</v>
      </c>
    </row>
    <row r="1024" spans="1:6" ht="13">
      <c r="A1024" s="1">
        <v>10635</v>
      </c>
      <c r="B1024" s="1">
        <v>5</v>
      </c>
      <c r="C1024" s="1">
        <v>21.35</v>
      </c>
      <c r="D1024" s="1">
        <v>15</v>
      </c>
      <c r="E1024" s="1">
        <v>0.1</v>
      </c>
      <c r="F1024">
        <f t="shared" si="15"/>
        <v>288.22500000000002</v>
      </c>
    </row>
    <row r="1025" spans="1:6" ht="13">
      <c r="A1025" s="1">
        <v>10635</v>
      </c>
      <c r="B1025" s="1">
        <v>22</v>
      </c>
      <c r="C1025" s="1">
        <v>21</v>
      </c>
      <c r="D1025" s="1">
        <v>40</v>
      </c>
      <c r="E1025" s="1">
        <v>0</v>
      </c>
      <c r="F1025">
        <f t="shared" si="15"/>
        <v>840</v>
      </c>
    </row>
    <row r="1026" spans="1:6" ht="13">
      <c r="A1026" s="1">
        <v>10636</v>
      </c>
      <c r="B1026" s="1">
        <v>4</v>
      </c>
      <c r="C1026" s="1">
        <v>22</v>
      </c>
      <c r="D1026" s="1">
        <v>25</v>
      </c>
      <c r="E1026" s="1">
        <v>0</v>
      </c>
      <c r="F1026">
        <f t="shared" si="15"/>
        <v>550</v>
      </c>
    </row>
    <row r="1027" spans="1:6" ht="13">
      <c r="A1027" s="1">
        <v>10636</v>
      </c>
      <c r="B1027" s="1">
        <v>58</v>
      </c>
      <c r="C1027" s="1">
        <v>13.25</v>
      </c>
      <c r="D1027" s="1">
        <v>6</v>
      </c>
      <c r="E1027" s="1">
        <v>0</v>
      </c>
      <c r="F1027">
        <f t="shared" ref="F1027:F1090" si="16">C1027*D1027*(1-E1027)</f>
        <v>79.5</v>
      </c>
    </row>
    <row r="1028" spans="1:6" ht="13">
      <c r="A1028" s="1">
        <v>10637</v>
      </c>
      <c r="B1028" s="1">
        <v>11</v>
      </c>
      <c r="C1028" s="1">
        <v>21</v>
      </c>
      <c r="D1028" s="1">
        <v>10</v>
      </c>
      <c r="E1028" s="1">
        <v>0</v>
      </c>
      <c r="F1028">
        <f t="shared" si="16"/>
        <v>210</v>
      </c>
    </row>
    <row r="1029" spans="1:6" ht="13">
      <c r="A1029" s="1">
        <v>10637</v>
      </c>
      <c r="B1029" s="1">
        <v>50</v>
      </c>
      <c r="C1029" s="1">
        <v>16.25</v>
      </c>
      <c r="D1029" s="1">
        <v>25</v>
      </c>
      <c r="E1029" s="1">
        <v>0.05</v>
      </c>
      <c r="F1029">
        <f t="shared" si="16"/>
        <v>385.9375</v>
      </c>
    </row>
    <row r="1030" spans="1:6" ht="13">
      <c r="A1030" s="1">
        <v>10637</v>
      </c>
      <c r="B1030" s="1">
        <v>56</v>
      </c>
      <c r="C1030" s="1">
        <v>38</v>
      </c>
      <c r="D1030" s="1">
        <v>60</v>
      </c>
      <c r="E1030" s="1">
        <v>0.05</v>
      </c>
      <c r="F1030">
        <f t="shared" si="16"/>
        <v>2166</v>
      </c>
    </row>
    <row r="1031" spans="1:6" ht="13">
      <c r="A1031" s="1">
        <v>10638</v>
      </c>
      <c r="B1031" s="1">
        <v>45</v>
      </c>
      <c r="C1031" s="1">
        <v>9.5</v>
      </c>
      <c r="D1031" s="1">
        <v>20</v>
      </c>
      <c r="E1031" s="1">
        <v>0</v>
      </c>
      <c r="F1031">
        <f t="shared" si="16"/>
        <v>190</v>
      </c>
    </row>
    <row r="1032" spans="1:6" ht="13">
      <c r="A1032" s="1">
        <v>10638</v>
      </c>
      <c r="B1032" s="1">
        <v>65</v>
      </c>
      <c r="C1032" s="1">
        <v>21.05</v>
      </c>
      <c r="D1032" s="1">
        <v>21</v>
      </c>
      <c r="E1032" s="1">
        <v>0</v>
      </c>
      <c r="F1032">
        <f t="shared" si="16"/>
        <v>442.05</v>
      </c>
    </row>
    <row r="1033" spans="1:6" ht="13">
      <c r="A1033" s="1">
        <v>10638</v>
      </c>
      <c r="B1033" s="1">
        <v>72</v>
      </c>
      <c r="C1033" s="1">
        <v>34.799999999999997</v>
      </c>
      <c r="D1033" s="1">
        <v>60</v>
      </c>
      <c r="E1033" s="1">
        <v>0</v>
      </c>
      <c r="F1033">
        <f t="shared" si="16"/>
        <v>2088</v>
      </c>
    </row>
    <row r="1034" spans="1:6" ht="13">
      <c r="A1034" s="1">
        <v>10639</v>
      </c>
      <c r="B1034" s="1">
        <v>18</v>
      </c>
      <c r="C1034" s="1">
        <v>62.5</v>
      </c>
      <c r="D1034" s="1">
        <v>8</v>
      </c>
      <c r="E1034" s="1">
        <v>0</v>
      </c>
      <c r="F1034">
        <f t="shared" si="16"/>
        <v>500</v>
      </c>
    </row>
    <row r="1035" spans="1:6" ht="13">
      <c r="A1035" s="1">
        <v>10640</v>
      </c>
      <c r="B1035" s="1">
        <v>69</v>
      </c>
      <c r="C1035" s="1">
        <v>36</v>
      </c>
      <c r="D1035" s="1">
        <v>20</v>
      </c>
      <c r="E1035" s="1">
        <v>0.25</v>
      </c>
      <c r="F1035">
        <f t="shared" si="16"/>
        <v>540</v>
      </c>
    </row>
    <row r="1036" spans="1:6" ht="13">
      <c r="A1036" s="1">
        <v>10640</v>
      </c>
      <c r="B1036" s="1">
        <v>70</v>
      </c>
      <c r="C1036" s="1">
        <v>15</v>
      </c>
      <c r="D1036" s="1">
        <v>15</v>
      </c>
      <c r="E1036" s="1">
        <v>0.25</v>
      </c>
      <c r="F1036">
        <f t="shared" si="16"/>
        <v>168.75</v>
      </c>
    </row>
    <row r="1037" spans="1:6" ht="13">
      <c r="A1037" s="1">
        <v>10641</v>
      </c>
      <c r="B1037" s="1">
        <v>2</v>
      </c>
      <c r="C1037" s="1">
        <v>19</v>
      </c>
      <c r="D1037" s="1">
        <v>50</v>
      </c>
      <c r="E1037" s="1">
        <v>0</v>
      </c>
      <c r="F1037">
        <f t="shared" si="16"/>
        <v>950</v>
      </c>
    </row>
    <row r="1038" spans="1:6" ht="13">
      <c r="A1038" s="1">
        <v>10641</v>
      </c>
      <c r="B1038" s="1">
        <v>40</v>
      </c>
      <c r="C1038" s="1">
        <v>18.399999999999999</v>
      </c>
      <c r="D1038" s="1">
        <v>60</v>
      </c>
      <c r="E1038" s="1">
        <v>0</v>
      </c>
      <c r="F1038">
        <f t="shared" si="16"/>
        <v>1104</v>
      </c>
    </row>
    <row r="1039" spans="1:6" ht="13">
      <c r="A1039" s="1">
        <v>10642</v>
      </c>
      <c r="B1039" s="1">
        <v>21</v>
      </c>
      <c r="C1039" s="1">
        <v>10</v>
      </c>
      <c r="D1039" s="1">
        <v>30</v>
      </c>
      <c r="E1039" s="1">
        <v>0.2</v>
      </c>
      <c r="F1039">
        <f t="shared" si="16"/>
        <v>240</v>
      </c>
    </row>
    <row r="1040" spans="1:6" ht="13">
      <c r="A1040" s="1">
        <v>10642</v>
      </c>
      <c r="B1040" s="1">
        <v>61</v>
      </c>
      <c r="C1040" s="1">
        <v>28.5</v>
      </c>
      <c r="D1040" s="1">
        <v>20</v>
      </c>
      <c r="E1040" s="1">
        <v>0.2</v>
      </c>
      <c r="F1040">
        <f t="shared" si="16"/>
        <v>456</v>
      </c>
    </row>
    <row r="1041" spans="1:6" ht="13">
      <c r="A1041" s="1">
        <v>10643</v>
      </c>
      <c r="B1041" s="1">
        <v>28</v>
      </c>
      <c r="C1041" s="1">
        <v>45.6</v>
      </c>
      <c r="D1041" s="1">
        <v>15</v>
      </c>
      <c r="E1041" s="1">
        <v>0.25</v>
      </c>
      <c r="F1041">
        <f t="shared" si="16"/>
        <v>513</v>
      </c>
    </row>
    <row r="1042" spans="1:6" ht="13">
      <c r="A1042" s="1">
        <v>10643</v>
      </c>
      <c r="B1042" s="1">
        <v>39</v>
      </c>
      <c r="C1042" s="1">
        <v>18</v>
      </c>
      <c r="D1042" s="1">
        <v>21</v>
      </c>
      <c r="E1042" s="1">
        <v>0.25</v>
      </c>
      <c r="F1042">
        <f t="shared" si="16"/>
        <v>283.5</v>
      </c>
    </row>
    <row r="1043" spans="1:6" ht="13">
      <c r="A1043" s="1">
        <v>10643</v>
      </c>
      <c r="B1043" s="1">
        <v>46</v>
      </c>
      <c r="C1043" s="1">
        <v>12</v>
      </c>
      <c r="D1043" s="1">
        <v>2</v>
      </c>
      <c r="E1043" s="1">
        <v>0.25</v>
      </c>
      <c r="F1043">
        <f t="shared" si="16"/>
        <v>18</v>
      </c>
    </row>
    <row r="1044" spans="1:6" ht="13">
      <c r="A1044" s="1">
        <v>10644</v>
      </c>
      <c r="B1044" s="1">
        <v>18</v>
      </c>
      <c r="C1044" s="1">
        <v>62.5</v>
      </c>
      <c r="D1044" s="1">
        <v>4</v>
      </c>
      <c r="E1044" s="1">
        <v>0.1</v>
      </c>
      <c r="F1044">
        <f t="shared" si="16"/>
        <v>225</v>
      </c>
    </row>
    <row r="1045" spans="1:6" ht="13">
      <c r="A1045" s="1">
        <v>10644</v>
      </c>
      <c r="B1045" s="1">
        <v>43</v>
      </c>
      <c r="C1045" s="1">
        <v>46</v>
      </c>
      <c r="D1045" s="1">
        <v>20</v>
      </c>
      <c r="E1045" s="1">
        <v>0</v>
      </c>
      <c r="F1045">
        <f t="shared" si="16"/>
        <v>920</v>
      </c>
    </row>
    <row r="1046" spans="1:6" ht="13">
      <c r="A1046" s="1">
        <v>10644</v>
      </c>
      <c r="B1046" s="1">
        <v>46</v>
      </c>
      <c r="C1046" s="1">
        <v>12</v>
      </c>
      <c r="D1046" s="1">
        <v>21</v>
      </c>
      <c r="E1046" s="1">
        <v>0.1</v>
      </c>
      <c r="F1046">
        <f t="shared" si="16"/>
        <v>226.8</v>
      </c>
    </row>
    <row r="1047" spans="1:6" ht="13">
      <c r="A1047" s="1">
        <v>10645</v>
      </c>
      <c r="B1047" s="1">
        <v>18</v>
      </c>
      <c r="C1047" s="1">
        <v>62.5</v>
      </c>
      <c r="D1047" s="1">
        <v>20</v>
      </c>
      <c r="E1047" s="1">
        <v>0</v>
      </c>
      <c r="F1047">
        <f t="shared" si="16"/>
        <v>1250</v>
      </c>
    </row>
    <row r="1048" spans="1:6" ht="13">
      <c r="A1048" s="1">
        <v>10645</v>
      </c>
      <c r="B1048" s="1">
        <v>36</v>
      </c>
      <c r="C1048" s="1">
        <v>19</v>
      </c>
      <c r="D1048" s="1">
        <v>15</v>
      </c>
      <c r="E1048" s="1">
        <v>0</v>
      </c>
      <c r="F1048">
        <f t="shared" si="16"/>
        <v>285</v>
      </c>
    </row>
    <row r="1049" spans="1:6" ht="13">
      <c r="A1049" s="1">
        <v>10646</v>
      </c>
      <c r="B1049" s="1">
        <v>1</v>
      </c>
      <c r="C1049" s="1">
        <v>18</v>
      </c>
      <c r="D1049" s="1">
        <v>15</v>
      </c>
      <c r="E1049" s="1">
        <v>0.25</v>
      </c>
      <c r="F1049">
        <f t="shared" si="16"/>
        <v>202.5</v>
      </c>
    </row>
    <row r="1050" spans="1:6" ht="13">
      <c r="A1050" s="1">
        <v>10646</v>
      </c>
      <c r="B1050" s="1">
        <v>10</v>
      </c>
      <c r="C1050" s="1">
        <v>31</v>
      </c>
      <c r="D1050" s="1">
        <v>18</v>
      </c>
      <c r="E1050" s="1">
        <v>0.25</v>
      </c>
      <c r="F1050">
        <f t="shared" si="16"/>
        <v>418.5</v>
      </c>
    </row>
    <row r="1051" spans="1:6" ht="13">
      <c r="A1051" s="1">
        <v>10646</v>
      </c>
      <c r="B1051" s="1">
        <v>71</v>
      </c>
      <c r="C1051" s="1">
        <v>21.5</v>
      </c>
      <c r="D1051" s="1">
        <v>30</v>
      </c>
      <c r="E1051" s="1">
        <v>0.25</v>
      </c>
      <c r="F1051">
        <f t="shared" si="16"/>
        <v>483.75</v>
      </c>
    </row>
    <row r="1052" spans="1:6" ht="13">
      <c r="A1052" s="1">
        <v>10646</v>
      </c>
      <c r="B1052" s="1">
        <v>77</v>
      </c>
      <c r="C1052" s="1">
        <v>13</v>
      </c>
      <c r="D1052" s="1">
        <v>35</v>
      </c>
      <c r="E1052" s="1">
        <v>0.25</v>
      </c>
      <c r="F1052">
        <f t="shared" si="16"/>
        <v>341.25</v>
      </c>
    </row>
    <row r="1053" spans="1:6" ht="13">
      <c r="A1053" s="1">
        <v>10647</v>
      </c>
      <c r="B1053" s="1">
        <v>19</v>
      </c>
      <c r="C1053" s="1">
        <v>9.1999999999999993</v>
      </c>
      <c r="D1053" s="1">
        <v>30</v>
      </c>
      <c r="E1053" s="1">
        <v>0</v>
      </c>
      <c r="F1053">
        <f t="shared" si="16"/>
        <v>276</v>
      </c>
    </row>
    <row r="1054" spans="1:6" ht="13">
      <c r="A1054" s="1">
        <v>10647</v>
      </c>
      <c r="B1054" s="1">
        <v>39</v>
      </c>
      <c r="C1054" s="1">
        <v>18</v>
      </c>
      <c r="D1054" s="1">
        <v>20</v>
      </c>
      <c r="E1054" s="1">
        <v>0</v>
      </c>
      <c r="F1054">
        <f t="shared" si="16"/>
        <v>360</v>
      </c>
    </row>
    <row r="1055" spans="1:6" ht="13">
      <c r="A1055" s="1">
        <v>10648</v>
      </c>
      <c r="B1055" s="1">
        <v>22</v>
      </c>
      <c r="C1055" s="1">
        <v>21</v>
      </c>
      <c r="D1055" s="1">
        <v>15</v>
      </c>
      <c r="E1055" s="1">
        <v>0</v>
      </c>
      <c r="F1055">
        <f t="shared" si="16"/>
        <v>315</v>
      </c>
    </row>
    <row r="1056" spans="1:6" ht="13">
      <c r="A1056" s="1">
        <v>10648</v>
      </c>
      <c r="B1056" s="1">
        <v>24</v>
      </c>
      <c r="C1056" s="1">
        <v>4.5</v>
      </c>
      <c r="D1056" s="1">
        <v>15</v>
      </c>
      <c r="E1056" s="1">
        <v>0.15</v>
      </c>
      <c r="F1056">
        <f t="shared" si="16"/>
        <v>57.375</v>
      </c>
    </row>
    <row r="1057" spans="1:6" ht="13">
      <c r="A1057" s="1">
        <v>10649</v>
      </c>
      <c r="B1057" s="1">
        <v>28</v>
      </c>
      <c r="C1057" s="1">
        <v>45.6</v>
      </c>
      <c r="D1057" s="1">
        <v>20</v>
      </c>
      <c r="E1057" s="1">
        <v>0</v>
      </c>
      <c r="F1057">
        <f t="shared" si="16"/>
        <v>912</v>
      </c>
    </row>
    <row r="1058" spans="1:6" ht="13">
      <c r="A1058" s="1">
        <v>10649</v>
      </c>
      <c r="B1058" s="1">
        <v>72</v>
      </c>
      <c r="C1058" s="1">
        <v>34.799999999999997</v>
      </c>
      <c r="D1058" s="1">
        <v>15</v>
      </c>
      <c r="E1058" s="1">
        <v>0</v>
      </c>
      <c r="F1058">
        <f t="shared" si="16"/>
        <v>522</v>
      </c>
    </row>
    <row r="1059" spans="1:6" ht="13">
      <c r="A1059" s="1">
        <v>10650</v>
      </c>
      <c r="B1059" s="1">
        <v>30</v>
      </c>
      <c r="C1059" s="1">
        <v>25.89</v>
      </c>
      <c r="D1059" s="1">
        <v>30</v>
      </c>
      <c r="E1059" s="1">
        <v>0</v>
      </c>
      <c r="F1059">
        <f t="shared" si="16"/>
        <v>776.7</v>
      </c>
    </row>
    <row r="1060" spans="1:6" ht="13">
      <c r="A1060" s="1">
        <v>10650</v>
      </c>
      <c r="B1060" s="1">
        <v>53</v>
      </c>
      <c r="C1060" s="1">
        <v>32.799999999999997</v>
      </c>
      <c r="D1060" s="1">
        <v>25</v>
      </c>
      <c r="E1060" s="1">
        <v>0.05</v>
      </c>
      <c r="F1060">
        <f t="shared" si="16"/>
        <v>778.99999999999989</v>
      </c>
    </row>
    <row r="1061" spans="1:6" ht="13">
      <c r="A1061" s="1">
        <v>10650</v>
      </c>
      <c r="B1061" s="1">
        <v>54</v>
      </c>
      <c r="C1061" s="1">
        <v>7.45</v>
      </c>
      <c r="D1061" s="1">
        <v>30</v>
      </c>
      <c r="E1061" s="1">
        <v>0</v>
      </c>
      <c r="F1061">
        <f t="shared" si="16"/>
        <v>223.5</v>
      </c>
    </row>
    <row r="1062" spans="1:6" ht="13">
      <c r="A1062" s="1">
        <v>10651</v>
      </c>
      <c r="B1062" s="1">
        <v>19</v>
      </c>
      <c r="C1062" s="1">
        <v>9.1999999999999993</v>
      </c>
      <c r="D1062" s="1">
        <v>12</v>
      </c>
      <c r="E1062" s="1">
        <v>0.25</v>
      </c>
      <c r="F1062">
        <f t="shared" si="16"/>
        <v>82.8</v>
      </c>
    </row>
    <row r="1063" spans="1:6" ht="13">
      <c r="A1063" s="1">
        <v>10651</v>
      </c>
      <c r="B1063" s="1">
        <v>22</v>
      </c>
      <c r="C1063" s="1">
        <v>21</v>
      </c>
      <c r="D1063" s="1">
        <v>20</v>
      </c>
      <c r="E1063" s="1">
        <v>0.25</v>
      </c>
      <c r="F1063">
        <f t="shared" si="16"/>
        <v>315</v>
      </c>
    </row>
    <row r="1064" spans="1:6" ht="13">
      <c r="A1064" s="1">
        <v>10652</v>
      </c>
      <c r="B1064" s="1">
        <v>30</v>
      </c>
      <c r="C1064" s="1">
        <v>25.89</v>
      </c>
      <c r="D1064" s="1">
        <v>2</v>
      </c>
      <c r="E1064" s="1">
        <v>0.25</v>
      </c>
      <c r="F1064">
        <f t="shared" si="16"/>
        <v>38.835000000000001</v>
      </c>
    </row>
    <row r="1065" spans="1:6" ht="13">
      <c r="A1065" s="1">
        <v>10652</v>
      </c>
      <c r="B1065" s="1">
        <v>42</v>
      </c>
      <c r="C1065" s="1">
        <v>14</v>
      </c>
      <c r="D1065" s="1">
        <v>20</v>
      </c>
      <c r="E1065" s="1">
        <v>0</v>
      </c>
      <c r="F1065">
        <f t="shared" si="16"/>
        <v>280</v>
      </c>
    </row>
    <row r="1066" spans="1:6" ht="13">
      <c r="A1066" s="1">
        <v>10653</v>
      </c>
      <c r="B1066" s="1">
        <v>16</v>
      </c>
      <c r="C1066" s="1">
        <v>17.45</v>
      </c>
      <c r="D1066" s="1">
        <v>30</v>
      </c>
      <c r="E1066" s="1">
        <v>0.1</v>
      </c>
      <c r="F1066">
        <f t="shared" si="16"/>
        <v>471.15000000000003</v>
      </c>
    </row>
    <row r="1067" spans="1:6" ht="13">
      <c r="A1067" s="1">
        <v>10653</v>
      </c>
      <c r="B1067" s="1">
        <v>60</v>
      </c>
      <c r="C1067" s="1">
        <v>34</v>
      </c>
      <c r="D1067" s="1">
        <v>20</v>
      </c>
      <c r="E1067" s="1">
        <v>0.1</v>
      </c>
      <c r="F1067">
        <f t="shared" si="16"/>
        <v>612</v>
      </c>
    </row>
    <row r="1068" spans="1:6" ht="13">
      <c r="A1068" s="1">
        <v>10654</v>
      </c>
      <c r="B1068" s="1">
        <v>4</v>
      </c>
      <c r="C1068" s="1">
        <v>22</v>
      </c>
      <c r="D1068" s="1">
        <v>12</v>
      </c>
      <c r="E1068" s="1">
        <v>0.1</v>
      </c>
      <c r="F1068">
        <f t="shared" si="16"/>
        <v>237.6</v>
      </c>
    </row>
    <row r="1069" spans="1:6" ht="13">
      <c r="A1069" s="1">
        <v>10654</v>
      </c>
      <c r="B1069" s="1">
        <v>39</v>
      </c>
      <c r="C1069" s="1">
        <v>18</v>
      </c>
      <c r="D1069" s="1">
        <v>20</v>
      </c>
      <c r="E1069" s="1">
        <v>0.1</v>
      </c>
      <c r="F1069">
        <f t="shared" si="16"/>
        <v>324</v>
      </c>
    </row>
    <row r="1070" spans="1:6" ht="13">
      <c r="A1070" s="1">
        <v>10654</v>
      </c>
      <c r="B1070" s="1">
        <v>54</v>
      </c>
      <c r="C1070" s="1">
        <v>7.45</v>
      </c>
      <c r="D1070" s="1">
        <v>6</v>
      </c>
      <c r="E1070" s="1">
        <v>0.1</v>
      </c>
      <c r="F1070">
        <f t="shared" si="16"/>
        <v>40.230000000000004</v>
      </c>
    </row>
    <row r="1071" spans="1:6" ht="13">
      <c r="A1071" s="1">
        <v>10655</v>
      </c>
      <c r="B1071" s="1">
        <v>41</v>
      </c>
      <c r="C1071" s="1">
        <v>9.65</v>
      </c>
      <c r="D1071" s="1">
        <v>20</v>
      </c>
      <c r="E1071" s="1">
        <v>0.2</v>
      </c>
      <c r="F1071">
        <f t="shared" si="16"/>
        <v>154.4</v>
      </c>
    </row>
    <row r="1072" spans="1:6" ht="13">
      <c r="A1072" s="1">
        <v>10656</v>
      </c>
      <c r="B1072" s="1">
        <v>14</v>
      </c>
      <c r="C1072" s="1">
        <v>23.25</v>
      </c>
      <c r="D1072" s="1">
        <v>3</v>
      </c>
      <c r="E1072" s="1">
        <v>0.1</v>
      </c>
      <c r="F1072">
        <f t="shared" si="16"/>
        <v>62.774999999999999</v>
      </c>
    </row>
    <row r="1073" spans="1:6" ht="13">
      <c r="A1073" s="1">
        <v>10656</v>
      </c>
      <c r="B1073" s="1">
        <v>44</v>
      </c>
      <c r="C1073" s="1">
        <v>19.45</v>
      </c>
      <c r="D1073" s="1">
        <v>28</v>
      </c>
      <c r="E1073" s="1">
        <v>0.1</v>
      </c>
      <c r="F1073">
        <f t="shared" si="16"/>
        <v>490.14000000000004</v>
      </c>
    </row>
    <row r="1074" spans="1:6" ht="13">
      <c r="A1074" s="1">
        <v>10656</v>
      </c>
      <c r="B1074" s="1">
        <v>47</v>
      </c>
      <c r="C1074" s="1">
        <v>9.5</v>
      </c>
      <c r="D1074" s="1">
        <v>6</v>
      </c>
      <c r="E1074" s="1">
        <v>0.1</v>
      </c>
      <c r="F1074">
        <f t="shared" si="16"/>
        <v>51.300000000000004</v>
      </c>
    </row>
    <row r="1075" spans="1:6" ht="13">
      <c r="A1075" s="1">
        <v>10657</v>
      </c>
      <c r="B1075" s="1">
        <v>15</v>
      </c>
      <c r="C1075" s="1">
        <v>15.5</v>
      </c>
      <c r="D1075" s="1">
        <v>50</v>
      </c>
      <c r="E1075" s="1">
        <v>0</v>
      </c>
      <c r="F1075">
        <f t="shared" si="16"/>
        <v>775</v>
      </c>
    </row>
    <row r="1076" spans="1:6" ht="13">
      <c r="A1076" s="1">
        <v>10657</v>
      </c>
      <c r="B1076" s="1">
        <v>41</v>
      </c>
      <c r="C1076" s="1">
        <v>9.65</v>
      </c>
      <c r="D1076" s="1">
        <v>24</v>
      </c>
      <c r="E1076" s="1">
        <v>0</v>
      </c>
      <c r="F1076">
        <f t="shared" si="16"/>
        <v>231.60000000000002</v>
      </c>
    </row>
    <row r="1077" spans="1:6" ht="13">
      <c r="A1077" s="1">
        <v>10657</v>
      </c>
      <c r="B1077" s="1">
        <v>46</v>
      </c>
      <c r="C1077" s="1">
        <v>12</v>
      </c>
      <c r="D1077" s="1">
        <v>45</v>
      </c>
      <c r="E1077" s="1">
        <v>0</v>
      </c>
      <c r="F1077">
        <f t="shared" si="16"/>
        <v>540</v>
      </c>
    </row>
    <row r="1078" spans="1:6" ht="13">
      <c r="A1078" s="1">
        <v>10657</v>
      </c>
      <c r="B1078" s="1">
        <v>47</v>
      </c>
      <c r="C1078" s="1">
        <v>9.5</v>
      </c>
      <c r="D1078" s="1">
        <v>10</v>
      </c>
      <c r="E1078" s="1">
        <v>0</v>
      </c>
      <c r="F1078">
        <f t="shared" si="16"/>
        <v>95</v>
      </c>
    </row>
    <row r="1079" spans="1:6" ht="13">
      <c r="A1079" s="1">
        <v>10657</v>
      </c>
      <c r="B1079" s="1">
        <v>56</v>
      </c>
      <c r="C1079" s="1">
        <v>38</v>
      </c>
      <c r="D1079" s="1">
        <v>45</v>
      </c>
      <c r="E1079" s="1">
        <v>0</v>
      </c>
      <c r="F1079">
        <f t="shared" si="16"/>
        <v>1710</v>
      </c>
    </row>
    <row r="1080" spans="1:6" ht="13">
      <c r="A1080" s="1">
        <v>10657</v>
      </c>
      <c r="B1080" s="1">
        <v>60</v>
      </c>
      <c r="C1080" s="1">
        <v>34</v>
      </c>
      <c r="D1080" s="1">
        <v>30</v>
      </c>
      <c r="E1080" s="1">
        <v>0</v>
      </c>
      <c r="F1080">
        <f t="shared" si="16"/>
        <v>1020</v>
      </c>
    </row>
    <row r="1081" spans="1:6" ht="13">
      <c r="A1081" s="1">
        <v>10658</v>
      </c>
      <c r="B1081" s="1">
        <v>21</v>
      </c>
      <c r="C1081" s="1">
        <v>10</v>
      </c>
      <c r="D1081" s="1">
        <v>60</v>
      </c>
      <c r="E1081" s="1">
        <v>0</v>
      </c>
      <c r="F1081">
        <f t="shared" si="16"/>
        <v>600</v>
      </c>
    </row>
    <row r="1082" spans="1:6" ht="13">
      <c r="A1082" s="1">
        <v>10658</v>
      </c>
      <c r="B1082" s="1">
        <v>40</v>
      </c>
      <c r="C1082" s="1">
        <v>18.399999999999999</v>
      </c>
      <c r="D1082" s="1">
        <v>70</v>
      </c>
      <c r="E1082" s="1">
        <v>0.05</v>
      </c>
      <c r="F1082">
        <f t="shared" si="16"/>
        <v>1223.5999999999999</v>
      </c>
    </row>
    <row r="1083" spans="1:6" ht="13">
      <c r="A1083" s="1">
        <v>10658</v>
      </c>
      <c r="B1083" s="1">
        <v>60</v>
      </c>
      <c r="C1083" s="1">
        <v>34</v>
      </c>
      <c r="D1083" s="1">
        <v>55</v>
      </c>
      <c r="E1083" s="1">
        <v>0.05</v>
      </c>
      <c r="F1083">
        <f t="shared" si="16"/>
        <v>1776.5</v>
      </c>
    </row>
    <row r="1084" spans="1:6" ht="13">
      <c r="A1084" s="1">
        <v>10658</v>
      </c>
      <c r="B1084" s="1">
        <v>77</v>
      </c>
      <c r="C1084" s="1">
        <v>13</v>
      </c>
      <c r="D1084" s="1">
        <v>70</v>
      </c>
      <c r="E1084" s="1">
        <v>0.05</v>
      </c>
      <c r="F1084">
        <f t="shared" si="16"/>
        <v>864.5</v>
      </c>
    </row>
    <row r="1085" spans="1:6" ht="13">
      <c r="A1085" s="1">
        <v>10659</v>
      </c>
      <c r="B1085" s="1">
        <v>31</v>
      </c>
      <c r="C1085" s="1">
        <v>12.5</v>
      </c>
      <c r="D1085" s="1">
        <v>20</v>
      </c>
      <c r="E1085" s="1">
        <v>0.05</v>
      </c>
      <c r="F1085">
        <f t="shared" si="16"/>
        <v>237.5</v>
      </c>
    </row>
    <row r="1086" spans="1:6" ht="13">
      <c r="A1086" s="1">
        <v>10659</v>
      </c>
      <c r="B1086" s="1">
        <v>40</v>
      </c>
      <c r="C1086" s="1">
        <v>18.399999999999999</v>
      </c>
      <c r="D1086" s="1">
        <v>24</v>
      </c>
      <c r="E1086" s="1">
        <v>0.05</v>
      </c>
      <c r="F1086">
        <f t="shared" si="16"/>
        <v>419.51999999999992</v>
      </c>
    </row>
    <row r="1087" spans="1:6" ht="13">
      <c r="A1087" s="1">
        <v>10659</v>
      </c>
      <c r="B1087" s="1">
        <v>70</v>
      </c>
      <c r="C1087" s="1">
        <v>15</v>
      </c>
      <c r="D1087" s="1">
        <v>40</v>
      </c>
      <c r="E1087" s="1">
        <v>0.05</v>
      </c>
      <c r="F1087">
        <f t="shared" si="16"/>
        <v>570</v>
      </c>
    </row>
    <row r="1088" spans="1:6" ht="13">
      <c r="A1088" s="1">
        <v>10660</v>
      </c>
      <c r="B1088" s="1">
        <v>20</v>
      </c>
      <c r="C1088" s="1">
        <v>81</v>
      </c>
      <c r="D1088" s="1">
        <v>21</v>
      </c>
      <c r="E1088" s="1">
        <v>0</v>
      </c>
      <c r="F1088">
        <f t="shared" si="16"/>
        <v>1701</v>
      </c>
    </row>
    <row r="1089" spans="1:6" ht="13">
      <c r="A1089" s="1">
        <v>10661</v>
      </c>
      <c r="B1089" s="1">
        <v>39</v>
      </c>
      <c r="C1089" s="1">
        <v>18</v>
      </c>
      <c r="D1089" s="1">
        <v>3</v>
      </c>
      <c r="E1089" s="1">
        <v>0.2</v>
      </c>
      <c r="F1089">
        <f t="shared" si="16"/>
        <v>43.2</v>
      </c>
    </row>
    <row r="1090" spans="1:6" ht="13">
      <c r="A1090" s="1">
        <v>10661</v>
      </c>
      <c r="B1090" s="1">
        <v>58</v>
      </c>
      <c r="C1090" s="1">
        <v>13.25</v>
      </c>
      <c r="D1090" s="1">
        <v>49</v>
      </c>
      <c r="E1090" s="1">
        <v>0.2</v>
      </c>
      <c r="F1090">
        <f t="shared" si="16"/>
        <v>519.4</v>
      </c>
    </row>
    <row r="1091" spans="1:6" ht="13">
      <c r="A1091" s="1">
        <v>10662</v>
      </c>
      <c r="B1091" s="1">
        <v>68</v>
      </c>
      <c r="C1091" s="1">
        <v>12.5</v>
      </c>
      <c r="D1091" s="1">
        <v>10</v>
      </c>
      <c r="E1091" s="1">
        <v>0</v>
      </c>
      <c r="F1091">
        <f t="shared" ref="F1091:F1154" si="17">C1091*D1091*(1-E1091)</f>
        <v>125</v>
      </c>
    </row>
    <row r="1092" spans="1:6" ht="13">
      <c r="A1092" s="1">
        <v>10663</v>
      </c>
      <c r="B1092" s="1">
        <v>40</v>
      </c>
      <c r="C1092" s="1">
        <v>18.399999999999999</v>
      </c>
      <c r="D1092" s="1">
        <v>30</v>
      </c>
      <c r="E1092" s="1">
        <v>0.05</v>
      </c>
      <c r="F1092">
        <f t="shared" si="17"/>
        <v>524.4</v>
      </c>
    </row>
    <row r="1093" spans="1:6" ht="13">
      <c r="A1093" s="1">
        <v>10663</v>
      </c>
      <c r="B1093" s="1">
        <v>42</v>
      </c>
      <c r="C1093" s="1">
        <v>14</v>
      </c>
      <c r="D1093" s="1">
        <v>30</v>
      </c>
      <c r="E1093" s="1">
        <v>0.05</v>
      </c>
      <c r="F1093">
        <f t="shared" si="17"/>
        <v>399</v>
      </c>
    </row>
    <row r="1094" spans="1:6" ht="13">
      <c r="A1094" s="1">
        <v>10663</v>
      </c>
      <c r="B1094" s="1">
        <v>51</v>
      </c>
      <c r="C1094" s="1">
        <v>53</v>
      </c>
      <c r="D1094" s="1">
        <v>20</v>
      </c>
      <c r="E1094" s="1">
        <v>0.05</v>
      </c>
      <c r="F1094">
        <f t="shared" si="17"/>
        <v>1007</v>
      </c>
    </row>
    <row r="1095" spans="1:6" ht="13">
      <c r="A1095" s="1">
        <v>10664</v>
      </c>
      <c r="B1095" s="1">
        <v>10</v>
      </c>
      <c r="C1095" s="1">
        <v>31</v>
      </c>
      <c r="D1095" s="1">
        <v>24</v>
      </c>
      <c r="E1095" s="1">
        <v>0.15</v>
      </c>
      <c r="F1095">
        <f t="shared" si="17"/>
        <v>632.4</v>
      </c>
    </row>
    <row r="1096" spans="1:6" ht="13">
      <c r="A1096" s="1">
        <v>10664</v>
      </c>
      <c r="B1096" s="1">
        <v>56</v>
      </c>
      <c r="C1096" s="1">
        <v>38</v>
      </c>
      <c r="D1096" s="1">
        <v>12</v>
      </c>
      <c r="E1096" s="1">
        <v>0.15</v>
      </c>
      <c r="F1096">
        <f t="shared" si="17"/>
        <v>387.59999999999997</v>
      </c>
    </row>
    <row r="1097" spans="1:6" ht="13">
      <c r="A1097" s="1">
        <v>10664</v>
      </c>
      <c r="B1097" s="1">
        <v>65</v>
      </c>
      <c r="C1097" s="1">
        <v>21.05</v>
      </c>
      <c r="D1097" s="1">
        <v>15</v>
      </c>
      <c r="E1097" s="1">
        <v>0.15</v>
      </c>
      <c r="F1097">
        <f t="shared" si="17"/>
        <v>268.38749999999999</v>
      </c>
    </row>
    <row r="1098" spans="1:6" ht="13">
      <c r="A1098" s="1">
        <v>10665</v>
      </c>
      <c r="B1098" s="1">
        <v>51</v>
      </c>
      <c r="C1098" s="1">
        <v>53</v>
      </c>
      <c r="D1098" s="1">
        <v>20</v>
      </c>
      <c r="E1098" s="1">
        <v>0</v>
      </c>
      <c r="F1098">
        <f t="shared" si="17"/>
        <v>1060</v>
      </c>
    </row>
    <row r="1099" spans="1:6" ht="13">
      <c r="A1099" s="1">
        <v>10665</v>
      </c>
      <c r="B1099" s="1">
        <v>59</v>
      </c>
      <c r="C1099" s="1">
        <v>55</v>
      </c>
      <c r="D1099" s="1">
        <v>1</v>
      </c>
      <c r="E1099" s="1">
        <v>0</v>
      </c>
      <c r="F1099">
        <f t="shared" si="17"/>
        <v>55</v>
      </c>
    </row>
    <row r="1100" spans="1:6" ht="13">
      <c r="A1100" s="1">
        <v>10665</v>
      </c>
      <c r="B1100" s="1">
        <v>76</v>
      </c>
      <c r="C1100" s="1">
        <v>18</v>
      </c>
      <c r="D1100" s="1">
        <v>10</v>
      </c>
      <c r="E1100" s="1">
        <v>0</v>
      </c>
      <c r="F1100">
        <f t="shared" si="17"/>
        <v>180</v>
      </c>
    </row>
    <row r="1101" spans="1:6" ht="13">
      <c r="A1101" s="1">
        <v>10666</v>
      </c>
      <c r="B1101" s="1">
        <v>29</v>
      </c>
      <c r="C1101" s="1">
        <v>123.79</v>
      </c>
      <c r="D1101" s="1">
        <v>36</v>
      </c>
      <c r="E1101" s="1">
        <v>0</v>
      </c>
      <c r="F1101">
        <f t="shared" si="17"/>
        <v>4456.4400000000005</v>
      </c>
    </row>
    <row r="1102" spans="1:6" ht="13">
      <c r="A1102" s="1">
        <v>10666</v>
      </c>
      <c r="B1102" s="1">
        <v>65</v>
      </c>
      <c r="C1102" s="1">
        <v>21.05</v>
      </c>
      <c r="D1102" s="1">
        <v>10</v>
      </c>
      <c r="E1102" s="1">
        <v>0</v>
      </c>
      <c r="F1102">
        <f t="shared" si="17"/>
        <v>210.5</v>
      </c>
    </row>
    <row r="1103" spans="1:6" ht="13">
      <c r="A1103" s="1">
        <v>10667</v>
      </c>
      <c r="B1103" s="1">
        <v>69</v>
      </c>
      <c r="C1103" s="1">
        <v>36</v>
      </c>
      <c r="D1103" s="1">
        <v>45</v>
      </c>
      <c r="E1103" s="1">
        <v>0.2</v>
      </c>
      <c r="F1103">
        <f t="shared" si="17"/>
        <v>1296</v>
      </c>
    </row>
    <row r="1104" spans="1:6" ht="13">
      <c r="A1104" s="1">
        <v>10667</v>
      </c>
      <c r="B1104" s="1">
        <v>71</v>
      </c>
      <c r="C1104" s="1">
        <v>21.5</v>
      </c>
      <c r="D1104" s="1">
        <v>14</v>
      </c>
      <c r="E1104" s="1">
        <v>0.2</v>
      </c>
      <c r="F1104">
        <f t="shared" si="17"/>
        <v>240.8</v>
      </c>
    </row>
    <row r="1105" spans="1:6" ht="13">
      <c r="A1105" s="1">
        <v>10668</v>
      </c>
      <c r="B1105" s="1">
        <v>31</v>
      </c>
      <c r="C1105" s="1">
        <v>12.5</v>
      </c>
      <c r="D1105" s="1">
        <v>8</v>
      </c>
      <c r="E1105" s="1">
        <v>0.1</v>
      </c>
      <c r="F1105">
        <f t="shared" si="17"/>
        <v>90</v>
      </c>
    </row>
    <row r="1106" spans="1:6" ht="13">
      <c r="A1106" s="1">
        <v>10668</v>
      </c>
      <c r="B1106" s="1">
        <v>55</v>
      </c>
      <c r="C1106" s="1">
        <v>24</v>
      </c>
      <c r="D1106" s="1">
        <v>4</v>
      </c>
      <c r="E1106" s="1">
        <v>0.1</v>
      </c>
      <c r="F1106">
        <f t="shared" si="17"/>
        <v>86.4</v>
      </c>
    </row>
    <row r="1107" spans="1:6" ht="13">
      <c r="A1107" s="1">
        <v>10668</v>
      </c>
      <c r="B1107" s="1">
        <v>64</v>
      </c>
      <c r="C1107" s="1">
        <v>33.25</v>
      </c>
      <c r="D1107" s="1">
        <v>15</v>
      </c>
      <c r="E1107" s="1">
        <v>0.1</v>
      </c>
      <c r="F1107">
        <f t="shared" si="17"/>
        <v>448.875</v>
      </c>
    </row>
    <row r="1108" spans="1:6" ht="13">
      <c r="A1108" s="1">
        <v>10669</v>
      </c>
      <c r="B1108" s="1">
        <v>36</v>
      </c>
      <c r="C1108" s="1">
        <v>19</v>
      </c>
      <c r="D1108" s="1">
        <v>30</v>
      </c>
      <c r="E1108" s="1">
        <v>0</v>
      </c>
      <c r="F1108">
        <f t="shared" si="17"/>
        <v>570</v>
      </c>
    </row>
    <row r="1109" spans="1:6" ht="13">
      <c r="A1109" s="1">
        <v>10670</v>
      </c>
      <c r="B1109" s="1">
        <v>23</v>
      </c>
      <c r="C1109" s="1">
        <v>9</v>
      </c>
      <c r="D1109" s="1">
        <v>32</v>
      </c>
      <c r="E1109" s="1">
        <v>0</v>
      </c>
      <c r="F1109">
        <f t="shared" si="17"/>
        <v>288</v>
      </c>
    </row>
    <row r="1110" spans="1:6" ht="13">
      <c r="A1110" s="1">
        <v>10670</v>
      </c>
      <c r="B1110" s="1">
        <v>46</v>
      </c>
      <c r="C1110" s="1">
        <v>12</v>
      </c>
      <c r="D1110" s="1">
        <v>60</v>
      </c>
      <c r="E1110" s="1">
        <v>0</v>
      </c>
      <c r="F1110">
        <f t="shared" si="17"/>
        <v>720</v>
      </c>
    </row>
    <row r="1111" spans="1:6" ht="13">
      <c r="A1111" s="1">
        <v>10670</v>
      </c>
      <c r="B1111" s="1">
        <v>67</v>
      </c>
      <c r="C1111" s="1">
        <v>14</v>
      </c>
      <c r="D1111" s="1">
        <v>25</v>
      </c>
      <c r="E1111" s="1">
        <v>0</v>
      </c>
      <c r="F1111">
        <f t="shared" si="17"/>
        <v>350</v>
      </c>
    </row>
    <row r="1112" spans="1:6" ht="13">
      <c r="A1112" s="1">
        <v>10670</v>
      </c>
      <c r="B1112" s="1">
        <v>73</v>
      </c>
      <c r="C1112" s="1">
        <v>15</v>
      </c>
      <c r="D1112" s="1">
        <v>50</v>
      </c>
      <c r="E1112" s="1">
        <v>0</v>
      </c>
      <c r="F1112">
        <f t="shared" si="17"/>
        <v>750</v>
      </c>
    </row>
    <row r="1113" spans="1:6" ht="13">
      <c r="A1113" s="1">
        <v>10670</v>
      </c>
      <c r="B1113" s="1">
        <v>75</v>
      </c>
      <c r="C1113" s="1">
        <v>7.75</v>
      </c>
      <c r="D1113" s="1">
        <v>25</v>
      </c>
      <c r="E1113" s="1">
        <v>0</v>
      </c>
      <c r="F1113">
        <f t="shared" si="17"/>
        <v>193.75</v>
      </c>
    </row>
    <row r="1114" spans="1:6" ht="13">
      <c r="A1114" s="1">
        <v>10671</v>
      </c>
      <c r="B1114" s="1">
        <v>16</v>
      </c>
      <c r="C1114" s="1">
        <v>17.45</v>
      </c>
      <c r="D1114" s="1">
        <v>10</v>
      </c>
      <c r="E1114" s="1">
        <v>0</v>
      </c>
      <c r="F1114">
        <f t="shared" si="17"/>
        <v>174.5</v>
      </c>
    </row>
    <row r="1115" spans="1:6" ht="13">
      <c r="A1115" s="1">
        <v>10671</v>
      </c>
      <c r="B1115" s="1">
        <v>62</v>
      </c>
      <c r="C1115" s="1">
        <v>49.3</v>
      </c>
      <c r="D1115" s="1">
        <v>10</v>
      </c>
      <c r="E1115" s="1">
        <v>0</v>
      </c>
      <c r="F1115">
        <f t="shared" si="17"/>
        <v>493</v>
      </c>
    </row>
    <row r="1116" spans="1:6" ht="13">
      <c r="A1116" s="1">
        <v>10671</v>
      </c>
      <c r="B1116" s="1">
        <v>65</v>
      </c>
      <c r="C1116" s="1">
        <v>21.05</v>
      </c>
      <c r="D1116" s="1">
        <v>12</v>
      </c>
      <c r="E1116" s="1">
        <v>0</v>
      </c>
      <c r="F1116">
        <f t="shared" si="17"/>
        <v>252.60000000000002</v>
      </c>
    </row>
    <row r="1117" spans="1:6" ht="13">
      <c r="A1117" s="1">
        <v>10672</v>
      </c>
      <c r="B1117" s="1">
        <v>38</v>
      </c>
      <c r="C1117" s="1">
        <v>263.5</v>
      </c>
      <c r="D1117" s="1">
        <v>15</v>
      </c>
      <c r="E1117" s="1">
        <v>0.1</v>
      </c>
      <c r="F1117">
        <f t="shared" si="17"/>
        <v>3557.25</v>
      </c>
    </row>
    <row r="1118" spans="1:6" ht="13">
      <c r="A1118" s="1">
        <v>10672</v>
      </c>
      <c r="B1118" s="1">
        <v>71</v>
      </c>
      <c r="C1118" s="1">
        <v>21.5</v>
      </c>
      <c r="D1118" s="1">
        <v>12</v>
      </c>
      <c r="E1118" s="1">
        <v>0</v>
      </c>
      <c r="F1118">
        <f t="shared" si="17"/>
        <v>258</v>
      </c>
    </row>
    <row r="1119" spans="1:6" ht="13">
      <c r="A1119" s="1">
        <v>10673</v>
      </c>
      <c r="B1119" s="1">
        <v>16</v>
      </c>
      <c r="C1119" s="1">
        <v>17.45</v>
      </c>
      <c r="D1119" s="1">
        <v>3</v>
      </c>
      <c r="E1119" s="1">
        <v>0</v>
      </c>
      <c r="F1119">
        <f t="shared" si="17"/>
        <v>52.349999999999994</v>
      </c>
    </row>
    <row r="1120" spans="1:6" ht="13">
      <c r="A1120" s="1">
        <v>10673</v>
      </c>
      <c r="B1120" s="1">
        <v>42</v>
      </c>
      <c r="C1120" s="1">
        <v>14</v>
      </c>
      <c r="D1120" s="1">
        <v>6</v>
      </c>
      <c r="E1120" s="1">
        <v>0</v>
      </c>
      <c r="F1120">
        <f t="shared" si="17"/>
        <v>84</v>
      </c>
    </row>
    <row r="1121" spans="1:6" ht="13">
      <c r="A1121" s="1">
        <v>10673</v>
      </c>
      <c r="B1121" s="1">
        <v>43</v>
      </c>
      <c r="C1121" s="1">
        <v>46</v>
      </c>
      <c r="D1121" s="1">
        <v>6</v>
      </c>
      <c r="E1121" s="1">
        <v>0</v>
      </c>
      <c r="F1121">
        <f t="shared" si="17"/>
        <v>276</v>
      </c>
    </row>
    <row r="1122" spans="1:6" ht="13">
      <c r="A1122" s="1">
        <v>10674</v>
      </c>
      <c r="B1122" s="1">
        <v>23</v>
      </c>
      <c r="C1122" s="1">
        <v>9</v>
      </c>
      <c r="D1122" s="1">
        <v>5</v>
      </c>
      <c r="E1122" s="1">
        <v>0</v>
      </c>
      <c r="F1122">
        <f t="shared" si="17"/>
        <v>45</v>
      </c>
    </row>
    <row r="1123" spans="1:6" ht="13">
      <c r="A1123" s="1">
        <v>10675</v>
      </c>
      <c r="B1123" s="1">
        <v>14</v>
      </c>
      <c r="C1123" s="1">
        <v>23.25</v>
      </c>
      <c r="D1123" s="1">
        <v>30</v>
      </c>
      <c r="E1123" s="1">
        <v>0</v>
      </c>
      <c r="F1123">
        <f t="shared" si="17"/>
        <v>697.5</v>
      </c>
    </row>
    <row r="1124" spans="1:6" ht="13">
      <c r="A1124" s="1">
        <v>10675</v>
      </c>
      <c r="B1124" s="1">
        <v>53</v>
      </c>
      <c r="C1124" s="1">
        <v>32.799999999999997</v>
      </c>
      <c r="D1124" s="1">
        <v>10</v>
      </c>
      <c r="E1124" s="1">
        <v>0</v>
      </c>
      <c r="F1124">
        <f t="shared" si="17"/>
        <v>328</v>
      </c>
    </row>
    <row r="1125" spans="1:6" ht="13">
      <c r="A1125" s="1">
        <v>10675</v>
      </c>
      <c r="B1125" s="1">
        <v>58</v>
      </c>
      <c r="C1125" s="1">
        <v>13.25</v>
      </c>
      <c r="D1125" s="1">
        <v>30</v>
      </c>
      <c r="E1125" s="1">
        <v>0</v>
      </c>
      <c r="F1125">
        <f t="shared" si="17"/>
        <v>397.5</v>
      </c>
    </row>
    <row r="1126" spans="1:6" ht="13">
      <c r="A1126" s="1">
        <v>10676</v>
      </c>
      <c r="B1126" s="1">
        <v>10</v>
      </c>
      <c r="C1126" s="1">
        <v>31</v>
      </c>
      <c r="D1126" s="1">
        <v>2</v>
      </c>
      <c r="E1126" s="1">
        <v>0</v>
      </c>
      <c r="F1126">
        <f t="shared" si="17"/>
        <v>62</v>
      </c>
    </row>
    <row r="1127" spans="1:6" ht="13">
      <c r="A1127" s="1">
        <v>10676</v>
      </c>
      <c r="B1127" s="1">
        <v>19</v>
      </c>
      <c r="C1127" s="1">
        <v>9.1999999999999993</v>
      </c>
      <c r="D1127" s="1">
        <v>7</v>
      </c>
      <c r="E1127" s="1">
        <v>0</v>
      </c>
      <c r="F1127">
        <f t="shared" si="17"/>
        <v>64.399999999999991</v>
      </c>
    </row>
    <row r="1128" spans="1:6" ht="13">
      <c r="A1128" s="1">
        <v>10676</v>
      </c>
      <c r="B1128" s="1">
        <v>44</v>
      </c>
      <c r="C1128" s="1">
        <v>19.45</v>
      </c>
      <c r="D1128" s="1">
        <v>21</v>
      </c>
      <c r="E1128" s="1">
        <v>0</v>
      </c>
      <c r="F1128">
        <f t="shared" si="17"/>
        <v>408.45</v>
      </c>
    </row>
    <row r="1129" spans="1:6" ht="13">
      <c r="A1129" s="1">
        <v>10677</v>
      </c>
      <c r="B1129" s="1">
        <v>26</v>
      </c>
      <c r="C1129" s="1">
        <v>31.23</v>
      </c>
      <c r="D1129" s="1">
        <v>30</v>
      </c>
      <c r="E1129" s="1">
        <v>0.15</v>
      </c>
      <c r="F1129">
        <f t="shared" si="17"/>
        <v>796.36500000000001</v>
      </c>
    </row>
    <row r="1130" spans="1:6" ht="13">
      <c r="A1130" s="1">
        <v>10677</v>
      </c>
      <c r="B1130" s="1">
        <v>33</v>
      </c>
      <c r="C1130" s="1">
        <v>2.5</v>
      </c>
      <c r="D1130" s="1">
        <v>8</v>
      </c>
      <c r="E1130" s="1">
        <v>0.15</v>
      </c>
      <c r="F1130">
        <f t="shared" si="17"/>
        <v>17</v>
      </c>
    </row>
    <row r="1131" spans="1:6" ht="13">
      <c r="A1131" s="1">
        <v>10678</v>
      </c>
      <c r="B1131" s="1">
        <v>12</v>
      </c>
      <c r="C1131" s="1">
        <v>38</v>
      </c>
      <c r="D1131" s="1">
        <v>100</v>
      </c>
      <c r="E1131" s="1">
        <v>0</v>
      </c>
      <c r="F1131">
        <f t="shared" si="17"/>
        <v>3800</v>
      </c>
    </row>
    <row r="1132" spans="1:6" ht="13">
      <c r="A1132" s="1">
        <v>10678</v>
      </c>
      <c r="B1132" s="1">
        <v>33</v>
      </c>
      <c r="C1132" s="1">
        <v>2.5</v>
      </c>
      <c r="D1132" s="1">
        <v>30</v>
      </c>
      <c r="E1132" s="1">
        <v>0</v>
      </c>
      <c r="F1132">
        <f t="shared" si="17"/>
        <v>75</v>
      </c>
    </row>
    <row r="1133" spans="1:6" ht="13">
      <c r="A1133" s="1">
        <v>10678</v>
      </c>
      <c r="B1133" s="1">
        <v>41</v>
      </c>
      <c r="C1133" s="1">
        <v>9.65</v>
      </c>
      <c r="D1133" s="1">
        <v>120</v>
      </c>
      <c r="E1133" s="1">
        <v>0</v>
      </c>
      <c r="F1133">
        <f t="shared" si="17"/>
        <v>1158</v>
      </c>
    </row>
    <row r="1134" spans="1:6" ht="13">
      <c r="A1134" s="1">
        <v>10678</v>
      </c>
      <c r="B1134" s="1">
        <v>54</v>
      </c>
      <c r="C1134" s="1">
        <v>7.45</v>
      </c>
      <c r="D1134" s="1">
        <v>30</v>
      </c>
      <c r="E1134" s="1">
        <v>0</v>
      </c>
      <c r="F1134">
        <f t="shared" si="17"/>
        <v>223.5</v>
      </c>
    </row>
    <row r="1135" spans="1:6" ht="13">
      <c r="A1135" s="1">
        <v>10679</v>
      </c>
      <c r="B1135" s="1">
        <v>59</v>
      </c>
      <c r="C1135" s="1">
        <v>55</v>
      </c>
      <c r="D1135" s="1">
        <v>12</v>
      </c>
      <c r="E1135" s="1">
        <v>0</v>
      </c>
      <c r="F1135">
        <f t="shared" si="17"/>
        <v>660</v>
      </c>
    </row>
    <row r="1136" spans="1:6" ht="13">
      <c r="A1136" s="1">
        <v>10680</v>
      </c>
      <c r="B1136" s="1">
        <v>16</v>
      </c>
      <c r="C1136" s="1">
        <v>17.45</v>
      </c>
      <c r="D1136" s="1">
        <v>50</v>
      </c>
      <c r="E1136" s="1">
        <v>0.25</v>
      </c>
      <c r="F1136">
        <f t="shared" si="17"/>
        <v>654.375</v>
      </c>
    </row>
    <row r="1137" spans="1:6" ht="13">
      <c r="A1137" s="1">
        <v>10680</v>
      </c>
      <c r="B1137" s="1">
        <v>31</v>
      </c>
      <c r="C1137" s="1">
        <v>12.5</v>
      </c>
      <c r="D1137" s="1">
        <v>20</v>
      </c>
      <c r="E1137" s="1">
        <v>0.25</v>
      </c>
      <c r="F1137">
        <f t="shared" si="17"/>
        <v>187.5</v>
      </c>
    </row>
    <row r="1138" spans="1:6" ht="13">
      <c r="A1138" s="1">
        <v>10680</v>
      </c>
      <c r="B1138" s="1">
        <v>42</v>
      </c>
      <c r="C1138" s="1">
        <v>14</v>
      </c>
      <c r="D1138" s="1">
        <v>40</v>
      </c>
      <c r="E1138" s="1">
        <v>0.25</v>
      </c>
      <c r="F1138">
        <f t="shared" si="17"/>
        <v>420</v>
      </c>
    </row>
    <row r="1139" spans="1:6" ht="13">
      <c r="A1139" s="1">
        <v>10681</v>
      </c>
      <c r="B1139" s="1">
        <v>19</v>
      </c>
      <c r="C1139" s="1">
        <v>9.1999999999999993</v>
      </c>
      <c r="D1139" s="1">
        <v>30</v>
      </c>
      <c r="E1139" s="1">
        <v>0.1</v>
      </c>
      <c r="F1139">
        <f t="shared" si="17"/>
        <v>248.4</v>
      </c>
    </row>
    <row r="1140" spans="1:6" ht="13">
      <c r="A1140" s="1">
        <v>10681</v>
      </c>
      <c r="B1140" s="1">
        <v>21</v>
      </c>
      <c r="C1140" s="1">
        <v>10</v>
      </c>
      <c r="D1140" s="1">
        <v>12</v>
      </c>
      <c r="E1140" s="1">
        <v>0.1</v>
      </c>
      <c r="F1140">
        <f t="shared" si="17"/>
        <v>108</v>
      </c>
    </row>
    <row r="1141" spans="1:6" ht="13">
      <c r="A1141" s="1">
        <v>10681</v>
      </c>
      <c r="B1141" s="1">
        <v>64</v>
      </c>
      <c r="C1141" s="1">
        <v>33.25</v>
      </c>
      <c r="D1141" s="1">
        <v>28</v>
      </c>
      <c r="E1141" s="1">
        <v>0</v>
      </c>
      <c r="F1141">
        <f t="shared" si="17"/>
        <v>931</v>
      </c>
    </row>
    <row r="1142" spans="1:6" ht="13">
      <c r="A1142" s="1">
        <v>10682</v>
      </c>
      <c r="B1142" s="1">
        <v>33</v>
      </c>
      <c r="C1142" s="1">
        <v>2.5</v>
      </c>
      <c r="D1142" s="1">
        <v>30</v>
      </c>
      <c r="E1142" s="1">
        <v>0</v>
      </c>
      <c r="F1142">
        <f t="shared" si="17"/>
        <v>75</v>
      </c>
    </row>
    <row r="1143" spans="1:6" ht="13">
      <c r="A1143" s="1">
        <v>10682</v>
      </c>
      <c r="B1143" s="1">
        <v>66</v>
      </c>
      <c r="C1143" s="1">
        <v>17</v>
      </c>
      <c r="D1143" s="1">
        <v>4</v>
      </c>
      <c r="E1143" s="1">
        <v>0</v>
      </c>
      <c r="F1143">
        <f t="shared" si="17"/>
        <v>68</v>
      </c>
    </row>
    <row r="1144" spans="1:6" ht="13">
      <c r="A1144" s="1">
        <v>10682</v>
      </c>
      <c r="B1144" s="1">
        <v>75</v>
      </c>
      <c r="C1144" s="1">
        <v>7.75</v>
      </c>
      <c r="D1144" s="1">
        <v>30</v>
      </c>
      <c r="E1144" s="1">
        <v>0</v>
      </c>
      <c r="F1144">
        <f t="shared" si="17"/>
        <v>232.5</v>
      </c>
    </row>
    <row r="1145" spans="1:6" ht="13">
      <c r="A1145" s="1">
        <v>10683</v>
      </c>
      <c r="B1145" s="1">
        <v>52</v>
      </c>
      <c r="C1145" s="1">
        <v>7</v>
      </c>
      <c r="D1145" s="1">
        <v>9</v>
      </c>
      <c r="E1145" s="1">
        <v>0</v>
      </c>
      <c r="F1145">
        <f t="shared" si="17"/>
        <v>63</v>
      </c>
    </row>
    <row r="1146" spans="1:6" ht="13">
      <c r="A1146" s="1">
        <v>10684</v>
      </c>
      <c r="B1146" s="1">
        <v>40</v>
      </c>
      <c r="C1146" s="1">
        <v>18.399999999999999</v>
      </c>
      <c r="D1146" s="1">
        <v>20</v>
      </c>
      <c r="E1146" s="1">
        <v>0</v>
      </c>
      <c r="F1146">
        <f t="shared" si="17"/>
        <v>368</v>
      </c>
    </row>
    <row r="1147" spans="1:6" ht="13">
      <c r="A1147" s="1">
        <v>10684</v>
      </c>
      <c r="B1147" s="1">
        <v>47</v>
      </c>
      <c r="C1147" s="1">
        <v>9.5</v>
      </c>
      <c r="D1147" s="1">
        <v>40</v>
      </c>
      <c r="E1147" s="1">
        <v>0</v>
      </c>
      <c r="F1147">
        <f t="shared" si="17"/>
        <v>380</v>
      </c>
    </row>
    <row r="1148" spans="1:6" ht="13">
      <c r="A1148" s="1">
        <v>10684</v>
      </c>
      <c r="B1148" s="1">
        <v>60</v>
      </c>
      <c r="C1148" s="1">
        <v>34</v>
      </c>
      <c r="D1148" s="1">
        <v>30</v>
      </c>
      <c r="E1148" s="1">
        <v>0</v>
      </c>
      <c r="F1148">
        <f t="shared" si="17"/>
        <v>1020</v>
      </c>
    </row>
    <row r="1149" spans="1:6" ht="13">
      <c r="A1149" s="1">
        <v>10685</v>
      </c>
      <c r="B1149" s="1">
        <v>10</v>
      </c>
      <c r="C1149" s="1">
        <v>31</v>
      </c>
      <c r="D1149" s="1">
        <v>20</v>
      </c>
      <c r="E1149" s="1">
        <v>0</v>
      </c>
      <c r="F1149">
        <f t="shared" si="17"/>
        <v>620</v>
      </c>
    </row>
    <row r="1150" spans="1:6" ht="13">
      <c r="A1150" s="1">
        <v>10685</v>
      </c>
      <c r="B1150" s="1">
        <v>41</v>
      </c>
      <c r="C1150" s="1">
        <v>9.65</v>
      </c>
      <c r="D1150" s="1">
        <v>4</v>
      </c>
      <c r="E1150" s="1">
        <v>0</v>
      </c>
      <c r="F1150">
        <f t="shared" si="17"/>
        <v>38.6</v>
      </c>
    </row>
    <row r="1151" spans="1:6" ht="13">
      <c r="A1151" s="1">
        <v>10685</v>
      </c>
      <c r="B1151" s="1">
        <v>47</v>
      </c>
      <c r="C1151" s="1">
        <v>9.5</v>
      </c>
      <c r="D1151" s="1">
        <v>15</v>
      </c>
      <c r="E1151" s="1">
        <v>0</v>
      </c>
      <c r="F1151">
        <f t="shared" si="17"/>
        <v>142.5</v>
      </c>
    </row>
    <row r="1152" spans="1:6" ht="13">
      <c r="A1152" s="1">
        <v>10686</v>
      </c>
      <c r="B1152" s="1">
        <v>17</v>
      </c>
      <c r="C1152" s="1">
        <v>39</v>
      </c>
      <c r="D1152" s="1">
        <v>30</v>
      </c>
      <c r="E1152" s="1">
        <v>0.2</v>
      </c>
      <c r="F1152">
        <f t="shared" si="17"/>
        <v>936</v>
      </c>
    </row>
    <row r="1153" spans="1:6" ht="13">
      <c r="A1153" s="1">
        <v>10686</v>
      </c>
      <c r="B1153" s="1">
        <v>26</v>
      </c>
      <c r="C1153" s="1">
        <v>31.23</v>
      </c>
      <c r="D1153" s="1">
        <v>15</v>
      </c>
      <c r="E1153" s="1">
        <v>0</v>
      </c>
      <c r="F1153">
        <f t="shared" si="17"/>
        <v>468.45</v>
      </c>
    </row>
    <row r="1154" spans="1:6" ht="13">
      <c r="A1154" s="1">
        <v>10687</v>
      </c>
      <c r="B1154" s="1">
        <v>9</v>
      </c>
      <c r="C1154" s="1">
        <v>97</v>
      </c>
      <c r="D1154" s="1">
        <v>50</v>
      </c>
      <c r="E1154" s="1">
        <v>0.25</v>
      </c>
      <c r="F1154">
        <f t="shared" si="17"/>
        <v>3637.5</v>
      </c>
    </row>
    <row r="1155" spans="1:6" ht="13">
      <c r="A1155" s="1">
        <v>10687</v>
      </c>
      <c r="B1155" s="1">
        <v>29</v>
      </c>
      <c r="C1155" s="1">
        <v>123.79</v>
      </c>
      <c r="D1155" s="1">
        <v>10</v>
      </c>
      <c r="E1155" s="1">
        <v>0</v>
      </c>
      <c r="F1155">
        <f t="shared" ref="F1155:F1218" si="18">C1155*D1155*(1-E1155)</f>
        <v>1237.9000000000001</v>
      </c>
    </row>
    <row r="1156" spans="1:6" ht="13">
      <c r="A1156" s="1">
        <v>10687</v>
      </c>
      <c r="B1156" s="1">
        <v>36</v>
      </c>
      <c r="C1156" s="1">
        <v>19</v>
      </c>
      <c r="D1156" s="1">
        <v>6</v>
      </c>
      <c r="E1156" s="1">
        <v>0.25</v>
      </c>
      <c r="F1156">
        <f t="shared" si="18"/>
        <v>85.5</v>
      </c>
    </row>
    <row r="1157" spans="1:6" ht="13">
      <c r="A1157" s="1">
        <v>10688</v>
      </c>
      <c r="B1157" s="1">
        <v>10</v>
      </c>
      <c r="C1157" s="1">
        <v>31</v>
      </c>
      <c r="D1157" s="1">
        <v>18</v>
      </c>
      <c r="E1157" s="1">
        <v>0.1</v>
      </c>
      <c r="F1157">
        <f t="shared" si="18"/>
        <v>502.2</v>
      </c>
    </row>
    <row r="1158" spans="1:6" ht="13">
      <c r="A1158" s="1">
        <v>10688</v>
      </c>
      <c r="B1158" s="1">
        <v>28</v>
      </c>
      <c r="C1158" s="1">
        <v>45.6</v>
      </c>
      <c r="D1158" s="1">
        <v>60</v>
      </c>
      <c r="E1158" s="1">
        <v>0.1</v>
      </c>
      <c r="F1158">
        <f t="shared" si="18"/>
        <v>2462.4</v>
      </c>
    </row>
    <row r="1159" spans="1:6" ht="13">
      <c r="A1159" s="1">
        <v>10688</v>
      </c>
      <c r="B1159" s="1">
        <v>34</v>
      </c>
      <c r="C1159" s="1">
        <v>14</v>
      </c>
      <c r="D1159" s="1">
        <v>14</v>
      </c>
      <c r="E1159" s="1">
        <v>0</v>
      </c>
      <c r="F1159">
        <f t="shared" si="18"/>
        <v>196</v>
      </c>
    </row>
    <row r="1160" spans="1:6" ht="13">
      <c r="A1160" s="1">
        <v>10689</v>
      </c>
      <c r="B1160" s="1">
        <v>1</v>
      </c>
      <c r="C1160" s="1">
        <v>18</v>
      </c>
      <c r="D1160" s="1">
        <v>35</v>
      </c>
      <c r="E1160" s="1">
        <v>0.25</v>
      </c>
      <c r="F1160">
        <f t="shared" si="18"/>
        <v>472.5</v>
      </c>
    </row>
    <row r="1161" spans="1:6" ht="13">
      <c r="A1161" s="1">
        <v>10690</v>
      </c>
      <c r="B1161" s="1">
        <v>56</v>
      </c>
      <c r="C1161" s="1">
        <v>38</v>
      </c>
      <c r="D1161" s="1">
        <v>20</v>
      </c>
      <c r="E1161" s="1">
        <v>0.25</v>
      </c>
      <c r="F1161">
        <f t="shared" si="18"/>
        <v>570</v>
      </c>
    </row>
    <row r="1162" spans="1:6" ht="13">
      <c r="A1162" s="1">
        <v>10690</v>
      </c>
      <c r="B1162" s="1">
        <v>77</v>
      </c>
      <c r="C1162" s="1">
        <v>13</v>
      </c>
      <c r="D1162" s="1">
        <v>30</v>
      </c>
      <c r="E1162" s="1">
        <v>0.25</v>
      </c>
      <c r="F1162">
        <f t="shared" si="18"/>
        <v>292.5</v>
      </c>
    </row>
    <row r="1163" spans="1:6" ht="13">
      <c r="A1163" s="1">
        <v>10691</v>
      </c>
      <c r="B1163" s="1">
        <v>1</v>
      </c>
      <c r="C1163" s="1">
        <v>18</v>
      </c>
      <c r="D1163" s="1">
        <v>30</v>
      </c>
      <c r="E1163" s="1">
        <v>0</v>
      </c>
      <c r="F1163">
        <f t="shared" si="18"/>
        <v>540</v>
      </c>
    </row>
    <row r="1164" spans="1:6" ht="13">
      <c r="A1164" s="1">
        <v>10691</v>
      </c>
      <c r="B1164" s="1">
        <v>29</v>
      </c>
      <c r="C1164" s="1">
        <v>123.79</v>
      </c>
      <c r="D1164" s="1">
        <v>40</v>
      </c>
      <c r="E1164" s="1">
        <v>0</v>
      </c>
      <c r="F1164">
        <f t="shared" si="18"/>
        <v>4951.6000000000004</v>
      </c>
    </row>
    <row r="1165" spans="1:6" ht="13">
      <c r="A1165" s="1">
        <v>10691</v>
      </c>
      <c r="B1165" s="1">
        <v>43</v>
      </c>
      <c r="C1165" s="1">
        <v>46</v>
      </c>
      <c r="D1165" s="1">
        <v>40</v>
      </c>
      <c r="E1165" s="1">
        <v>0</v>
      </c>
      <c r="F1165">
        <f t="shared" si="18"/>
        <v>1840</v>
      </c>
    </row>
    <row r="1166" spans="1:6" ht="13">
      <c r="A1166" s="1">
        <v>10691</v>
      </c>
      <c r="B1166" s="1">
        <v>44</v>
      </c>
      <c r="C1166" s="1">
        <v>19.45</v>
      </c>
      <c r="D1166" s="1">
        <v>24</v>
      </c>
      <c r="E1166" s="1">
        <v>0</v>
      </c>
      <c r="F1166">
        <f t="shared" si="18"/>
        <v>466.79999999999995</v>
      </c>
    </row>
    <row r="1167" spans="1:6" ht="13">
      <c r="A1167" s="1">
        <v>10691</v>
      </c>
      <c r="B1167" s="1">
        <v>62</v>
      </c>
      <c r="C1167" s="1">
        <v>49.3</v>
      </c>
      <c r="D1167" s="1">
        <v>48</v>
      </c>
      <c r="E1167" s="1">
        <v>0</v>
      </c>
      <c r="F1167">
        <f t="shared" si="18"/>
        <v>2366.3999999999996</v>
      </c>
    </row>
    <row r="1168" spans="1:6" ht="13">
      <c r="A1168" s="1">
        <v>10692</v>
      </c>
      <c r="B1168" s="1">
        <v>63</v>
      </c>
      <c r="C1168" s="1">
        <v>43.9</v>
      </c>
      <c r="D1168" s="1">
        <v>20</v>
      </c>
      <c r="E1168" s="1">
        <v>0</v>
      </c>
      <c r="F1168">
        <f t="shared" si="18"/>
        <v>878</v>
      </c>
    </row>
    <row r="1169" spans="1:6" ht="13">
      <c r="A1169" s="1">
        <v>10693</v>
      </c>
      <c r="B1169" s="1">
        <v>9</v>
      </c>
      <c r="C1169" s="1">
        <v>97</v>
      </c>
      <c r="D1169" s="1">
        <v>6</v>
      </c>
      <c r="E1169" s="1">
        <v>0</v>
      </c>
      <c r="F1169">
        <f t="shared" si="18"/>
        <v>582</v>
      </c>
    </row>
    <row r="1170" spans="1:6" ht="13">
      <c r="A1170" s="1">
        <v>10693</v>
      </c>
      <c r="B1170" s="1">
        <v>54</v>
      </c>
      <c r="C1170" s="1">
        <v>7.45</v>
      </c>
      <c r="D1170" s="1">
        <v>60</v>
      </c>
      <c r="E1170" s="1">
        <v>0.15</v>
      </c>
      <c r="F1170">
        <f t="shared" si="18"/>
        <v>379.95</v>
      </c>
    </row>
    <row r="1171" spans="1:6" ht="13">
      <c r="A1171" s="1">
        <v>10693</v>
      </c>
      <c r="B1171" s="1">
        <v>69</v>
      </c>
      <c r="C1171" s="1">
        <v>36</v>
      </c>
      <c r="D1171" s="1">
        <v>30</v>
      </c>
      <c r="E1171" s="1">
        <v>0.15</v>
      </c>
      <c r="F1171">
        <f t="shared" si="18"/>
        <v>918</v>
      </c>
    </row>
    <row r="1172" spans="1:6" ht="13">
      <c r="A1172" s="1">
        <v>10693</v>
      </c>
      <c r="B1172" s="1">
        <v>73</v>
      </c>
      <c r="C1172" s="1">
        <v>15</v>
      </c>
      <c r="D1172" s="1">
        <v>15</v>
      </c>
      <c r="E1172" s="1">
        <v>0.15</v>
      </c>
      <c r="F1172">
        <f t="shared" si="18"/>
        <v>191.25</v>
      </c>
    </row>
    <row r="1173" spans="1:6" ht="13">
      <c r="A1173" s="1">
        <v>10694</v>
      </c>
      <c r="B1173" s="1">
        <v>7</v>
      </c>
      <c r="C1173" s="1">
        <v>30</v>
      </c>
      <c r="D1173" s="1">
        <v>90</v>
      </c>
      <c r="E1173" s="1">
        <v>0</v>
      </c>
      <c r="F1173">
        <f t="shared" si="18"/>
        <v>2700</v>
      </c>
    </row>
    <row r="1174" spans="1:6" ht="13">
      <c r="A1174" s="1">
        <v>10694</v>
      </c>
      <c r="B1174" s="1">
        <v>59</v>
      </c>
      <c r="C1174" s="1">
        <v>55</v>
      </c>
      <c r="D1174" s="1">
        <v>25</v>
      </c>
      <c r="E1174" s="1">
        <v>0</v>
      </c>
      <c r="F1174">
        <f t="shared" si="18"/>
        <v>1375</v>
      </c>
    </row>
    <row r="1175" spans="1:6" ht="13">
      <c r="A1175" s="1">
        <v>10694</v>
      </c>
      <c r="B1175" s="1">
        <v>70</v>
      </c>
      <c r="C1175" s="1">
        <v>15</v>
      </c>
      <c r="D1175" s="1">
        <v>50</v>
      </c>
      <c r="E1175" s="1">
        <v>0</v>
      </c>
      <c r="F1175">
        <f t="shared" si="18"/>
        <v>750</v>
      </c>
    </row>
    <row r="1176" spans="1:6" ht="13">
      <c r="A1176" s="1">
        <v>10695</v>
      </c>
      <c r="B1176" s="1">
        <v>8</v>
      </c>
      <c r="C1176" s="1">
        <v>40</v>
      </c>
      <c r="D1176" s="1">
        <v>10</v>
      </c>
      <c r="E1176" s="1">
        <v>0</v>
      </c>
      <c r="F1176">
        <f t="shared" si="18"/>
        <v>400</v>
      </c>
    </row>
    <row r="1177" spans="1:6" ht="13">
      <c r="A1177" s="1">
        <v>10695</v>
      </c>
      <c r="B1177" s="1">
        <v>12</v>
      </c>
      <c r="C1177" s="1">
        <v>38</v>
      </c>
      <c r="D1177" s="1">
        <v>4</v>
      </c>
      <c r="E1177" s="1">
        <v>0</v>
      </c>
      <c r="F1177">
        <f t="shared" si="18"/>
        <v>152</v>
      </c>
    </row>
    <row r="1178" spans="1:6" ht="13">
      <c r="A1178" s="1">
        <v>10695</v>
      </c>
      <c r="B1178" s="1">
        <v>24</v>
      </c>
      <c r="C1178" s="1">
        <v>4.5</v>
      </c>
      <c r="D1178" s="1">
        <v>20</v>
      </c>
      <c r="E1178" s="1">
        <v>0</v>
      </c>
      <c r="F1178">
        <f t="shared" si="18"/>
        <v>90</v>
      </c>
    </row>
    <row r="1179" spans="1:6" ht="13">
      <c r="A1179" s="1">
        <v>10696</v>
      </c>
      <c r="B1179" s="1">
        <v>17</v>
      </c>
      <c r="C1179" s="1">
        <v>39</v>
      </c>
      <c r="D1179" s="1">
        <v>20</v>
      </c>
      <c r="E1179" s="1">
        <v>0</v>
      </c>
      <c r="F1179">
        <f t="shared" si="18"/>
        <v>780</v>
      </c>
    </row>
    <row r="1180" spans="1:6" ht="13">
      <c r="A1180" s="1">
        <v>10696</v>
      </c>
      <c r="B1180" s="1">
        <v>46</v>
      </c>
      <c r="C1180" s="1">
        <v>12</v>
      </c>
      <c r="D1180" s="1">
        <v>18</v>
      </c>
      <c r="E1180" s="1">
        <v>0</v>
      </c>
      <c r="F1180">
        <f t="shared" si="18"/>
        <v>216</v>
      </c>
    </row>
    <row r="1181" spans="1:6" ht="13">
      <c r="A1181" s="1">
        <v>10697</v>
      </c>
      <c r="B1181" s="1">
        <v>19</v>
      </c>
      <c r="C1181" s="1">
        <v>9.1999999999999993</v>
      </c>
      <c r="D1181" s="1">
        <v>7</v>
      </c>
      <c r="E1181" s="1">
        <v>0.25</v>
      </c>
      <c r="F1181">
        <f t="shared" si="18"/>
        <v>48.3</v>
      </c>
    </row>
    <row r="1182" spans="1:6" ht="13">
      <c r="A1182" s="1">
        <v>10697</v>
      </c>
      <c r="B1182" s="1">
        <v>35</v>
      </c>
      <c r="C1182" s="1">
        <v>18</v>
      </c>
      <c r="D1182" s="1">
        <v>9</v>
      </c>
      <c r="E1182" s="1">
        <v>0.25</v>
      </c>
      <c r="F1182">
        <f t="shared" si="18"/>
        <v>121.5</v>
      </c>
    </row>
    <row r="1183" spans="1:6" ht="13">
      <c r="A1183" s="1">
        <v>10697</v>
      </c>
      <c r="B1183" s="1">
        <v>58</v>
      </c>
      <c r="C1183" s="1">
        <v>13.25</v>
      </c>
      <c r="D1183" s="1">
        <v>30</v>
      </c>
      <c r="E1183" s="1">
        <v>0.25</v>
      </c>
      <c r="F1183">
        <f t="shared" si="18"/>
        <v>298.125</v>
      </c>
    </row>
    <row r="1184" spans="1:6" ht="13">
      <c r="A1184" s="1">
        <v>10697</v>
      </c>
      <c r="B1184" s="1">
        <v>70</v>
      </c>
      <c r="C1184" s="1">
        <v>15</v>
      </c>
      <c r="D1184" s="1">
        <v>30</v>
      </c>
      <c r="E1184" s="1">
        <v>0.25</v>
      </c>
      <c r="F1184">
        <f t="shared" si="18"/>
        <v>337.5</v>
      </c>
    </row>
    <row r="1185" spans="1:6" ht="13">
      <c r="A1185" s="1">
        <v>10698</v>
      </c>
      <c r="B1185" s="1">
        <v>11</v>
      </c>
      <c r="C1185" s="1">
        <v>21</v>
      </c>
      <c r="D1185" s="1">
        <v>15</v>
      </c>
      <c r="E1185" s="1">
        <v>0</v>
      </c>
      <c r="F1185">
        <f t="shared" si="18"/>
        <v>315</v>
      </c>
    </row>
    <row r="1186" spans="1:6" ht="13">
      <c r="A1186" s="1">
        <v>10698</v>
      </c>
      <c r="B1186" s="1">
        <v>17</v>
      </c>
      <c r="C1186" s="1">
        <v>39</v>
      </c>
      <c r="D1186" s="1">
        <v>8</v>
      </c>
      <c r="E1186" s="1">
        <v>0.05</v>
      </c>
      <c r="F1186">
        <f t="shared" si="18"/>
        <v>296.39999999999998</v>
      </c>
    </row>
    <row r="1187" spans="1:6" ht="13">
      <c r="A1187" s="1">
        <v>10698</v>
      </c>
      <c r="B1187" s="1">
        <v>29</v>
      </c>
      <c r="C1187" s="1">
        <v>123.79</v>
      </c>
      <c r="D1187" s="1">
        <v>12</v>
      </c>
      <c r="E1187" s="1">
        <v>0.05</v>
      </c>
      <c r="F1187">
        <f t="shared" si="18"/>
        <v>1411.2059999999999</v>
      </c>
    </row>
    <row r="1188" spans="1:6" ht="13">
      <c r="A1188" s="1">
        <v>10698</v>
      </c>
      <c r="B1188" s="1">
        <v>65</v>
      </c>
      <c r="C1188" s="1">
        <v>21.05</v>
      </c>
      <c r="D1188" s="1">
        <v>65</v>
      </c>
      <c r="E1188" s="1">
        <v>0.05</v>
      </c>
      <c r="F1188">
        <f t="shared" si="18"/>
        <v>1299.8374999999999</v>
      </c>
    </row>
    <row r="1189" spans="1:6" ht="13">
      <c r="A1189" s="1">
        <v>10698</v>
      </c>
      <c r="B1189" s="1">
        <v>70</v>
      </c>
      <c r="C1189" s="1">
        <v>15</v>
      </c>
      <c r="D1189" s="1">
        <v>8</v>
      </c>
      <c r="E1189" s="1">
        <v>0.05</v>
      </c>
      <c r="F1189">
        <f t="shared" si="18"/>
        <v>114</v>
      </c>
    </row>
    <row r="1190" spans="1:6" ht="13">
      <c r="A1190" s="1">
        <v>10699</v>
      </c>
      <c r="B1190" s="1">
        <v>47</v>
      </c>
      <c r="C1190" s="1">
        <v>9.5</v>
      </c>
      <c r="D1190" s="1">
        <v>12</v>
      </c>
      <c r="E1190" s="1">
        <v>0</v>
      </c>
      <c r="F1190">
        <f t="shared" si="18"/>
        <v>114</v>
      </c>
    </row>
    <row r="1191" spans="1:6" ht="13">
      <c r="A1191" s="1">
        <v>10700</v>
      </c>
      <c r="B1191" s="1">
        <v>1</v>
      </c>
      <c r="C1191" s="1">
        <v>18</v>
      </c>
      <c r="D1191" s="1">
        <v>5</v>
      </c>
      <c r="E1191" s="1">
        <v>0.2</v>
      </c>
      <c r="F1191">
        <f t="shared" si="18"/>
        <v>72</v>
      </c>
    </row>
    <row r="1192" spans="1:6" ht="13">
      <c r="A1192" s="1">
        <v>10700</v>
      </c>
      <c r="B1192" s="1">
        <v>34</v>
      </c>
      <c r="C1192" s="1">
        <v>14</v>
      </c>
      <c r="D1192" s="1">
        <v>12</v>
      </c>
      <c r="E1192" s="1">
        <v>0.2</v>
      </c>
      <c r="F1192">
        <f t="shared" si="18"/>
        <v>134.4</v>
      </c>
    </row>
    <row r="1193" spans="1:6" ht="13">
      <c r="A1193" s="1">
        <v>10700</v>
      </c>
      <c r="B1193" s="1">
        <v>68</v>
      </c>
      <c r="C1193" s="1">
        <v>12.5</v>
      </c>
      <c r="D1193" s="1">
        <v>40</v>
      </c>
      <c r="E1193" s="1">
        <v>0.2</v>
      </c>
      <c r="F1193">
        <f t="shared" si="18"/>
        <v>400</v>
      </c>
    </row>
    <row r="1194" spans="1:6" ht="13">
      <c r="A1194" s="1">
        <v>10700</v>
      </c>
      <c r="B1194" s="1">
        <v>71</v>
      </c>
      <c r="C1194" s="1">
        <v>21.5</v>
      </c>
      <c r="D1194" s="1">
        <v>60</v>
      </c>
      <c r="E1194" s="1">
        <v>0.2</v>
      </c>
      <c r="F1194">
        <f t="shared" si="18"/>
        <v>1032</v>
      </c>
    </row>
    <row r="1195" spans="1:6" ht="13">
      <c r="A1195" s="1">
        <v>10701</v>
      </c>
      <c r="B1195" s="1">
        <v>59</v>
      </c>
      <c r="C1195" s="1">
        <v>55</v>
      </c>
      <c r="D1195" s="1">
        <v>42</v>
      </c>
      <c r="E1195" s="1">
        <v>0.15</v>
      </c>
      <c r="F1195">
        <f t="shared" si="18"/>
        <v>1963.5</v>
      </c>
    </row>
    <row r="1196" spans="1:6" ht="13">
      <c r="A1196" s="1">
        <v>10701</v>
      </c>
      <c r="B1196" s="1">
        <v>71</v>
      </c>
      <c r="C1196" s="1">
        <v>21.5</v>
      </c>
      <c r="D1196" s="1">
        <v>20</v>
      </c>
      <c r="E1196" s="1">
        <v>0.15</v>
      </c>
      <c r="F1196">
        <f t="shared" si="18"/>
        <v>365.5</v>
      </c>
    </row>
    <row r="1197" spans="1:6" ht="13">
      <c r="A1197" s="1">
        <v>10701</v>
      </c>
      <c r="B1197" s="1">
        <v>76</v>
      </c>
      <c r="C1197" s="1">
        <v>18</v>
      </c>
      <c r="D1197" s="1">
        <v>35</v>
      </c>
      <c r="E1197" s="1">
        <v>0.15</v>
      </c>
      <c r="F1197">
        <f t="shared" si="18"/>
        <v>535.5</v>
      </c>
    </row>
    <row r="1198" spans="1:6" ht="13">
      <c r="A1198" s="1">
        <v>10702</v>
      </c>
      <c r="B1198" s="1">
        <v>3</v>
      </c>
      <c r="C1198" s="1">
        <v>10</v>
      </c>
      <c r="D1198" s="1">
        <v>6</v>
      </c>
      <c r="E1198" s="1">
        <v>0</v>
      </c>
      <c r="F1198">
        <f t="shared" si="18"/>
        <v>60</v>
      </c>
    </row>
    <row r="1199" spans="1:6" ht="13">
      <c r="A1199" s="1">
        <v>10702</v>
      </c>
      <c r="B1199" s="1">
        <v>76</v>
      </c>
      <c r="C1199" s="1">
        <v>18</v>
      </c>
      <c r="D1199" s="1">
        <v>15</v>
      </c>
      <c r="E1199" s="1">
        <v>0</v>
      </c>
      <c r="F1199">
        <f t="shared" si="18"/>
        <v>270</v>
      </c>
    </row>
    <row r="1200" spans="1:6" ht="13">
      <c r="A1200" s="1">
        <v>10703</v>
      </c>
      <c r="B1200" s="1">
        <v>2</v>
      </c>
      <c r="C1200" s="1">
        <v>19</v>
      </c>
      <c r="D1200" s="1">
        <v>5</v>
      </c>
      <c r="E1200" s="1">
        <v>0</v>
      </c>
      <c r="F1200">
        <f t="shared" si="18"/>
        <v>95</v>
      </c>
    </row>
    <row r="1201" spans="1:6" ht="13">
      <c r="A1201" s="1">
        <v>10703</v>
      </c>
      <c r="B1201" s="1">
        <v>59</v>
      </c>
      <c r="C1201" s="1">
        <v>55</v>
      </c>
      <c r="D1201" s="1">
        <v>35</v>
      </c>
      <c r="E1201" s="1">
        <v>0</v>
      </c>
      <c r="F1201">
        <f t="shared" si="18"/>
        <v>1925</v>
      </c>
    </row>
    <row r="1202" spans="1:6" ht="13">
      <c r="A1202" s="1">
        <v>10703</v>
      </c>
      <c r="B1202" s="1">
        <v>73</v>
      </c>
      <c r="C1202" s="1">
        <v>15</v>
      </c>
      <c r="D1202" s="1">
        <v>35</v>
      </c>
      <c r="E1202" s="1">
        <v>0</v>
      </c>
      <c r="F1202">
        <f t="shared" si="18"/>
        <v>525</v>
      </c>
    </row>
    <row r="1203" spans="1:6" ht="13">
      <c r="A1203" s="1">
        <v>10704</v>
      </c>
      <c r="B1203" s="1">
        <v>4</v>
      </c>
      <c r="C1203" s="1">
        <v>22</v>
      </c>
      <c r="D1203" s="1">
        <v>6</v>
      </c>
      <c r="E1203" s="1">
        <v>0</v>
      </c>
      <c r="F1203">
        <f t="shared" si="18"/>
        <v>132</v>
      </c>
    </row>
    <row r="1204" spans="1:6" ht="13">
      <c r="A1204" s="1">
        <v>10704</v>
      </c>
      <c r="B1204" s="1">
        <v>24</v>
      </c>
      <c r="C1204" s="1">
        <v>4.5</v>
      </c>
      <c r="D1204" s="1">
        <v>35</v>
      </c>
      <c r="E1204" s="1">
        <v>0</v>
      </c>
      <c r="F1204">
        <f t="shared" si="18"/>
        <v>157.5</v>
      </c>
    </row>
    <row r="1205" spans="1:6" ht="13">
      <c r="A1205" s="1">
        <v>10704</v>
      </c>
      <c r="B1205" s="1">
        <v>48</v>
      </c>
      <c r="C1205" s="1">
        <v>12.75</v>
      </c>
      <c r="D1205" s="1">
        <v>24</v>
      </c>
      <c r="E1205" s="1">
        <v>0</v>
      </c>
      <c r="F1205">
        <f t="shared" si="18"/>
        <v>306</v>
      </c>
    </row>
    <row r="1206" spans="1:6" ht="13">
      <c r="A1206" s="1">
        <v>10705</v>
      </c>
      <c r="B1206" s="1">
        <v>31</v>
      </c>
      <c r="C1206" s="1">
        <v>12.5</v>
      </c>
      <c r="D1206" s="1">
        <v>20</v>
      </c>
      <c r="E1206" s="1">
        <v>0</v>
      </c>
      <c r="F1206">
        <f t="shared" si="18"/>
        <v>250</v>
      </c>
    </row>
    <row r="1207" spans="1:6" ht="13">
      <c r="A1207" s="1">
        <v>10705</v>
      </c>
      <c r="B1207" s="1">
        <v>32</v>
      </c>
      <c r="C1207" s="1">
        <v>32</v>
      </c>
      <c r="D1207" s="1">
        <v>4</v>
      </c>
      <c r="E1207" s="1">
        <v>0</v>
      </c>
      <c r="F1207">
        <f t="shared" si="18"/>
        <v>128</v>
      </c>
    </row>
    <row r="1208" spans="1:6" ht="13">
      <c r="A1208" s="1">
        <v>10706</v>
      </c>
      <c r="B1208" s="1">
        <v>16</v>
      </c>
      <c r="C1208" s="1">
        <v>17.45</v>
      </c>
      <c r="D1208" s="1">
        <v>20</v>
      </c>
      <c r="E1208" s="1">
        <v>0</v>
      </c>
      <c r="F1208">
        <f t="shared" si="18"/>
        <v>349</v>
      </c>
    </row>
    <row r="1209" spans="1:6" ht="13">
      <c r="A1209" s="1">
        <v>10706</v>
      </c>
      <c r="B1209" s="1">
        <v>43</v>
      </c>
      <c r="C1209" s="1">
        <v>46</v>
      </c>
      <c r="D1209" s="1">
        <v>24</v>
      </c>
      <c r="E1209" s="1">
        <v>0</v>
      </c>
      <c r="F1209">
        <f t="shared" si="18"/>
        <v>1104</v>
      </c>
    </row>
    <row r="1210" spans="1:6" ht="13">
      <c r="A1210" s="1">
        <v>10706</v>
      </c>
      <c r="B1210" s="1">
        <v>59</v>
      </c>
      <c r="C1210" s="1">
        <v>55</v>
      </c>
      <c r="D1210" s="1">
        <v>8</v>
      </c>
      <c r="E1210" s="1">
        <v>0</v>
      </c>
      <c r="F1210">
        <f t="shared" si="18"/>
        <v>440</v>
      </c>
    </row>
    <row r="1211" spans="1:6" ht="13">
      <c r="A1211" s="1">
        <v>10707</v>
      </c>
      <c r="B1211" s="1">
        <v>55</v>
      </c>
      <c r="C1211" s="1">
        <v>24</v>
      </c>
      <c r="D1211" s="1">
        <v>21</v>
      </c>
      <c r="E1211" s="1">
        <v>0</v>
      </c>
      <c r="F1211">
        <f t="shared" si="18"/>
        <v>504</v>
      </c>
    </row>
    <row r="1212" spans="1:6" ht="13">
      <c r="A1212" s="1">
        <v>10707</v>
      </c>
      <c r="B1212" s="1">
        <v>57</v>
      </c>
      <c r="C1212" s="1">
        <v>19.5</v>
      </c>
      <c r="D1212" s="1">
        <v>40</v>
      </c>
      <c r="E1212" s="1">
        <v>0</v>
      </c>
      <c r="F1212">
        <f t="shared" si="18"/>
        <v>780</v>
      </c>
    </row>
    <row r="1213" spans="1:6" ht="13">
      <c r="A1213" s="1">
        <v>10707</v>
      </c>
      <c r="B1213" s="1">
        <v>70</v>
      </c>
      <c r="C1213" s="1">
        <v>15</v>
      </c>
      <c r="D1213" s="1">
        <v>28</v>
      </c>
      <c r="E1213" s="1">
        <v>0.15</v>
      </c>
      <c r="F1213">
        <f t="shared" si="18"/>
        <v>357</v>
      </c>
    </row>
    <row r="1214" spans="1:6" ht="13">
      <c r="A1214" s="1">
        <v>10708</v>
      </c>
      <c r="B1214" s="1">
        <v>5</v>
      </c>
      <c r="C1214" s="1">
        <v>21.35</v>
      </c>
      <c r="D1214" s="1">
        <v>4</v>
      </c>
      <c r="E1214" s="1">
        <v>0</v>
      </c>
      <c r="F1214">
        <f t="shared" si="18"/>
        <v>85.4</v>
      </c>
    </row>
    <row r="1215" spans="1:6" ht="13">
      <c r="A1215" s="1">
        <v>10708</v>
      </c>
      <c r="B1215" s="1">
        <v>36</v>
      </c>
      <c r="C1215" s="1">
        <v>19</v>
      </c>
      <c r="D1215" s="1">
        <v>5</v>
      </c>
      <c r="E1215" s="1">
        <v>0</v>
      </c>
      <c r="F1215">
        <f t="shared" si="18"/>
        <v>95</v>
      </c>
    </row>
    <row r="1216" spans="1:6" ht="13">
      <c r="A1216" s="1">
        <v>10709</v>
      </c>
      <c r="B1216" s="1">
        <v>8</v>
      </c>
      <c r="C1216" s="1">
        <v>40</v>
      </c>
      <c r="D1216" s="1">
        <v>40</v>
      </c>
      <c r="E1216" s="1">
        <v>0</v>
      </c>
      <c r="F1216">
        <f t="shared" si="18"/>
        <v>1600</v>
      </c>
    </row>
    <row r="1217" spans="1:6" ht="13">
      <c r="A1217" s="1">
        <v>10709</v>
      </c>
      <c r="B1217" s="1">
        <v>51</v>
      </c>
      <c r="C1217" s="1">
        <v>53</v>
      </c>
      <c r="D1217" s="1">
        <v>28</v>
      </c>
      <c r="E1217" s="1">
        <v>0</v>
      </c>
      <c r="F1217">
        <f t="shared" si="18"/>
        <v>1484</v>
      </c>
    </row>
    <row r="1218" spans="1:6" ht="13">
      <c r="A1218" s="1">
        <v>10709</v>
      </c>
      <c r="B1218" s="1">
        <v>60</v>
      </c>
      <c r="C1218" s="1">
        <v>34</v>
      </c>
      <c r="D1218" s="1">
        <v>10</v>
      </c>
      <c r="E1218" s="1">
        <v>0</v>
      </c>
      <c r="F1218">
        <f t="shared" si="18"/>
        <v>340</v>
      </c>
    </row>
    <row r="1219" spans="1:6" ht="13">
      <c r="A1219" s="1">
        <v>10710</v>
      </c>
      <c r="B1219" s="1">
        <v>19</v>
      </c>
      <c r="C1219" s="1">
        <v>9.1999999999999993</v>
      </c>
      <c r="D1219" s="1">
        <v>5</v>
      </c>
      <c r="E1219" s="1">
        <v>0</v>
      </c>
      <c r="F1219">
        <f t="shared" ref="F1219:F1282" si="19">C1219*D1219*(1-E1219)</f>
        <v>46</v>
      </c>
    </row>
    <row r="1220" spans="1:6" ht="13">
      <c r="A1220" s="1">
        <v>10710</v>
      </c>
      <c r="B1220" s="1">
        <v>47</v>
      </c>
      <c r="C1220" s="1">
        <v>9.5</v>
      </c>
      <c r="D1220" s="1">
        <v>5</v>
      </c>
      <c r="E1220" s="1">
        <v>0</v>
      </c>
      <c r="F1220">
        <f t="shared" si="19"/>
        <v>47.5</v>
      </c>
    </row>
    <row r="1221" spans="1:6" ht="13">
      <c r="A1221" s="1">
        <v>10711</v>
      </c>
      <c r="B1221" s="1">
        <v>19</v>
      </c>
      <c r="C1221" s="1">
        <v>9.1999999999999993</v>
      </c>
      <c r="D1221" s="1">
        <v>12</v>
      </c>
      <c r="E1221" s="1">
        <v>0</v>
      </c>
      <c r="F1221">
        <f t="shared" si="19"/>
        <v>110.39999999999999</v>
      </c>
    </row>
    <row r="1222" spans="1:6" ht="13">
      <c r="A1222" s="1">
        <v>10711</v>
      </c>
      <c r="B1222" s="1">
        <v>41</v>
      </c>
      <c r="C1222" s="1">
        <v>9.65</v>
      </c>
      <c r="D1222" s="1">
        <v>42</v>
      </c>
      <c r="E1222" s="1">
        <v>0</v>
      </c>
      <c r="F1222">
        <f t="shared" si="19"/>
        <v>405.3</v>
      </c>
    </row>
    <row r="1223" spans="1:6" ht="13">
      <c r="A1223" s="1">
        <v>10711</v>
      </c>
      <c r="B1223" s="1">
        <v>53</v>
      </c>
      <c r="C1223" s="1">
        <v>32.799999999999997</v>
      </c>
      <c r="D1223" s="1">
        <v>120</v>
      </c>
      <c r="E1223" s="1">
        <v>0</v>
      </c>
      <c r="F1223">
        <f t="shared" si="19"/>
        <v>3935.9999999999995</v>
      </c>
    </row>
    <row r="1224" spans="1:6" ht="13">
      <c r="A1224" s="1">
        <v>10712</v>
      </c>
      <c r="B1224" s="1">
        <v>53</v>
      </c>
      <c r="C1224" s="1">
        <v>32.799999999999997</v>
      </c>
      <c r="D1224" s="1">
        <v>3</v>
      </c>
      <c r="E1224" s="1">
        <v>0.05</v>
      </c>
      <c r="F1224">
        <f t="shared" si="19"/>
        <v>93.47999999999999</v>
      </c>
    </row>
    <row r="1225" spans="1:6" ht="13">
      <c r="A1225" s="1">
        <v>10712</v>
      </c>
      <c r="B1225" s="1">
        <v>56</v>
      </c>
      <c r="C1225" s="1">
        <v>38</v>
      </c>
      <c r="D1225" s="1">
        <v>30</v>
      </c>
      <c r="E1225" s="1">
        <v>0</v>
      </c>
      <c r="F1225">
        <f t="shared" si="19"/>
        <v>1140</v>
      </c>
    </row>
    <row r="1226" spans="1:6" ht="13">
      <c r="A1226" s="1">
        <v>10713</v>
      </c>
      <c r="B1226" s="1">
        <v>10</v>
      </c>
      <c r="C1226" s="1">
        <v>31</v>
      </c>
      <c r="D1226" s="1">
        <v>18</v>
      </c>
      <c r="E1226" s="1">
        <v>0</v>
      </c>
      <c r="F1226">
        <f t="shared" si="19"/>
        <v>558</v>
      </c>
    </row>
    <row r="1227" spans="1:6" ht="13">
      <c r="A1227" s="1">
        <v>10713</v>
      </c>
      <c r="B1227" s="1">
        <v>26</v>
      </c>
      <c r="C1227" s="1">
        <v>31.23</v>
      </c>
      <c r="D1227" s="1">
        <v>30</v>
      </c>
      <c r="E1227" s="1">
        <v>0</v>
      </c>
      <c r="F1227">
        <f t="shared" si="19"/>
        <v>936.9</v>
      </c>
    </row>
    <row r="1228" spans="1:6" ht="13">
      <c r="A1228" s="1">
        <v>10713</v>
      </c>
      <c r="B1228" s="1">
        <v>45</v>
      </c>
      <c r="C1228" s="1">
        <v>9.5</v>
      </c>
      <c r="D1228" s="1">
        <v>110</v>
      </c>
      <c r="E1228" s="1">
        <v>0</v>
      </c>
      <c r="F1228">
        <f t="shared" si="19"/>
        <v>1045</v>
      </c>
    </row>
    <row r="1229" spans="1:6" ht="13">
      <c r="A1229" s="1">
        <v>10713</v>
      </c>
      <c r="B1229" s="1">
        <v>46</v>
      </c>
      <c r="C1229" s="1">
        <v>12</v>
      </c>
      <c r="D1229" s="1">
        <v>24</v>
      </c>
      <c r="E1229" s="1">
        <v>0</v>
      </c>
      <c r="F1229">
        <f t="shared" si="19"/>
        <v>288</v>
      </c>
    </row>
    <row r="1230" spans="1:6" ht="13">
      <c r="A1230" s="1">
        <v>10714</v>
      </c>
      <c r="B1230" s="1">
        <v>2</v>
      </c>
      <c r="C1230" s="1">
        <v>19</v>
      </c>
      <c r="D1230" s="1">
        <v>30</v>
      </c>
      <c r="E1230" s="1">
        <v>0.25</v>
      </c>
      <c r="F1230">
        <f t="shared" si="19"/>
        <v>427.5</v>
      </c>
    </row>
    <row r="1231" spans="1:6" ht="13">
      <c r="A1231" s="1">
        <v>10714</v>
      </c>
      <c r="B1231" s="1">
        <v>17</v>
      </c>
      <c r="C1231" s="1">
        <v>39</v>
      </c>
      <c r="D1231" s="1">
        <v>27</v>
      </c>
      <c r="E1231" s="1">
        <v>0.25</v>
      </c>
      <c r="F1231">
        <f t="shared" si="19"/>
        <v>789.75</v>
      </c>
    </row>
    <row r="1232" spans="1:6" ht="13">
      <c r="A1232" s="1">
        <v>10714</v>
      </c>
      <c r="B1232" s="1">
        <v>47</v>
      </c>
      <c r="C1232" s="1">
        <v>9.5</v>
      </c>
      <c r="D1232" s="1">
        <v>50</v>
      </c>
      <c r="E1232" s="1">
        <v>0.25</v>
      </c>
      <c r="F1232">
        <f t="shared" si="19"/>
        <v>356.25</v>
      </c>
    </row>
    <row r="1233" spans="1:6" ht="13">
      <c r="A1233" s="1">
        <v>10714</v>
      </c>
      <c r="B1233" s="1">
        <v>56</v>
      </c>
      <c r="C1233" s="1">
        <v>38</v>
      </c>
      <c r="D1233" s="1">
        <v>18</v>
      </c>
      <c r="E1233" s="1">
        <v>0.25</v>
      </c>
      <c r="F1233">
        <f t="shared" si="19"/>
        <v>513</v>
      </c>
    </row>
    <row r="1234" spans="1:6" ht="13">
      <c r="A1234" s="1">
        <v>10714</v>
      </c>
      <c r="B1234" s="1">
        <v>58</v>
      </c>
      <c r="C1234" s="1">
        <v>13.25</v>
      </c>
      <c r="D1234" s="1">
        <v>12</v>
      </c>
      <c r="E1234" s="1">
        <v>0.25</v>
      </c>
      <c r="F1234">
        <f t="shared" si="19"/>
        <v>119.25</v>
      </c>
    </row>
    <row r="1235" spans="1:6" ht="13">
      <c r="A1235" s="1">
        <v>10715</v>
      </c>
      <c r="B1235" s="1">
        <v>10</v>
      </c>
      <c r="C1235" s="1">
        <v>31</v>
      </c>
      <c r="D1235" s="1">
        <v>21</v>
      </c>
      <c r="E1235" s="1">
        <v>0</v>
      </c>
      <c r="F1235">
        <f t="shared" si="19"/>
        <v>651</v>
      </c>
    </row>
    <row r="1236" spans="1:6" ht="13">
      <c r="A1236" s="1">
        <v>10715</v>
      </c>
      <c r="B1236" s="1">
        <v>71</v>
      </c>
      <c r="C1236" s="1">
        <v>21.5</v>
      </c>
      <c r="D1236" s="1">
        <v>30</v>
      </c>
      <c r="E1236" s="1">
        <v>0</v>
      </c>
      <c r="F1236">
        <f t="shared" si="19"/>
        <v>645</v>
      </c>
    </row>
    <row r="1237" spans="1:6" ht="13">
      <c r="A1237" s="1">
        <v>10716</v>
      </c>
      <c r="B1237" s="1">
        <v>21</v>
      </c>
      <c r="C1237" s="1">
        <v>10</v>
      </c>
      <c r="D1237" s="1">
        <v>5</v>
      </c>
      <c r="E1237" s="1">
        <v>0</v>
      </c>
      <c r="F1237">
        <f t="shared" si="19"/>
        <v>50</v>
      </c>
    </row>
    <row r="1238" spans="1:6" ht="13">
      <c r="A1238" s="1">
        <v>10716</v>
      </c>
      <c r="B1238" s="1">
        <v>51</v>
      </c>
      <c r="C1238" s="1">
        <v>53</v>
      </c>
      <c r="D1238" s="1">
        <v>7</v>
      </c>
      <c r="E1238" s="1">
        <v>0</v>
      </c>
      <c r="F1238">
        <f t="shared" si="19"/>
        <v>371</v>
      </c>
    </row>
    <row r="1239" spans="1:6" ht="13">
      <c r="A1239" s="1">
        <v>10716</v>
      </c>
      <c r="B1239" s="1">
        <v>61</v>
      </c>
      <c r="C1239" s="1">
        <v>28.5</v>
      </c>
      <c r="D1239" s="1">
        <v>10</v>
      </c>
      <c r="E1239" s="1">
        <v>0</v>
      </c>
      <c r="F1239">
        <f t="shared" si="19"/>
        <v>285</v>
      </c>
    </row>
    <row r="1240" spans="1:6" ht="13">
      <c r="A1240" s="1">
        <v>10717</v>
      </c>
      <c r="B1240" s="1">
        <v>21</v>
      </c>
      <c r="C1240" s="1">
        <v>10</v>
      </c>
      <c r="D1240" s="1">
        <v>32</v>
      </c>
      <c r="E1240" s="1">
        <v>0.05</v>
      </c>
      <c r="F1240">
        <f t="shared" si="19"/>
        <v>304</v>
      </c>
    </row>
    <row r="1241" spans="1:6" ht="13">
      <c r="A1241" s="1">
        <v>10717</v>
      </c>
      <c r="B1241" s="1">
        <v>54</v>
      </c>
      <c r="C1241" s="1">
        <v>7.45</v>
      </c>
      <c r="D1241" s="1">
        <v>15</v>
      </c>
      <c r="E1241" s="1">
        <v>0</v>
      </c>
      <c r="F1241">
        <f t="shared" si="19"/>
        <v>111.75</v>
      </c>
    </row>
    <row r="1242" spans="1:6" ht="13">
      <c r="A1242" s="1">
        <v>10717</v>
      </c>
      <c r="B1242" s="1">
        <v>69</v>
      </c>
      <c r="C1242" s="1">
        <v>36</v>
      </c>
      <c r="D1242" s="1">
        <v>25</v>
      </c>
      <c r="E1242" s="1">
        <v>0.05</v>
      </c>
      <c r="F1242">
        <f t="shared" si="19"/>
        <v>855</v>
      </c>
    </row>
    <row r="1243" spans="1:6" ht="13">
      <c r="A1243" s="1">
        <v>10718</v>
      </c>
      <c r="B1243" s="1">
        <v>12</v>
      </c>
      <c r="C1243" s="1">
        <v>38</v>
      </c>
      <c r="D1243" s="1">
        <v>36</v>
      </c>
      <c r="E1243" s="1">
        <v>0</v>
      </c>
      <c r="F1243">
        <f t="shared" si="19"/>
        <v>1368</v>
      </c>
    </row>
    <row r="1244" spans="1:6" ht="13">
      <c r="A1244" s="1">
        <v>10718</v>
      </c>
      <c r="B1244" s="1">
        <v>16</v>
      </c>
      <c r="C1244" s="1">
        <v>17.45</v>
      </c>
      <c r="D1244" s="1">
        <v>20</v>
      </c>
      <c r="E1244" s="1">
        <v>0</v>
      </c>
      <c r="F1244">
        <f t="shared" si="19"/>
        <v>349</v>
      </c>
    </row>
    <row r="1245" spans="1:6" ht="13">
      <c r="A1245" s="1">
        <v>10718</v>
      </c>
      <c r="B1245" s="1">
        <v>36</v>
      </c>
      <c r="C1245" s="1">
        <v>19</v>
      </c>
      <c r="D1245" s="1">
        <v>40</v>
      </c>
      <c r="E1245" s="1">
        <v>0</v>
      </c>
      <c r="F1245">
        <f t="shared" si="19"/>
        <v>760</v>
      </c>
    </row>
    <row r="1246" spans="1:6" ht="13">
      <c r="A1246" s="1">
        <v>10718</v>
      </c>
      <c r="B1246" s="1">
        <v>62</v>
      </c>
      <c r="C1246" s="1">
        <v>49.3</v>
      </c>
      <c r="D1246" s="1">
        <v>20</v>
      </c>
      <c r="E1246" s="1">
        <v>0</v>
      </c>
      <c r="F1246">
        <f t="shared" si="19"/>
        <v>986</v>
      </c>
    </row>
    <row r="1247" spans="1:6" ht="13">
      <c r="A1247" s="1">
        <v>10719</v>
      </c>
      <c r="B1247" s="1">
        <v>18</v>
      </c>
      <c r="C1247" s="1">
        <v>62.5</v>
      </c>
      <c r="D1247" s="1">
        <v>12</v>
      </c>
      <c r="E1247" s="1">
        <v>0.25</v>
      </c>
      <c r="F1247">
        <f t="shared" si="19"/>
        <v>562.5</v>
      </c>
    </row>
    <row r="1248" spans="1:6" ht="13">
      <c r="A1248" s="1">
        <v>10719</v>
      </c>
      <c r="B1248" s="1">
        <v>30</v>
      </c>
      <c r="C1248" s="1">
        <v>25.89</v>
      </c>
      <c r="D1248" s="1">
        <v>3</v>
      </c>
      <c r="E1248" s="1">
        <v>0.25</v>
      </c>
      <c r="F1248">
        <f t="shared" si="19"/>
        <v>58.252499999999998</v>
      </c>
    </row>
    <row r="1249" spans="1:6" ht="13">
      <c r="A1249" s="1">
        <v>10719</v>
      </c>
      <c r="B1249" s="1">
        <v>54</v>
      </c>
      <c r="C1249" s="1">
        <v>7.45</v>
      </c>
      <c r="D1249" s="1">
        <v>40</v>
      </c>
      <c r="E1249" s="1">
        <v>0.25</v>
      </c>
      <c r="F1249">
        <f t="shared" si="19"/>
        <v>223.5</v>
      </c>
    </row>
    <row r="1250" spans="1:6" ht="13">
      <c r="A1250" s="1">
        <v>10720</v>
      </c>
      <c r="B1250" s="1">
        <v>35</v>
      </c>
      <c r="C1250" s="1">
        <v>18</v>
      </c>
      <c r="D1250" s="1">
        <v>21</v>
      </c>
      <c r="E1250" s="1">
        <v>0</v>
      </c>
      <c r="F1250">
        <f t="shared" si="19"/>
        <v>378</v>
      </c>
    </row>
    <row r="1251" spans="1:6" ht="13">
      <c r="A1251" s="1">
        <v>10720</v>
      </c>
      <c r="B1251" s="1">
        <v>71</v>
      </c>
      <c r="C1251" s="1">
        <v>21.5</v>
      </c>
      <c r="D1251" s="1">
        <v>8</v>
      </c>
      <c r="E1251" s="1">
        <v>0</v>
      </c>
      <c r="F1251">
        <f t="shared" si="19"/>
        <v>172</v>
      </c>
    </row>
    <row r="1252" spans="1:6" ht="13">
      <c r="A1252" s="1">
        <v>10721</v>
      </c>
      <c r="B1252" s="1">
        <v>44</v>
      </c>
      <c r="C1252" s="1">
        <v>19.45</v>
      </c>
      <c r="D1252" s="1">
        <v>50</v>
      </c>
      <c r="E1252" s="1">
        <v>0.05</v>
      </c>
      <c r="F1252">
        <f t="shared" si="19"/>
        <v>923.875</v>
      </c>
    </row>
    <row r="1253" spans="1:6" ht="13">
      <c r="A1253" s="1">
        <v>10722</v>
      </c>
      <c r="B1253" s="1">
        <v>2</v>
      </c>
      <c r="C1253" s="1">
        <v>19</v>
      </c>
      <c r="D1253" s="1">
        <v>3</v>
      </c>
      <c r="E1253" s="1">
        <v>0</v>
      </c>
      <c r="F1253">
        <f t="shared" si="19"/>
        <v>57</v>
      </c>
    </row>
    <row r="1254" spans="1:6" ht="13">
      <c r="A1254" s="1">
        <v>10722</v>
      </c>
      <c r="B1254" s="1">
        <v>31</v>
      </c>
      <c r="C1254" s="1">
        <v>12.5</v>
      </c>
      <c r="D1254" s="1">
        <v>50</v>
      </c>
      <c r="E1254" s="1">
        <v>0</v>
      </c>
      <c r="F1254">
        <f t="shared" si="19"/>
        <v>625</v>
      </c>
    </row>
    <row r="1255" spans="1:6" ht="13">
      <c r="A1255" s="1">
        <v>10722</v>
      </c>
      <c r="B1255" s="1">
        <v>68</v>
      </c>
      <c r="C1255" s="1">
        <v>12.5</v>
      </c>
      <c r="D1255" s="1">
        <v>45</v>
      </c>
      <c r="E1255" s="1">
        <v>0</v>
      </c>
      <c r="F1255">
        <f t="shared" si="19"/>
        <v>562.5</v>
      </c>
    </row>
    <row r="1256" spans="1:6" ht="13">
      <c r="A1256" s="1">
        <v>10722</v>
      </c>
      <c r="B1256" s="1">
        <v>75</v>
      </c>
      <c r="C1256" s="1">
        <v>7.75</v>
      </c>
      <c r="D1256" s="1">
        <v>42</v>
      </c>
      <c r="E1256" s="1">
        <v>0</v>
      </c>
      <c r="F1256">
        <f t="shared" si="19"/>
        <v>325.5</v>
      </c>
    </row>
    <row r="1257" spans="1:6" ht="13">
      <c r="A1257" s="1">
        <v>10723</v>
      </c>
      <c r="B1257" s="1">
        <v>26</v>
      </c>
      <c r="C1257" s="1">
        <v>31.23</v>
      </c>
      <c r="D1257" s="1">
        <v>15</v>
      </c>
      <c r="E1257" s="1">
        <v>0</v>
      </c>
      <c r="F1257">
        <f t="shared" si="19"/>
        <v>468.45</v>
      </c>
    </row>
    <row r="1258" spans="1:6" ht="13">
      <c r="A1258" s="1">
        <v>10724</v>
      </c>
      <c r="B1258" s="1">
        <v>10</v>
      </c>
      <c r="C1258" s="1">
        <v>31</v>
      </c>
      <c r="D1258" s="1">
        <v>16</v>
      </c>
      <c r="E1258" s="1">
        <v>0</v>
      </c>
      <c r="F1258">
        <f t="shared" si="19"/>
        <v>496</v>
      </c>
    </row>
    <row r="1259" spans="1:6" ht="13">
      <c r="A1259" s="1">
        <v>10724</v>
      </c>
      <c r="B1259" s="1">
        <v>61</v>
      </c>
      <c r="C1259" s="1">
        <v>28.5</v>
      </c>
      <c r="D1259" s="1">
        <v>5</v>
      </c>
      <c r="E1259" s="1">
        <v>0</v>
      </c>
      <c r="F1259">
        <f t="shared" si="19"/>
        <v>142.5</v>
      </c>
    </row>
    <row r="1260" spans="1:6" ht="13">
      <c r="A1260" s="1">
        <v>10725</v>
      </c>
      <c r="B1260" s="1">
        <v>41</v>
      </c>
      <c r="C1260" s="1">
        <v>9.65</v>
      </c>
      <c r="D1260" s="1">
        <v>12</v>
      </c>
      <c r="E1260" s="1">
        <v>0</v>
      </c>
      <c r="F1260">
        <f t="shared" si="19"/>
        <v>115.80000000000001</v>
      </c>
    </row>
    <row r="1261" spans="1:6" ht="13">
      <c r="A1261" s="1">
        <v>10725</v>
      </c>
      <c r="B1261" s="1">
        <v>52</v>
      </c>
      <c r="C1261" s="1">
        <v>7</v>
      </c>
      <c r="D1261" s="1">
        <v>4</v>
      </c>
      <c r="E1261" s="1">
        <v>0</v>
      </c>
      <c r="F1261">
        <f t="shared" si="19"/>
        <v>28</v>
      </c>
    </row>
    <row r="1262" spans="1:6" ht="13">
      <c r="A1262" s="1">
        <v>10725</v>
      </c>
      <c r="B1262" s="1">
        <v>55</v>
      </c>
      <c r="C1262" s="1">
        <v>24</v>
      </c>
      <c r="D1262" s="1">
        <v>6</v>
      </c>
      <c r="E1262" s="1">
        <v>0</v>
      </c>
      <c r="F1262">
        <f t="shared" si="19"/>
        <v>144</v>
      </c>
    </row>
    <row r="1263" spans="1:6" ht="13">
      <c r="A1263" s="1">
        <v>10726</v>
      </c>
      <c r="B1263" s="1">
        <v>4</v>
      </c>
      <c r="C1263" s="1">
        <v>22</v>
      </c>
      <c r="D1263" s="1">
        <v>25</v>
      </c>
      <c r="E1263" s="1">
        <v>0</v>
      </c>
      <c r="F1263">
        <f t="shared" si="19"/>
        <v>550</v>
      </c>
    </row>
    <row r="1264" spans="1:6" ht="13">
      <c r="A1264" s="1">
        <v>10726</v>
      </c>
      <c r="B1264" s="1">
        <v>11</v>
      </c>
      <c r="C1264" s="1">
        <v>21</v>
      </c>
      <c r="D1264" s="1">
        <v>5</v>
      </c>
      <c r="E1264" s="1">
        <v>0</v>
      </c>
      <c r="F1264">
        <f t="shared" si="19"/>
        <v>105</v>
      </c>
    </row>
    <row r="1265" spans="1:6" ht="13">
      <c r="A1265" s="1">
        <v>10727</v>
      </c>
      <c r="B1265" s="1">
        <v>17</v>
      </c>
      <c r="C1265" s="1">
        <v>39</v>
      </c>
      <c r="D1265" s="1">
        <v>20</v>
      </c>
      <c r="E1265" s="1">
        <v>0.05</v>
      </c>
      <c r="F1265">
        <f t="shared" si="19"/>
        <v>741</v>
      </c>
    </row>
    <row r="1266" spans="1:6" ht="13">
      <c r="A1266" s="1">
        <v>10727</v>
      </c>
      <c r="B1266" s="1">
        <v>56</v>
      </c>
      <c r="C1266" s="1">
        <v>38</v>
      </c>
      <c r="D1266" s="1">
        <v>10</v>
      </c>
      <c r="E1266" s="1">
        <v>0.05</v>
      </c>
      <c r="F1266">
        <f t="shared" si="19"/>
        <v>361</v>
      </c>
    </row>
    <row r="1267" spans="1:6" ht="13">
      <c r="A1267" s="1">
        <v>10727</v>
      </c>
      <c r="B1267" s="1">
        <v>59</v>
      </c>
      <c r="C1267" s="1">
        <v>55</v>
      </c>
      <c r="D1267" s="1">
        <v>10</v>
      </c>
      <c r="E1267" s="1">
        <v>0.05</v>
      </c>
      <c r="F1267">
        <f t="shared" si="19"/>
        <v>522.5</v>
      </c>
    </row>
    <row r="1268" spans="1:6" ht="13">
      <c r="A1268" s="1">
        <v>10728</v>
      </c>
      <c r="B1268" s="1">
        <v>30</v>
      </c>
      <c r="C1268" s="1">
        <v>25.89</v>
      </c>
      <c r="D1268" s="1">
        <v>15</v>
      </c>
      <c r="E1268" s="1">
        <v>0</v>
      </c>
      <c r="F1268">
        <f t="shared" si="19"/>
        <v>388.35</v>
      </c>
    </row>
    <row r="1269" spans="1:6" ht="13">
      <c r="A1269" s="1">
        <v>10728</v>
      </c>
      <c r="B1269" s="1">
        <v>40</v>
      </c>
      <c r="C1269" s="1">
        <v>18.399999999999999</v>
      </c>
      <c r="D1269" s="1">
        <v>6</v>
      </c>
      <c r="E1269" s="1">
        <v>0</v>
      </c>
      <c r="F1269">
        <f t="shared" si="19"/>
        <v>110.39999999999999</v>
      </c>
    </row>
    <row r="1270" spans="1:6" ht="13">
      <c r="A1270" s="1">
        <v>10728</v>
      </c>
      <c r="B1270" s="1">
        <v>55</v>
      </c>
      <c r="C1270" s="1">
        <v>24</v>
      </c>
      <c r="D1270" s="1">
        <v>12</v>
      </c>
      <c r="E1270" s="1">
        <v>0</v>
      </c>
      <c r="F1270">
        <f t="shared" si="19"/>
        <v>288</v>
      </c>
    </row>
    <row r="1271" spans="1:6" ht="13">
      <c r="A1271" s="1">
        <v>10728</v>
      </c>
      <c r="B1271" s="1">
        <v>60</v>
      </c>
      <c r="C1271" s="1">
        <v>34</v>
      </c>
      <c r="D1271" s="1">
        <v>15</v>
      </c>
      <c r="E1271" s="1">
        <v>0</v>
      </c>
      <c r="F1271">
        <f t="shared" si="19"/>
        <v>510</v>
      </c>
    </row>
    <row r="1272" spans="1:6" ht="13">
      <c r="A1272" s="1">
        <v>10729</v>
      </c>
      <c r="B1272" s="1">
        <v>1</v>
      </c>
      <c r="C1272" s="1">
        <v>18</v>
      </c>
      <c r="D1272" s="1">
        <v>50</v>
      </c>
      <c r="E1272" s="1">
        <v>0</v>
      </c>
      <c r="F1272">
        <f t="shared" si="19"/>
        <v>900</v>
      </c>
    </row>
    <row r="1273" spans="1:6" ht="13">
      <c r="A1273" s="1">
        <v>10729</v>
      </c>
      <c r="B1273" s="1">
        <v>21</v>
      </c>
      <c r="C1273" s="1">
        <v>10</v>
      </c>
      <c r="D1273" s="1">
        <v>30</v>
      </c>
      <c r="E1273" s="1">
        <v>0</v>
      </c>
      <c r="F1273">
        <f t="shared" si="19"/>
        <v>300</v>
      </c>
    </row>
    <row r="1274" spans="1:6" ht="13">
      <c r="A1274" s="1">
        <v>10729</v>
      </c>
      <c r="B1274" s="1">
        <v>50</v>
      </c>
      <c r="C1274" s="1">
        <v>16.25</v>
      </c>
      <c r="D1274" s="1">
        <v>40</v>
      </c>
      <c r="E1274" s="1">
        <v>0</v>
      </c>
      <c r="F1274">
        <f t="shared" si="19"/>
        <v>650</v>
      </c>
    </row>
    <row r="1275" spans="1:6" ht="13">
      <c r="A1275" s="1">
        <v>10730</v>
      </c>
      <c r="B1275" s="1">
        <v>16</v>
      </c>
      <c r="C1275" s="1">
        <v>17.45</v>
      </c>
      <c r="D1275" s="1">
        <v>15</v>
      </c>
      <c r="E1275" s="1">
        <v>0.05</v>
      </c>
      <c r="F1275">
        <f t="shared" si="19"/>
        <v>248.66249999999999</v>
      </c>
    </row>
    <row r="1276" spans="1:6" ht="13">
      <c r="A1276" s="1">
        <v>10730</v>
      </c>
      <c r="B1276" s="1">
        <v>31</v>
      </c>
      <c r="C1276" s="1">
        <v>12.5</v>
      </c>
      <c r="D1276" s="1">
        <v>3</v>
      </c>
      <c r="E1276" s="1">
        <v>0.05</v>
      </c>
      <c r="F1276">
        <f t="shared" si="19"/>
        <v>35.625</v>
      </c>
    </row>
    <row r="1277" spans="1:6" ht="13">
      <c r="A1277" s="1">
        <v>10730</v>
      </c>
      <c r="B1277" s="1">
        <v>65</v>
      </c>
      <c r="C1277" s="1">
        <v>21.05</v>
      </c>
      <c r="D1277" s="1">
        <v>10</v>
      </c>
      <c r="E1277" s="1">
        <v>0.05</v>
      </c>
      <c r="F1277">
        <f t="shared" si="19"/>
        <v>199.97499999999999</v>
      </c>
    </row>
    <row r="1278" spans="1:6" ht="13">
      <c r="A1278" s="1">
        <v>10731</v>
      </c>
      <c r="B1278" s="1">
        <v>21</v>
      </c>
      <c r="C1278" s="1">
        <v>10</v>
      </c>
      <c r="D1278" s="1">
        <v>40</v>
      </c>
      <c r="E1278" s="1">
        <v>0.05</v>
      </c>
      <c r="F1278">
        <f t="shared" si="19"/>
        <v>380</v>
      </c>
    </row>
    <row r="1279" spans="1:6" ht="13">
      <c r="A1279" s="1">
        <v>10731</v>
      </c>
      <c r="B1279" s="1">
        <v>51</v>
      </c>
      <c r="C1279" s="1">
        <v>53</v>
      </c>
      <c r="D1279" s="1">
        <v>30</v>
      </c>
      <c r="E1279" s="1">
        <v>0.05</v>
      </c>
      <c r="F1279">
        <f t="shared" si="19"/>
        <v>1510.5</v>
      </c>
    </row>
    <row r="1280" spans="1:6" ht="13">
      <c r="A1280" s="1">
        <v>10732</v>
      </c>
      <c r="B1280" s="1">
        <v>76</v>
      </c>
      <c r="C1280" s="1">
        <v>18</v>
      </c>
      <c r="D1280" s="1">
        <v>20</v>
      </c>
      <c r="E1280" s="1">
        <v>0</v>
      </c>
      <c r="F1280">
        <f t="shared" si="19"/>
        <v>360</v>
      </c>
    </row>
    <row r="1281" spans="1:6" ht="13">
      <c r="A1281" s="1">
        <v>10733</v>
      </c>
      <c r="B1281" s="1">
        <v>14</v>
      </c>
      <c r="C1281" s="1">
        <v>23.25</v>
      </c>
      <c r="D1281" s="1">
        <v>16</v>
      </c>
      <c r="E1281" s="1">
        <v>0</v>
      </c>
      <c r="F1281">
        <f t="shared" si="19"/>
        <v>372</v>
      </c>
    </row>
    <row r="1282" spans="1:6" ht="13">
      <c r="A1282" s="1">
        <v>10733</v>
      </c>
      <c r="B1282" s="1">
        <v>28</v>
      </c>
      <c r="C1282" s="1">
        <v>45.6</v>
      </c>
      <c r="D1282" s="1">
        <v>20</v>
      </c>
      <c r="E1282" s="1">
        <v>0</v>
      </c>
      <c r="F1282">
        <f t="shared" si="19"/>
        <v>912</v>
      </c>
    </row>
    <row r="1283" spans="1:6" ht="13">
      <c r="A1283" s="1">
        <v>10733</v>
      </c>
      <c r="B1283" s="1">
        <v>52</v>
      </c>
      <c r="C1283" s="1">
        <v>7</v>
      </c>
      <c r="D1283" s="1">
        <v>25</v>
      </c>
      <c r="E1283" s="1">
        <v>0</v>
      </c>
      <c r="F1283">
        <f t="shared" ref="F1283:F1346" si="20">C1283*D1283*(1-E1283)</f>
        <v>175</v>
      </c>
    </row>
    <row r="1284" spans="1:6" ht="13">
      <c r="A1284" s="1">
        <v>10734</v>
      </c>
      <c r="B1284" s="1">
        <v>6</v>
      </c>
      <c r="C1284" s="1">
        <v>25</v>
      </c>
      <c r="D1284" s="1">
        <v>30</v>
      </c>
      <c r="E1284" s="1">
        <v>0</v>
      </c>
      <c r="F1284">
        <f t="shared" si="20"/>
        <v>750</v>
      </c>
    </row>
    <row r="1285" spans="1:6" ht="13">
      <c r="A1285" s="1">
        <v>10734</v>
      </c>
      <c r="B1285" s="1">
        <v>30</v>
      </c>
      <c r="C1285" s="1">
        <v>25.89</v>
      </c>
      <c r="D1285" s="1">
        <v>15</v>
      </c>
      <c r="E1285" s="1">
        <v>0</v>
      </c>
      <c r="F1285">
        <f t="shared" si="20"/>
        <v>388.35</v>
      </c>
    </row>
    <row r="1286" spans="1:6" ht="13">
      <c r="A1286" s="1">
        <v>10734</v>
      </c>
      <c r="B1286" s="1">
        <v>76</v>
      </c>
      <c r="C1286" s="1">
        <v>18</v>
      </c>
      <c r="D1286" s="1">
        <v>20</v>
      </c>
      <c r="E1286" s="1">
        <v>0</v>
      </c>
      <c r="F1286">
        <f t="shared" si="20"/>
        <v>360</v>
      </c>
    </row>
    <row r="1287" spans="1:6" ht="13">
      <c r="A1287" s="1">
        <v>10735</v>
      </c>
      <c r="B1287" s="1">
        <v>61</v>
      </c>
      <c r="C1287" s="1">
        <v>28.5</v>
      </c>
      <c r="D1287" s="1">
        <v>20</v>
      </c>
      <c r="E1287" s="1">
        <v>0.1</v>
      </c>
      <c r="F1287">
        <f t="shared" si="20"/>
        <v>513</v>
      </c>
    </row>
    <row r="1288" spans="1:6" ht="13">
      <c r="A1288" s="1">
        <v>10735</v>
      </c>
      <c r="B1288" s="1">
        <v>77</v>
      </c>
      <c r="C1288" s="1">
        <v>13</v>
      </c>
      <c r="D1288" s="1">
        <v>2</v>
      </c>
      <c r="E1288" s="1">
        <v>0.1</v>
      </c>
      <c r="F1288">
        <f t="shared" si="20"/>
        <v>23.400000000000002</v>
      </c>
    </row>
    <row r="1289" spans="1:6" ht="13">
      <c r="A1289" s="1">
        <v>10736</v>
      </c>
      <c r="B1289" s="1">
        <v>65</v>
      </c>
      <c r="C1289" s="1">
        <v>21.05</v>
      </c>
      <c r="D1289" s="1">
        <v>40</v>
      </c>
      <c r="E1289" s="1">
        <v>0</v>
      </c>
      <c r="F1289">
        <f t="shared" si="20"/>
        <v>842</v>
      </c>
    </row>
    <row r="1290" spans="1:6" ht="13">
      <c r="A1290" s="1">
        <v>10736</v>
      </c>
      <c r="B1290" s="1">
        <v>75</v>
      </c>
      <c r="C1290" s="1">
        <v>7.75</v>
      </c>
      <c r="D1290" s="1">
        <v>20</v>
      </c>
      <c r="E1290" s="1">
        <v>0</v>
      </c>
      <c r="F1290">
        <f t="shared" si="20"/>
        <v>155</v>
      </c>
    </row>
    <row r="1291" spans="1:6" ht="13">
      <c r="A1291" s="1">
        <v>10737</v>
      </c>
      <c r="B1291" s="1">
        <v>13</v>
      </c>
      <c r="C1291" s="1">
        <v>6</v>
      </c>
      <c r="D1291" s="1">
        <v>4</v>
      </c>
      <c r="E1291" s="1">
        <v>0</v>
      </c>
      <c r="F1291">
        <f t="shared" si="20"/>
        <v>24</v>
      </c>
    </row>
    <row r="1292" spans="1:6" ht="13">
      <c r="A1292" s="1">
        <v>10737</v>
      </c>
      <c r="B1292" s="1">
        <v>41</v>
      </c>
      <c r="C1292" s="1">
        <v>9.65</v>
      </c>
      <c r="D1292" s="1">
        <v>12</v>
      </c>
      <c r="E1292" s="1">
        <v>0</v>
      </c>
      <c r="F1292">
        <f t="shared" si="20"/>
        <v>115.80000000000001</v>
      </c>
    </row>
    <row r="1293" spans="1:6" ht="13">
      <c r="A1293" s="1">
        <v>10738</v>
      </c>
      <c r="B1293" s="1">
        <v>16</v>
      </c>
      <c r="C1293" s="1">
        <v>17.45</v>
      </c>
      <c r="D1293" s="1">
        <v>3</v>
      </c>
      <c r="E1293" s="1">
        <v>0</v>
      </c>
      <c r="F1293">
        <f t="shared" si="20"/>
        <v>52.349999999999994</v>
      </c>
    </row>
    <row r="1294" spans="1:6" ht="13">
      <c r="A1294" s="1">
        <v>10739</v>
      </c>
      <c r="B1294" s="1">
        <v>36</v>
      </c>
      <c r="C1294" s="1">
        <v>19</v>
      </c>
      <c r="D1294" s="1">
        <v>6</v>
      </c>
      <c r="E1294" s="1">
        <v>0</v>
      </c>
      <c r="F1294">
        <f t="shared" si="20"/>
        <v>114</v>
      </c>
    </row>
    <row r="1295" spans="1:6" ht="13">
      <c r="A1295" s="1">
        <v>10739</v>
      </c>
      <c r="B1295" s="1">
        <v>52</v>
      </c>
      <c r="C1295" s="1">
        <v>7</v>
      </c>
      <c r="D1295" s="1">
        <v>18</v>
      </c>
      <c r="E1295" s="1">
        <v>0</v>
      </c>
      <c r="F1295">
        <f t="shared" si="20"/>
        <v>126</v>
      </c>
    </row>
    <row r="1296" spans="1:6" ht="13">
      <c r="A1296" s="1">
        <v>10740</v>
      </c>
      <c r="B1296" s="1">
        <v>28</v>
      </c>
      <c r="C1296" s="1">
        <v>45.6</v>
      </c>
      <c r="D1296" s="1">
        <v>5</v>
      </c>
      <c r="E1296" s="1">
        <v>0.2</v>
      </c>
      <c r="F1296">
        <f t="shared" si="20"/>
        <v>182.4</v>
      </c>
    </row>
    <row r="1297" spans="1:6" ht="13">
      <c r="A1297" s="1">
        <v>10740</v>
      </c>
      <c r="B1297" s="1">
        <v>35</v>
      </c>
      <c r="C1297" s="1">
        <v>18</v>
      </c>
      <c r="D1297" s="1">
        <v>35</v>
      </c>
      <c r="E1297" s="1">
        <v>0.2</v>
      </c>
      <c r="F1297">
        <f t="shared" si="20"/>
        <v>504</v>
      </c>
    </row>
    <row r="1298" spans="1:6" ht="13">
      <c r="A1298" s="1">
        <v>10740</v>
      </c>
      <c r="B1298" s="1">
        <v>45</v>
      </c>
      <c r="C1298" s="1">
        <v>9.5</v>
      </c>
      <c r="D1298" s="1">
        <v>40</v>
      </c>
      <c r="E1298" s="1">
        <v>0.2</v>
      </c>
      <c r="F1298">
        <f t="shared" si="20"/>
        <v>304</v>
      </c>
    </row>
    <row r="1299" spans="1:6" ht="13">
      <c r="A1299" s="1">
        <v>10740</v>
      </c>
      <c r="B1299" s="1">
        <v>56</v>
      </c>
      <c r="C1299" s="1">
        <v>38</v>
      </c>
      <c r="D1299" s="1">
        <v>14</v>
      </c>
      <c r="E1299" s="1">
        <v>0.2</v>
      </c>
      <c r="F1299">
        <f t="shared" si="20"/>
        <v>425.6</v>
      </c>
    </row>
    <row r="1300" spans="1:6" ht="13">
      <c r="A1300" s="1">
        <v>10741</v>
      </c>
      <c r="B1300" s="1">
        <v>2</v>
      </c>
      <c r="C1300" s="1">
        <v>19</v>
      </c>
      <c r="D1300" s="1">
        <v>15</v>
      </c>
      <c r="E1300" s="1">
        <v>0.2</v>
      </c>
      <c r="F1300">
        <f t="shared" si="20"/>
        <v>228</v>
      </c>
    </row>
    <row r="1301" spans="1:6" ht="13">
      <c r="A1301" s="1">
        <v>10742</v>
      </c>
      <c r="B1301" s="1">
        <v>3</v>
      </c>
      <c r="C1301" s="1">
        <v>10</v>
      </c>
      <c r="D1301" s="1">
        <v>20</v>
      </c>
      <c r="E1301" s="1">
        <v>0</v>
      </c>
      <c r="F1301">
        <f t="shared" si="20"/>
        <v>200</v>
      </c>
    </row>
    <row r="1302" spans="1:6" ht="13">
      <c r="A1302" s="1">
        <v>10742</v>
      </c>
      <c r="B1302" s="1">
        <v>60</v>
      </c>
      <c r="C1302" s="1">
        <v>34</v>
      </c>
      <c r="D1302" s="1">
        <v>50</v>
      </c>
      <c r="E1302" s="1">
        <v>0</v>
      </c>
      <c r="F1302">
        <f t="shared" si="20"/>
        <v>1700</v>
      </c>
    </row>
    <row r="1303" spans="1:6" ht="13">
      <c r="A1303" s="1">
        <v>10742</v>
      </c>
      <c r="B1303" s="1">
        <v>72</v>
      </c>
      <c r="C1303" s="1">
        <v>34.799999999999997</v>
      </c>
      <c r="D1303" s="1">
        <v>35</v>
      </c>
      <c r="E1303" s="1">
        <v>0</v>
      </c>
      <c r="F1303">
        <f t="shared" si="20"/>
        <v>1218</v>
      </c>
    </row>
    <row r="1304" spans="1:6" ht="13">
      <c r="A1304" s="1">
        <v>10743</v>
      </c>
      <c r="B1304" s="1">
        <v>46</v>
      </c>
      <c r="C1304" s="1">
        <v>12</v>
      </c>
      <c r="D1304" s="1">
        <v>28</v>
      </c>
      <c r="E1304" s="1">
        <v>0.05</v>
      </c>
      <c r="F1304">
        <f t="shared" si="20"/>
        <v>319.2</v>
      </c>
    </row>
    <row r="1305" spans="1:6" ht="13">
      <c r="A1305" s="1">
        <v>10744</v>
      </c>
      <c r="B1305" s="1">
        <v>40</v>
      </c>
      <c r="C1305" s="1">
        <v>18.399999999999999</v>
      </c>
      <c r="D1305" s="1">
        <v>50</v>
      </c>
      <c r="E1305" s="1">
        <v>0.2</v>
      </c>
      <c r="F1305">
        <f t="shared" si="20"/>
        <v>736</v>
      </c>
    </row>
    <row r="1306" spans="1:6" ht="13">
      <c r="A1306" s="1">
        <v>10745</v>
      </c>
      <c r="B1306" s="1">
        <v>18</v>
      </c>
      <c r="C1306" s="1">
        <v>62.5</v>
      </c>
      <c r="D1306" s="1">
        <v>24</v>
      </c>
      <c r="E1306" s="1">
        <v>0</v>
      </c>
      <c r="F1306">
        <f t="shared" si="20"/>
        <v>1500</v>
      </c>
    </row>
    <row r="1307" spans="1:6" ht="13">
      <c r="A1307" s="1">
        <v>10745</v>
      </c>
      <c r="B1307" s="1">
        <v>44</v>
      </c>
      <c r="C1307" s="1">
        <v>19.45</v>
      </c>
      <c r="D1307" s="1">
        <v>16</v>
      </c>
      <c r="E1307" s="1">
        <v>0</v>
      </c>
      <c r="F1307">
        <f t="shared" si="20"/>
        <v>311.2</v>
      </c>
    </row>
    <row r="1308" spans="1:6" ht="13">
      <c r="A1308" s="1">
        <v>10745</v>
      </c>
      <c r="B1308" s="1">
        <v>59</v>
      </c>
      <c r="C1308" s="1">
        <v>55</v>
      </c>
      <c r="D1308" s="1">
        <v>45</v>
      </c>
      <c r="E1308" s="1">
        <v>0</v>
      </c>
      <c r="F1308">
        <f t="shared" si="20"/>
        <v>2475</v>
      </c>
    </row>
    <row r="1309" spans="1:6" ht="13">
      <c r="A1309" s="1">
        <v>10745</v>
      </c>
      <c r="B1309" s="1">
        <v>72</v>
      </c>
      <c r="C1309" s="1">
        <v>34.799999999999997</v>
      </c>
      <c r="D1309" s="1">
        <v>7</v>
      </c>
      <c r="E1309" s="1">
        <v>0</v>
      </c>
      <c r="F1309">
        <f t="shared" si="20"/>
        <v>243.59999999999997</v>
      </c>
    </row>
    <row r="1310" spans="1:6" ht="13">
      <c r="A1310" s="1">
        <v>10746</v>
      </c>
      <c r="B1310" s="1">
        <v>13</v>
      </c>
      <c r="C1310" s="1">
        <v>6</v>
      </c>
      <c r="D1310" s="1">
        <v>6</v>
      </c>
      <c r="E1310" s="1">
        <v>0</v>
      </c>
      <c r="F1310">
        <f t="shared" si="20"/>
        <v>36</v>
      </c>
    </row>
    <row r="1311" spans="1:6" ht="13">
      <c r="A1311" s="1">
        <v>10746</v>
      </c>
      <c r="B1311" s="1">
        <v>42</v>
      </c>
      <c r="C1311" s="1">
        <v>14</v>
      </c>
      <c r="D1311" s="1">
        <v>28</v>
      </c>
      <c r="E1311" s="1">
        <v>0</v>
      </c>
      <c r="F1311">
        <f t="shared" si="20"/>
        <v>392</v>
      </c>
    </row>
    <row r="1312" spans="1:6" ht="13">
      <c r="A1312" s="1">
        <v>10746</v>
      </c>
      <c r="B1312" s="1">
        <v>62</v>
      </c>
      <c r="C1312" s="1">
        <v>49.3</v>
      </c>
      <c r="D1312" s="1">
        <v>9</v>
      </c>
      <c r="E1312" s="1">
        <v>0</v>
      </c>
      <c r="F1312">
        <f t="shared" si="20"/>
        <v>443.7</v>
      </c>
    </row>
    <row r="1313" spans="1:6" ht="13">
      <c r="A1313" s="1">
        <v>10746</v>
      </c>
      <c r="B1313" s="1">
        <v>69</v>
      </c>
      <c r="C1313" s="1">
        <v>36</v>
      </c>
      <c r="D1313" s="1">
        <v>40</v>
      </c>
      <c r="E1313" s="1">
        <v>0</v>
      </c>
      <c r="F1313">
        <f t="shared" si="20"/>
        <v>1440</v>
      </c>
    </row>
    <row r="1314" spans="1:6" ht="13">
      <c r="A1314" s="1">
        <v>10747</v>
      </c>
      <c r="B1314" s="1">
        <v>31</v>
      </c>
      <c r="C1314" s="1">
        <v>12.5</v>
      </c>
      <c r="D1314" s="1">
        <v>8</v>
      </c>
      <c r="E1314" s="1">
        <v>0</v>
      </c>
      <c r="F1314">
        <f t="shared" si="20"/>
        <v>100</v>
      </c>
    </row>
    <row r="1315" spans="1:6" ht="13">
      <c r="A1315" s="1">
        <v>10747</v>
      </c>
      <c r="B1315" s="1">
        <v>41</v>
      </c>
      <c r="C1315" s="1">
        <v>9.65</v>
      </c>
      <c r="D1315" s="1">
        <v>35</v>
      </c>
      <c r="E1315" s="1">
        <v>0</v>
      </c>
      <c r="F1315">
        <f t="shared" si="20"/>
        <v>337.75</v>
      </c>
    </row>
    <row r="1316" spans="1:6" ht="13">
      <c r="A1316" s="1">
        <v>10747</v>
      </c>
      <c r="B1316" s="1">
        <v>63</v>
      </c>
      <c r="C1316" s="1">
        <v>43.9</v>
      </c>
      <c r="D1316" s="1">
        <v>9</v>
      </c>
      <c r="E1316" s="1">
        <v>0</v>
      </c>
      <c r="F1316">
        <f t="shared" si="20"/>
        <v>395.09999999999997</v>
      </c>
    </row>
    <row r="1317" spans="1:6" ht="13">
      <c r="A1317" s="1">
        <v>10747</v>
      </c>
      <c r="B1317" s="1">
        <v>69</v>
      </c>
      <c r="C1317" s="1">
        <v>36</v>
      </c>
      <c r="D1317" s="1">
        <v>30</v>
      </c>
      <c r="E1317" s="1">
        <v>0</v>
      </c>
      <c r="F1317">
        <f t="shared" si="20"/>
        <v>1080</v>
      </c>
    </row>
    <row r="1318" spans="1:6" ht="13">
      <c r="A1318" s="1">
        <v>10748</v>
      </c>
      <c r="B1318" s="1">
        <v>23</v>
      </c>
      <c r="C1318" s="1">
        <v>9</v>
      </c>
      <c r="D1318" s="1">
        <v>44</v>
      </c>
      <c r="E1318" s="1">
        <v>0</v>
      </c>
      <c r="F1318">
        <f t="shared" si="20"/>
        <v>396</v>
      </c>
    </row>
    <row r="1319" spans="1:6" ht="13">
      <c r="A1319" s="1">
        <v>10748</v>
      </c>
      <c r="B1319" s="1">
        <v>40</v>
      </c>
      <c r="C1319" s="1">
        <v>18.399999999999999</v>
      </c>
      <c r="D1319" s="1">
        <v>40</v>
      </c>
      <c r="E1319" s="1">
        <v>0</v>
      </c>
      <c r="F1319">
        <f t="shared" si="20"/>
        <v>736</v>
      </c>
    </row>
    <row r="1320" spans="1:6" ht="13">
      <c r="A1320" s="1">
        <v>10748</v>
      </c>
      <c r="B1320" s="1">
        <v>56</v>
      </c>
      <c r="C1320" s="1">
        <v>38</v>
      </c>
      <c r="D1320" s="1">
        <v>28</v>
      </c>
      <c r="E1320" s="1">
        <v>0</v>
      </c>
      <c r="F1320">
        <f t="shared" si="20"/>
        <v>1064</v>
      </c>
    </row>
    <row r="1321" spans="1:6" ht="13">
      <c r="A1321" s="1">
        <v>10749</v>
      </c>
      <c r="B1321" s="1">
        <v>56</v>
      </c>
      <c r="C1321" s="1">
        <v>38</v>
      </c>
      <c r="D1321" s="1">
        <v>15</v>
      </c>
      <c r="E1321" s="1">
        <v>0</v>
      </c>
      <c r="F1321">
        <f t="shared" si="20"/>
        <v>570</v>
      </c>
    </row>
    <row r="1322" spans="1:6" ht="13">
      <c r="A1322" s="1">
        <v>10749</v>
      </c>
      <c r="B1322" s="1">
        <v>59</v>
      </c>
      <c r="C1322" s="1">
        <v>55</v>
      </c>
      <c r="D1322" s="1">
        <v>6</v>
      </c>
      <c r="E1322" s="1">
        <v>0</v>
      </c>
      <c r="F1322">
        <f t="shared" si="20"/>
        <v>330</v>
      </c>
    </row>
    <row r="1323" spans="1:6" ht="13">
      <c r="A1323" s="1">
        <v>10749</v>
      </c>
      <c r="B1323" s="1">
        <v>76</v>
      </c>
      <c r="C1323" s="1">
        <v>18</v>
      </c>
      <c r="D1323" s="1">
        <v>10</v>
      </c>
      <c r="E1323" s="1">
        <v>0</v>
      </c>
      <c r="F1323">
        <f t="shared" si="20"/>
        <v>180</v>
      </c>
    </row>
    <row r="1324" spans="1:6" ht="13">
      <c r="A1324" s="1">
        <v>10750</v>
      </c>
      <c r="B1324" s="1">
        <v>14</v>
      </c>
      <c r="C1324" s="1">
        <v>23.25</v>
      </c>
      <c r="D1324" s="1">
        <v>5</v>
      </c>
      <c r="E1324" s="1">
        <v>0.15</v>
      </c>
      <c r="F1324">
        <f t="shared" si="20"/>
        <v>98.8125</v>
      </c>
    </row>
    <row r="1325" spans="1:6" ht="13">
      <c r="A1325" s="1">
        <v>10750</v>
      </c>
      <c r="B1325" s="1">
        <v>45</v>
      </c>
      <c r="C1325" s="1">
        <v>9.5</v>
      </c>
      <c r="D1325" s="1">
        <v>40</v>
      </c>
      <c r="E1325" s="1">
        <v>0.15</v>
      </c>
      <c r="F1325">
        <f t="shared" si="20"/>
        <v>323</v>
      </c>
    </row>
    <row r="1326" spans="1:6" ht="13">
      <c r="A1326" s="1">
        <v>10750</v>
      </c>
      <c r="B1326" s="1">
        <v>59</v>
      </c>
      <c r="C1326" s="1">
        <v>55</v>
      </c>
      <c r="D1326" s="1">
        <v>25</v>
      </c>
      <c r="E1326" s="1">
        <v>0.15</v>
      </c>
      <c r="F1326">
        <f t="shared" si="20"/>
        <v>1168.75</v>
      </c>
    </row>
    <row r="1327" spans="1:6" ht="13">
      <c r="A1327" s="1">
        <v>10751</v>
      </c>
      <c r="B1327" s="1">
        <v>26</v>
      </c>
      <c r="C1327" s="1">
        <v>31.23</v>
      </c>
      <c r="D1327" s="1">
        <v>12</v>
      </c>
      <c r="E1327" s="1">
        <v>0.1</v>
      </c>
      <c r="F1327">
        <f t="shared" si="20"/>
        <v>337.28399999999999</v>
      </c>
    </row>
    <row r="1328" spans="1:6" ht="13">
      <c r="A1328" s="1">
        <v>10751</v>
      </c>
      <c r="B1328" s="1">
        <v>30</v>
      </c>
      <c r="C1328" s="1">
        <v>25.89</v>
      </c>
      <c r="D1328" s="1">
        <v>30</v>
      </c>
      <c r="E1328" s="1">
        <v>0</v>
      </c>
      <c r="F1328">
        <f t="shared" si="20"/>
        <v>776.7</v>
      </c>
    </row>
    <row r="1329" spans="1:6" ht="13">
      <c r="A1329" s="1">
        <v>10751</v>
      </c>
      <c r="B1329" s="1">
        <v>50</v>
      </c>
      <c r="C1329" s="1">
        <v>16.25</v>
      </c>
      <c r="D1329" s="1">
        <v>20</v>
      </c>
      <c r="E1329" s="1">
        <v>0.1</v>
      </c>
      <c r="F1329">
        <f t="shared" si="20"/>
        <v>292.5</v>
      </c>
    </row>
    <row r="1330" spans="1:6" ht="13">
      <c r="A1330" s="1">
        <v>10751</v>
      </c>
      <c r="B1330" s="1">
        <v>73</v>
      </c>
      <c r="C1330" s="1">
        <v>15</v>
      </c>
      <c r="D1330" s="1">
        <v>15</v>
      </c>
      <c r="E1330" s="1">
        <v>0</v>
      </c>
      <c r="F1330">
        <f t="shared" si="20"/>
        <v>225</v>
      </c>
    </row>
    <row r="1331" spans="1:6" ht="13">
      <c r="A1331" s="1">
        <v>10752</v>
      </c>
      <c r="B1331" s="1">
        <v>1</v>
      </c>
      <c r="C1331" s="1">
        <v>18</v>
      </c>
      <c r="D1331" s="1">
        <v>8</v>
      </c>
      <c r="E1331" s="1">
        <v>0</v>
      </c>
      <c r="F1331">
        <f t="shared" si="20"/>
        <v>144</v>
      </c>
    </row>
    <row r="1332" spans="1:6" ht="13">
      <c r="A1332" s="1">
        <v>10752</v>
      </c>
      <c r="B1332" s="1">
        <v>69</v>
      </c>
      <c r="C1332" s="1">
        <v>36</v>
      </c>
      <c r="D1332" s="1">
        <v>3</v>
      </c>
      <c r="E1332" s="1">
        <v>0</v>
      </c>
      <c r="F1332">
        <f t="shared" si="20"/>
        <v>108</v>
      </c>
    </row>
    <row r="1333" spans="1:6" ht="13">
      <c r="A1333" s="1">
        <v>10753</v>
      </c>
      <c r="B1333" s="1">
        <v>45</v>
      </c>
      <c r="C1333" s="1">
        <v>9.5</v>
      </c>
      <c r="D1333" s="1">
        <v>4</v>
      </c>
      <c r="E1333" s="1">
        <v>0</v>
      </c>
      <c r="F1333">
        <f t="shared" si="20"/>
        <v>38</v>
      </c>
    </row>
    <row r="1334" spans="1:6" ht="13">
      <c r="A1334" s="1">
        <v>10753</v>
      </c>
      <c r="B1334" s="1">
        <v>74</v>
      </c>
      <c r="C1334" s="1">
        <v>10</v>
      </c>
      <c r="D1334" s="1">
        <v>5</v>
      </c>
      <c r="E1334" s="1">
        <v>0</v>
      </c>
      <c r="F1334">
        <f t="shared" si="20"/>
        <v>50</v>
      </c>
    </row>
    <row r="1335" spans="1:6" ht="13">
      <c r="A1335" s="1">
        <v>10754</v>
      </c>
      <c r="B1335" s="1">
        <v>40</v>
      </c>
      <c r="C1335" s="1">
        <v>18.399999999999999</v>
      </c>
      <c r="D1335" s="1">
        <v>3</v>
      </c>
      <c r="E1335" s="1">
        <v>0</v>
      </c>
      <c r="F1335">
        <f t="shared" si="20"/>
        <v>55.199999999999996</v>
      </c>
    </row>
    <row r="1336" spans="1:6" ht="13">
      <c r="A1336" s="1">
        <v>10755</v>
      </c>
      <c r="B1336" s="1">
        <v>47</v>
      </c>
      <c r="C1336" s="1">
        <v>9.5</v>
      </c>
      <c r="D1336" s="1">
        <v>30</v>
      </c>
      <c r="E1336" s="1">
        <v>0.25</v>
      </c>
      <c r="F1336">
        <f t="shared" si="20"/>
        <v>213.75</v>
      </c>
    </row>
    <row r="1337" spans="1:6" ht="13">
      <c r="A1337" s="1">
        <v>10755</v>
      </c>
      <c r="B1337" s="1">
        <v>56</v>
      </c>
      <c r="C1337" s="1">
        <v>38</v>
      </c>
      <c r="D1337" s="1">
        <v>30</v>
      </c>
      <c r="E1337" s="1">
        <v>0.25</v>
      </c>
      <c r="F1337">
        <f t="shared" si="20"/>
        <v>855</v>
      </c>
    </row>
    <row r="1338" spans="1:6" ht="13">
      <c r="A1338" s="1">
        <v>10755</v>
      </c>
      <c r="B1338" s="1">
        <v>57</v>
      </c>
      <c r="C1338" s="1">
        <v>19.5</v>
      </c>
      <c r="D1338" s="1">
        <v>14</v>
      </c>
      <c r="E1338" s="1">
        <v>0.25</v>
      </c>
      <c r="F1338">
        <f t="shared" si="20"/>
        <v>204.75</v>
      </c>
    </row>
    <row r="1339" spans="1:6" ht="13">
      <c r="A1339" s="1">
        <v>10755</v>
      </c>
      <c r="B1339" s="1">
        <v>69</v>
      </c>
      <c r="C1339" s="1">
        <v>36</v>
      </c>
      <c r="D1339" s="1">
        <v>25</v>
      </c>
      <c r="E1339" s="1">
        <v>0.25</v>
      </c>
      <c r="F1339">
        <f t="shared" si="20"/>
        <v>675</v>
      </c>
    </row>
    <row r="1340" spans="1:6" ht="13">
      <c r="A1340" s="1">
        <v>10756</v>
      </c>
      <c r="B1340" s="1">
        <v>18</v>
      </c>
      <c r="C1340" s="1">
        <v>62.5</v>
      </c>
      <c r="D1340" s="1">
        <v>21</v>
      </c>
      <c r="E1340" s="1">
        <v>0.2</v>
      </c>
      <c r="F1340">
        <f t="shared" si="20"/>
        <v>1050</v>
      </c>
    </row>
    <row r="1341" spans="1:6" ht="13">
      <c r="A1341" s="1">
        <v>10756</v>
      </c>
      <c r="B1341" s="1">
        <v>36</v>
      </c>
      <c r="C1341" s="1">
        <v>19</v>
      </c>
      <c r="D1341" s="1">
        <v>20</v>
      </c>
      <c r="E1341" s="1">
        <v>0.2</v>
      </c>
      <c r="F1341">
        <f t="shared" si="20"/>
        <v>304</v>
      </c>
    </row>
    <row r="1342" spans="1:6" ht="13">
      <c r="A1342" s="1">
        <v>10756</v>
      </c>
      <c r="B1342" s="1">
        <v>68</v>
      </c>
      <c r="C1342" s="1">
        <v>12.5</v>
      </c>
      <c r="D1342" s="1">
        <v>6</v>
      </c>
      <c r="E1342" s="1">
        <v>0.2</v>
      </c>
      <c r="F1342">
        <f t="shared" si="20"/>
        <v>60</v>
      </c>
    </row>
    <row r="1343" spans="1:6" ht="13">
      <c r="A1343" s="1">
        <v>10756</v>
      </c>
      <c r="B1343" s="1">
        <v>69</v>
      </c>
      <c r="C1343" s="1">
        <v>36</v>
      </c>
      <c r="D1343" s="1">
        <v>20</v>
      </c>
      <c r="E1343" s="1">
        <v>0.2</v>
      </c>
      <c r="F1343">
        <f t="shared" si="20"/>
        <v>576</v>
      </c>
    </row>
    <row r="1344" spans="1:6" ht="13">
      <c r="A1344" s="1">
        <v>10757</v>
      </c>
      <c r="B1344" s="1">
        <v>34</v>
      </c>
      <c r="C1344" s="1">
        <v>14</v>
      </c>
      <c r="D1344" s="1">
        <v>30</v>
      </c>
      <c r="E1344" s="1">
        <v>0</v>
      </c>
      <c r="F1344">
        <f t="shared" si="20"/>
        <v>420</v>
      </c>
    </row>
    <row r="1345" spans="1:6" ht="13">
      <c r="A1345" s="1">
        <v>10757</v>
      </c>
      <c r="B1345" s="1">
        <v>59</v>
      </c>
      <c r="C1345" s="1">
        <v>55</v>
      </c>
      <c r="D1345" s="1">
        <v>7</v>
      </c>
      <c r="E1345" s="1">
        <v>0</v>
      </c>
      <c r="F1345">
        <f t="shared" si="20"/>
        <v>385</v>
      </c>
    </row>
    <row r="1346" spans="1:6" ht="13">
      <c r="A1346" s="1">
        <v>10757</v>
      </c>
      <c r="B1346" s="1">
        <v>62</v>
      </c>
      <c r="C1346" s="1">
        <v>49.3</v>
      </c>
      <c r="D1346" s="1">
        <v>30</v>
      </c>
      <c r="E1346" s="1">
        <v>0</v>
      </c>
      <c r="F1346">
        <f t="shared" si="20"/>
        <v>1479</v>
      </c>
    </row>
    <row r="1347" spans="1:6" ht="13">
      <c r="A1347" s="1">
        <v>10757</v>
      </c>
      <c r="B1347" s="1">
        <v>64</v>
      </c>
      <c r="C1347" s="1">
        <v>33.25</v>
      </c>
      <c r="D1347" s="1">
        <v>24</v>
      </c>
      <c r="E1347" s="1">
        <v>0</v>
      </c>
      <c r="F1347">
        <f t="shared" ref="F1347:F1410" si="21">C1347*D1347*(1-E1347)</f>
        <v>798</v>
      </c>
    </row>
    <row r="1348" spans="1:6" ht="13">
      <c r="A1348" s="1">
        <v>10758</v>
      </c>
      <c r="B1348" s="1">
        <v>26</v>
      </c>
      <c r="C1348" s="1">
        <v>31.23</v>
      </c>
      <c r="D1348" s="1">
        <v>20</v>
      </c>
      <c r="E1348" s="1">
        <v>0</v>
      </c>
      <c r="F1348">
        <f t="shared" si="21"/>
        <v>624.6</v>
      </c>
    </row>
    <row r="1349" spans="1:6" ht="13">
      <c r="A1349" s="1">
        <v>10758</v>
      </c>
      <c r="B1349" s="1">
        <v>52</v>
      </c>
      <c r="C1349" s="1">
        <v>7</v>
      </c>
      <c r="D1349" s="1">
        <v>60</v>
      </c>
      <c r="E1349" s="1">
        <v>0</v>
      </c>
      <c r="F1349">
        <f t="shared" si="21"/>
        <v>420</v>
      </c>
    </row>
    <row r="1350" spans="1:6" ht="13">
      <c r="A1350" s="1">
        <v>10758</v>
      </c>
      <c r="B1350" s="1">
        <v>70</v>
      </c>
      <c r="C1350" s="1">
        <v>15</v>
      </c>
      <c r="D1350" s="1">
        <v>40</v>
      </c>
      <c r="E1350" s="1">
        <v>0</v>
      </c>
      <c r="F1350">
        <f t="shared" si="21"/>
        <v>600</v>
      </c>
    </row>
    <row r="1351" spans="1:6" ht="13">
      <c r="A1351" s="1">
        <v>10759</v>
      </c>
      <c r="B1351" s="1">
        <v>32</v>
      </c>
      <c r="C1351" s="1">
        <v>32</v>
      </c>
      <c r="D1351" s="1">
        <v>10</v>
      </c>
      <c r="E1351" s="1">
        <v>0</v>
      </c>
      <c r="F1351">
        <f t="shared" si="21"/>
        <v>320</v>
      </c>
    </row>
    <row r="1352" spans="1:6" ht="13">
      <c r="A1352" s="1">
        <v>10760</v>
      </c>
      <c r="B1352" s="1">
        <v>25</v>
      </c>
      <c r="C1352" s="1">
        <v>14</v>
      </c>
      <c r="D1352" s="1">
        <v>12</v>
      </c>
      <c r="E1352" s="1">
        <v>0.25</v>
      </c>
      <c r="F1352">
        <f t="shared" si="21"/>
        <v>126</v>
      </c>
    </row>
    <row r="1353" spans="1:6" ht="13">
      <c r="A1353" s="1">
        <v>10760</v>
      </c>
      <c r="B1353" s="1">
        <v>27</v>
      </c>
      <c r="C1353" s="1">
        <v>43.9</v>
      </c>
      <c r="D1353" s="1">
        <v>40</v>
      </c>
      <c r="E1353" s="1">
        <v>0</v>
      </c>
      <c r="F1353">
        <f t="shared" si="21"/>
        <v>1756</v>
      </c>
    </row>
    <row r="1354" spans="1:6" ht="13">
      <c r="A1354" s="1">
        <v>10760</v>
      </c>
      <c r="B1354" s="1">
        <v>43</v>
      </c>
      <c r="C1354" s="1">
        <v>46</v>
      </c>
      <c r="D1354" s="1">
        <v>30</v>
      </c>
      <c r="E1354" s="1">
        <v>0.25</v>
      </c>
      <c r="F1354">
        <f t="shared" si="21"/>
        <v>1035</v>
      </c>
    </row>
    <row r="1355" spans="1:6" ht="13">
      <c r="A1355" s="1">
        <v>10761</v>
      </c>
      <c r="B1355" s="1">
        <v>25</v>
      </c>
      <c r="C1355" s="1">
        <v>14</v>
      </c>
      <c r="D1355" s="1">
        <v>35</v>
      </c>
      <c r="E1355" s="1">
        <v>0.25</v>
      </c>
      <c r="F1355">
        <f t="shared" si="21"/>
        <v>367.5</v>
      </c>
    </row>
    <row r="1356" spans="1:6" ht="13">
      <c r="A1356" s="1">
        <v>10761</v>
      </c>
      <c r="B1356" s="1">
        <v>75</v>
      </c>
      <c r="C1356" s="1">
        <v>7.75</v>
      </c>
      <c r="D1356" s="1">
        <v>18</v>
      </c>
      <c r="E1356" s="1">
        <v>0</v>
      </c>
      <c r="F1356">
        <f t="shared" si="21"/>
        <v>139.5</v>
      </c>
    </row>
    <row r="1357" spans="1:6" ht="13">
      <c r="A1357" s="1">
        <v>10762</v>
      </c>
      <c r="B1357" s="1">
        <v>39</v>
      </c>
      <c r="C1357" s="1">
        <v>18</v>
      </c>
      <c r="D1357" s="1">
        <v>16</v>
      </c>
      <c r="E1357" s="1">
        <v>0</v>
      </c>
      <c r="F1357">
        <f t="shared" si="21"/>
        <v>288</v>
      </c>
    </row>
    <row r="1358" spans="1:6" ht="13">
      <c r="A1358" s="1">
        <v>10762</v>
      </c>
      <c r="B1358" s="1">
        <v>47</v>
      </c>
      <c r="C1358" s="1">
        <v>9.5</v>
      </c>
      <c r="D1358" s="1">
        <v>30</v>
      </c>
      <c r="E1358" s="1">
        <v>0</v>
      </c>
      <c r="F1358">
        <f t="shared" si="21"/>
        <v>285</v>
      </c>
    </row>
    <row r="1359" spans="1:6" ht="13">
      <c r="A1359" s="1">
        <v>10762</v>
      </c>
      <c r="B1359" s="1">
        <v>51</v>
      </c>
      <c r="C1359" s="1">
        <v>53</v>
      </c>
      <c r="D1359" s="1">
        <v>28</v>
      </c>
      <c r="E1359" s="1">
        <v>0</v>
      </c>
      <c r="F1359">
        <f t="shared" si="21"/>
        <v>1484</v>
      </c>
    </row>
    <row r="1360" spans="1:6" ht="13">
      <c r="A1360" s="1">
        <v>10762</v>
      </c>
      <c r="B1360" s="1">
        <v>56</v>
      </c>
      <c r="C1360" s="1">
        <v>38</v>
      </c>
      <c r="D1360" s="1">
        <v>60</v>
      </c>
      <c r="E1360" s="1">
        <v>0</v>
      </c>
      <c r="F1360">
        <f t="shared" si="21"/>
        <v>2280</v>
      </c>
    </row>
    <row r="1361" spans="1:6" ht="13">
      <c r="A1361" s="1">
        <v>10763</v>
      </c>
      <c r="B1361" s="1">
        <v>21</v>
      </c>
      <c r="C1361" s="1">
        <v>10</v>
      </c>
      <c r="D1361" s="1">
        <v>40</v>
      </c>
      <c r="E1361" s="1">
        <v>0</v>
      </c>
      <c r="F1361">
        <f t="shared" si="21"/>
        <v>400</v>
      </c>
    </row>
    <row r="1362" spans="1:6" ht="13">
      <c r="A1362" s="1">
        <v>10763</v>
      </c>
      <c r="B1362" s="1">
        <v>22</v>
      </c>
      <c r="C1362" s="1">
        <v>21</v>
      </c>
      <c r="D1362" s="1">
        <v>6</v>
      </c>
      <c r="E1362" s="1">
        <v>0</v>
      </c>
      <c r="F1362">
        <f t="shared" si="21"/>
        <v>126</v>
      </c>
    </row>
    <row r="1363" spans="1:6" ht="13">
      <c r="A1363" s="1">
        <v>10763</v>
      </c>
      <c r="B1363" s="1">
        <v>24</v>
      </c>
      <c r="C1363" s="1">
        <v>4.5</v>
      </c>
      <c r="D1363" s="1">
        <v>20</v>
      </c>
      <c r="E1363" s="1">
        <v>0</v>
      </c>
      <c r="F1363">
        <f t="shared" si="21"/>
        <v>90</v>
      </c>
    </row>
    <row r="1364" spans="1:6" ht="13">
      <c r="A1364" s="1">
        <v>10764</v>
      </c>
      <c r="B1364" s="1">
        <v>3</v>
      </c>
      <c r="C1364" s="1">
        <v>10</v>
      </c>
      <c r="D1364" s="1">
        <v>20</v>
      </c>
      <c r="E1364" s="1">
        <v>0.1</v>
      </c>
      <c r="F1364">
        <f t="shared" si="21"/>
        <v>180</v>
      </c>
    </row>
    <row r="1365" spans="1:6" ht="13">
      <c r="A1365" s="1">
        <v>10764</v>
      </c>
      <c r="B1365" s="1">
        <v>39</v>
      </c>
      <c r="C1365" s="1">
        <v>18</v>
      </c>
      <c r="D1365" s="1">
        <v>130</v>
      </c>
      <c r="E1365" s="1">
        <v>0.1</v>
      </c>
      <c r="F1365">
        <f t="shared" si="21"/>
        <v>2106</v>
      </c>
    </row>
    <row r="1366" spans="1:6" ht="13">
      <c r="A1366" s="1">
        <v>10765</v>
      </c>
      <c r="B1366" s="1">
        <v>65</v>
      </c>
      <c r="C1366" s="1">
        <v>21.05</v>
      </c>
      <c r="D1366" s="1">
        <v>80</v>
      </c>
      <c r="E1366" s="1">
        <v>0.1</v>
      </c>
      <c r="F1366">
        <f t="shared" si="21"/>
        <v>1515.6000000000001</v>
      </c>
    </row>
    <row r="1367" spans="1:6" ht="13">
      <c r="A1367" s="1">
        <v>10766</v>
      </c>
      <c r="B1367" s="1">
        <v>2</v>
      </c>
      <c r="C1367" s="1">
        <v>19</v>
      </c>
      <c r="D1367" s="1">
        <v>40</v>
      </c>
      <c r="E1367" s="1">
        <v>0</v>
      </c>
      <c r="F1367">
        <f t="shared" si="21"/>
        <v>760</v>
      </c>
    </row>
    <row r="1368" spans="1:6" ht="13">
      <c r="A1368" s="1">
        <v>10766</v>
      </c>
      <c r="B1368" s="1">
        <v>7</v>
      </c>
      <c r="C1368" s="1">
        <v>30</v>
      </c>
      <c r="D1368" s="1">
        <v>35</v>
      </c>
      <c r="E1368" s="1">
        <v>0</v>
      </c>
      <c r="F1368">
        <f t="shared" si="21"/>
        <v>1050</v>
      </c>
    </row>
    <row r="1369" spans="1:6" ht="13">
      <c r="A1369" s="1">
        <v>10766</v>
      </c>
      <c r="B1369" s="1">
        <v>68</v>
      </c>
      <c r="C1369" s="1">
        <v>12.5</v>
      </c>
      <c r="D1369" s="1">
        <v>40</v>
      </c>
      <c r="E1369" s="1">
        <v>0</v>
      </c>
      <c r="F1369">
        <f t="shared" si="21"/>
        <v>500</v>
      </c>
    </row>
    <row r="1370" spans="1:6" ht="13">
      <c r="A1370" s="1">
        <v>10767</v>
      </c>
      <c r="B1370" s="1">
        <v>42</v>
      </c>
      <c r="C1370" s="1">
        <v>14</v>
      </c>
      <c r="D1370" s="1">
        <v>2</v>
      </c>
      <c r="E1370" s="1">
        <v>0</v>
      </c>
      <c r="F1370">
        <f t="shared" si="21"/>
        <v>28</v>
      </c>
    </row>
    <row r="1371" spans="1:6" ht="13">
      <c r="A1371" s="1">
        <v>10768</v>
      </c>
      <c r="B1371" s="1">
        <v>22</v>
      </c>
      <c r="C1371" s="1">
        <v>21</v>
      </c>
      <c r="D1371" s="1">
        <v>4</v>
      </c>
      <c r="E1371" s="1">
        <v>0</v>
      </c>
      <c r="F1371">
        <f t="shared" si="21"/>
        <v>84</v>
      </c>
    </row>
    <row r="1372" spans="1:6" ht="13">
      <c r="A1372" s="1">
        <v>10768</v>
      </c>
      <c r="B1372" s="1">
        <v>31</v>
      </c>
      <c r="C1372" s="1">
        <v>12.5</v>
      </c>
      <c r="D1372" s="1">
        <v>50</v>
      </c>
      <c r="E1372" s="1">
        <v>0</v>
      </c>
      <c r="F1372">
        <f t="shared" si="21"/>
        <v>625</v>
      </c>
    </row>
    <row r="1373" spans="1:6" ht="13">
      <c r="A1373" s="1">
        <v>10768</v>
      </c>
      <c r="B1373" s="1">
        <v>60</v>
      </c>
      <c r="C1373" s="1">
        <v>34</v>
      </c>
      <c r="D1373" s="1">
        <v>15</v>
      </c>
      <c r="E1373" s="1">
        <v>0</v>
      </c>
      <c r="F1373">
        <f t="shared" si="21"/>
        <v>510</v>
      </c>
    </row>
    <row r="1374" spans="1:6" ht="13">
      <c r="A1374" s="1">
        <v>10768</v>
      </c>
      <c r="B1374" s="1">
        <v>71</v>
      </c>
      <c r="C1374" s="1">
        <v>21.5</v>
      </c>
      <c r="D1374" s="1">
        <v>12</v>
      </c>
      <c r="E1374" s="1">
        <v>0</v>
      </c>
      <c r="F1374">
        <f t="shared" si="21"/>
        <v>258</v>
      </c>
    </row>
    <row r="1375" spans="1:6" ht="13">
      <c r="A1375" s="1">
        <v>10769</v>
      </c>
      <c r="B1375" s="1">
        <v>41</v>
      </c>
      <c r="C1375" s="1">
        <v>9.65</v>
      </c>
      <c r="D1375" s="1">
        <v>30</v>
      </c>
      <c r="E1375" s="1">
        <v>0.05</v>
      </c>
      <c r="F1375">
        <f t="shared" si="21"/>
        <v>275.02499999999998</v>
      </c>
    </row>
    <row r="1376" spans="1:6" ht="13">
      <c r="A1376" s="1">
        <v>10769</v>
      </c>
      <c r="B1376" s="1">
        <v>52</v>
      </c>
      <c r="C1376" s="1">
        <v>7</v>
      </c>
      <c r="D1376" s="1">
        <v>15</v>
      </c>
      <c r="E1376" s="1">
        <v>0.05</v>
      </c>
      <c r="F1376">
        <f t="shared" si="21"/>
        <v>99.75</v>
      </c>
    </row>
    <row r="1377" spans="1:6" ht="13">
      <c r="A1377" s="1">
        <v>10769</v>
      </c>
      <c r="B1377" s="1">
        <v>61</v>
      </c>
      <c r="C1377" s="1">
        <v>28.5</v>
      </c>
      <c r="D1377" s="1">
        <v>20</v>
      </c>
      <c r="E1377" s="1">
        <v>0</v>
      </c>
      <c r="F1377">
        <f t="shared" si="21"/>
        <v>570</v>
      </c>
    </row>
    <row r="1378" spans="1:6" ht="13">
      <c r="A1378" s="1">
        <v>10769</v>
      </c>
      <c r="B1378" s="1">
        <v>62</v>
      </c>
      <c r="C1378" s="1">
        <v>49.3</v>
      </c>
      <c r="D1378" s="1">
        <v>15</v>
      </c>
      <c r="E1378" s="1">
        <v>0</v>
      </c>
      <c r="F1378">
        <f t="shared" si="21"/>
        <v>739.5</v>
      </c>
    </row>
    <row r="1379" spans="1:6" ht="13">
      <c r="A1379" s="1">
        <v>10770</v>
      </c>
      <c r="B1379" s="1">
        <v>11</v>
      </c>
      <c r="C1379" s="1">
        <v>21</v>
      </c>
      <c r="D1379" s="1">
        <v>15</v>
      </c>
      <c r="E1379" s="1">
        <v>0.25</v>
      </c>
      <c r="F1379">
        <f t="shared" si="21"/>
        <v>236.25</v>
      </c>
    </row>
    <row r="1380" spans="1:6" ht="13">
      <c r="A1380" s="1">
        <v>10771</v>
      </c>
      <c r="B1380" s="1">
        <v>71</v>
      </c>
      <c r="C1380" s="1">
        <v>21.5</v>
      </c>
      <c r="D1380" s="1">
        <v>16</v>
      </c>
      <c r="E1380" s="1">
        <v>0</v>
      </c>
      <c r="F1380">
        <f t="shared" si="21"/>
        <v>344</v>
      </c>
    </row>
    <row r="1381" spans="1:6" ht="13">
      <c r="A1381" s="1">
        <v>10772</v>
      </c>
      <c r="B1381" s="1">
        <v>29</v>
      </c>
      <c r="C1381" s="1">
        <v>123.79</v>
      </c>
      <c r="D1381" s="1">
        <v>18</v>
      </c>
      <c r="E1381" s="1">
        <v>0</v>
      </c>
      <c r="F1381">
        <f t="shared" si="21"/>
        <v>2228.2200000000003</v>
      </c>
    </row>
    <row r="1382" spans="1:6" ht="13">
      <c r="A1382" s="1">
        <v>10772</v>
      </c>
      <c r="B1382" s="1">
        <v>59</v>
      </c>
      <c r="C1382" s="1">
        <v>55</v>
      </c>
      <c r="D1382" s="1">
        <v>25</v>
      </c>
      <c r="E1382" s="1">
        <v>0</v>
      </c>
      <c r="F1382">
        <f t="shared" si="21"/>
        <v>1375</v>
      </c>
    </row>
    <row r="1383" spans="1:6" ht="13">
      <c r="A1383" s="1">
        <v>10773</v>
      </c>
      <c r="B1383" s="1">
        <v>17</v>
      </c>
      <c r="C1383" s="1">
        <v>39</v>
      </c>
      <c r="D1383" s="1">
        <v>33</v>
      </c>
      <c r="E1383" s="1">
        <v>0</v>
      </c>
      <c r="F1383">
        <f t="shared" si="21"/>
        <v>1287</v>
      </c>
    </row>
    <row r="1384" spans="1:6" ht="13">
      <c r="A1384" s="1">
        <v>10773</v>
      </c>
      <c r="B1384" s="1">
        <v>31</v>
      </c>
      <c r="C1384" s="1">
        <v>12.5</v>
      </c>
      <c r="D1384" s="1">
        <v>70</v>
      </c>
      <c r="E1384" s="1">
        <v>0.2</v>
      </c>
      <c r="F1384">
        <f t="shared" si="21"/>
        <v>700</v>
      </c>
    </row>
    <row r="1385" spans="1:6" ht="13">
      <c r="A1385" s="1">
        <v>10773</v>
      </c>
      <c r="B1385" s="1">
        <v>75</v>
      </c>
      <c r="C1385" s="1">
        <v>7.75</v>
      </c>
      <c r="D1385" s="1">
        <v>7</v>
      </c>
      <c r="E1385" s="1">
        <v>0.2</v>
      </c>
      <c r="F1385">
        <f t="shared" si="21"/>
        <v>43.400000000000006</v>
      </c>
    </row>
    <row r="1386" spans="1:6" ht="13">
      <c r="A1386" s="1">
        <v>10774</v>
      </c>
      <c r="B1386" s="1">
        <v>31</v>
      </c>
      <c r="C1386" s="1">
        <v>12.5</v>
      </c>
      <c r="D1386" s="1">
        <v>2</v>
      </c>
      <c r="E1386" s="1">
        <v>0.25</v>
      </c>
      <c r="F1386">
        <f t="shared" si="21"/>
        <v>18.75</v>
      </c>
    </row>
    <row r="1387" spans="1:6" ht="13">
      <c r="A1387" s="1">
        <v>10774</v>
      </c>
      <c r="B1387" s="1">
        <v>66</v>
      </c>
      <c r="C1387" s="1">
        <v>17</v>
      </c>
      <c r="D1387" s="1">
        <v>50</v>
      </c>
      <c r="E1387" s="1">
        <v>0</v>
      </c>
      <c r="F1387">
        <f t="shared" si="21"/>
        <v>850</v>
      </c>
    </row>
    <row r="1388" spans="1:6" ht="13">
      <c r="A1388" s="1">
        <v>10775</v>
      </c>
      <c r="B1388" s="1">
        <v>10</v>
      </c>
      <c r="C1388" s="1">
        <v>31</v>
      </c>
      <c r="D1388" s="1">
        <v>6</v>
      </c>
      <c r="E1388" s="1">
        <v>0</v>
      </c>
      <c r="F1388">
        <f t="shared" si="21"/>
        <v>186</v>
      </c>
    </row>
    <row r="1389" spans="1:6" ht="13">
      <c r="A1389" s="1">
        <v>10775</v>
      </c>
      <c r="B1389" s="1">
        <v>67</v>
      </c>
      <c r="C1389" s="1">
        <v>14</v>
      </c>
      <c r="D1389" s="1">
        <v>3</v>
      </c>
      <c r="E1389" s="1">
        <v>0</v>
      </c>
      <c r="F1389">
        <f t="shared" si="21"/>
        <v>42</v>
      </c>
    </row>
    <row r="1390" spans="1:6" ht="13">
      <c r="A1390" s="1">
        <v>10776</v>
      </c>
      <c r="B1390" s="1">
        <v>31</v>
      </c>
      <c r="C1390" s="1">
        <v>12.5</v>
      </c>
      <c r="D1390" s="1">
        <v>16</v>
      </c>
      <c r="E1390" s="1">
        <v>0.05</v>
      </c>
      <c r="F1390">
        <f t="shared" si="21"/>
        <v>190</v>
      </c>
    </row>
    <row r="1391" spans="1:6" ht="13">
      <c r="A1391" s="1">
        <v>10776</v>
      </c>
      <c r="B1391" s="1">
        <v>42</v>
      </c>
      <c r="C1391" s="1">
        <v>14</v>
      </c>
      <c r="D1391" s="1">
        <v>12</v>
      </c>
      <c r="E1391" s="1">
        <v>0.05</v>
      </c>
      <c r="F1391">
        <f t="shared" si="21"/>
        <v>159.6</v>
      </c>
    </row>
    <row r="1392" spans="1:6" ht="13">
      <c r="A1392" s="1">
        <v>10776</v>
      </c>
      <c r="B1392" s="1">
        <v>45</v>
      </c>
      <c r="C1392" s="1">
        <v>9.5</v>
      </c>
      <c r="D1392" s="1">
        <v>27</v>
      </c>
      <c r="E1392" s="1">
        <v>0.05</v>
      </c>
      <c r="F1392">
        <f t="shared" si="21"/>
        <v>243.67499999999998</v>
      </c>
    </row>
    <row r="1393" spans="1:6" ht="13">
      <c r="A1393" s="1">
        <v>10776</v>
      </c>
      <c r="B1393" s="1">
        <v>51</v>
      </c>
      <c r="C1393" s="1">
        <v>53</v>
      </c>
      <c r="D1393" s="1">
        <v>120</v>
      </c>
      <c r="E1393" s="1">
        <v>0.05</v>
      </c>
      <c r="F1393">
        <f t="shared" si="21"/>
        <v>6042</v>
      </c>
    </row>
    <row r="1394" spans="1:6" ht="13">
      <c r="A1394" s="1">
        <v>10777</v>
      </c>
      <c r="B1394" s="1">
        <v>42</v>
      </c>
      <c r="C1394" s="1">
        <v>14</v>
      </c>
      <c r="D1394" s="1">
        <v>20</v>
      </c>
      <c r="E1394" s="1">
        <v>0.2</v>
      </c>
      <c r="F1394">
        <f t="shared" si="21"/>
        <v>224</v>
      </c>
    </row>
    <row r="1395" spans="1:6" ht="13">
      <c r="A1395" s="1">
        <v>10778</v>
      </c>
      <c r="B1395" s="1">
        <v>41</v>
      </c>
      <c r="C1395" s="1">
        <v>9.65</v>
      </c>
      <c r="D1395" s="1">
        <v>10</v>
      </c>
      <c r="E1395" s="1">
        <v>0</v>
      </c>
      <c r="F1395">
        <f t="shared" si="21"/>
        <v>96.5</v>
      </c>
    </row>
    <row r="1396" spans="1:6" ht="13">
      <c r="A1396" s="1">
        <v>10779</v>
      </c>
      <c r="B1396" s="1">
        <v>16</v>
      </c>
      <c r="C1396" s="1">
        <v>17.45</v>
      </c>
      <c r="D1396" s="1">
        <v>20</v>
      </c>
      <c r="E1396" s="1">
        <v>0</v>
      </c>
      <c r="F1396">
        <f t="shared" si="21"/>
        <v>349</v>
      </c>
    </row>
    <row r="1397" spans="1:6" ht="13">
      <c r="A1397" s="1">
        <v>10779</v>
      </c>
      <c r="B1397" s="1">
        <v>62</v>
      </c>
      <c r="C1397" s="1">
        <v>49.3</v>
      </c>
      <c r="D1397" s="1">
        <v>20</v>
      </c>
      <c r="E1397" s="1">
        <v>0</v>
      </c>
      <c r="F1397">
        <f t="shared" si="21"/>
        <v>986</v>
      </c>
    </row>
    <row r="1398" spans="1:6" ht="13">
      <c r="A1398" s="1">
        <v>10780</v>
      </c>
      <c r="B1398" s="1">
        <v>70</v>
      </c>
      <c r="C1398" s="1">
        <v>15</v>
      </c>
      <c r="D1398" s="1">
        <v>35</v>
      </c>
      <c r="E1398" s="1">
        <v>0</v>
      </c>
      <c r="F1398">
        <f t="shared" si="21"/>
        <v>525</v>
      </c>
    </row>
    <row r="1399" spans="1:6" ht="13">
      <c r="A1399" s="1">
        <v>10780</v>
      </c>
      <c r="B1399" s="1">
        <v>77</v>
      </c>
      <c r="C1399" s="1">
        <v>13</v>
      </c>
      <c r="D1399" s="1">
        <v>15</v>
      </c>
      <c r="E1399" s="1">
        <v>0</v>
      </c>
      <c r="F1399">
        <f t="shared" si="21"/>
        <v>195</v>
      </c>
    </row>
    <row r="1400" spans="1:6" ht="13">
      <c r="A1400" s="1">
        <v>10781</v>
      </c>
      <c r="B1400" s="1">
        <v>54</v>
      </c>
      <c r="C1400" s="1">
        <v>7.45</v>
      </c>
      <c r="D1400" s="1">
        <v>3</v>
      </c>
      <c r="E1400" s="1">
        <v>0.2</v>
      </c>
      <c r="F1400">
        <f t="shared" si="21"/>
        <v>17.880000000000003</v>
      </c>
    </row>
    <row r="1401" spans="1:6" ht="13">
      <c r="A1401" s="1">
        <v>10781</v>
      </c>
      <c r="B1401" s="1">
        <v>56</v>
      </c>
      <c r="C1401" s="1">
        <v>38</v>
      </c>
      <c r="D1401" s="1">
        <v>20</v>
      </c>
      <c r="E1401" s="1">
        <v>0.2</v>
      </c>
      <c r="F1401">
        <f t="shared" si="21"/>
        <v>608</v>
      </c>
    </row>
    <row r="1402" spans="1:6" ht="13">
      <c r="A1402" s="1">
        <v>10781</v>
      </c>
      <c r="B1402" s="1">
        <v>74</v>
      </c>
      <c r="C1402" s="1">
        <v>10</v>
      </c>
      <c r="D1402" s="1">
        <v>35</v>
      </c>
      <c r="E1402" s="1">
        <v>0</v>
      </c>
      <c r="F1402">
        <f t="shared" si="21"/>
        <v>350</v>
      </c>
    </row>
    <row r="1403" spans="1:6" ht="13">
      <c r="A1403" s="1">
        <v>10782</v>
      </c>
      <c r="B1403" s="1">
        <v>31</v>
      </c>
      <c r="C1403" s="1">
        <v>12.5</v>
      </c>
      <c r="D1403" s="1">
        <v>1</v>
      </c>
      <c r="E1403" s="1">
        <v>0</v>
      </c>
      <c r="F1403">
        <f t="shared" si="21"/>
        <v>12.5</v>
      </c>
    </row>
    <row r="1404" spans="1:6" ht="13">
      <c r="A1404" s="1">
        <v>10783</v>
      </c>
      <c r="B1404" s="1">
        <v>31</v>
      </c>
      <c r="C1404" s="1">
        <v>12.5</v>
      </c>
      <c r="D1404" s="1">
        <v>10</v>
      </c>
      <c r="E1404" s="1">
        <v>0</v>
      </c>
      <c r="F1404">
        <f t="shared" si="21"/>
        <v>125</v>
      </c>
    </row>
    <row r="1405" spans="1:6" ht="13">
      <c r="A1405" s="1">
        <v>10783</v>
      </c>
      <c r="B1405" s="1">
        <v>38</v>
      </c>
      <c r="C1405" s="1">
        <v>263.5</v>
      </c>
      <c r="D1405" s="1">
        <v>5</v>
      </c>
      <c r="E1405" s="1">
        <v>0</v>
      </c>
      <c r="F1405">
        <f t="shared" si="21"/>
        <v>1317.5</v>
      </c>
    </row>
    <row r="1406" spans="1:6" ht="13">
      <c r="A1406" s="1">
        <v>10784</v>
      </c>
      <c r="B1406" s="1">
        <v>36</v>
      </c>
      <c r="C1406" s="1">
        <v>19</v>
      </c>
      <c r="D1406" s="1">
        <v>30</v>
      </c>
      <c r="E1406" s="1">
        <v>0</v>
      </c>
      <c r="F1406">
        <f t="shared" si="21"/>
        <v>570</v>
      </c>
    </row>
    <row r="1407" spans="1:6" ht="13">
      <c r="A1407" s="1">
        <v>10784</v>
      </c>
      <c r="B1407" s="1">
        <v>39</v>
      </c>
      <c r="C1407" s="1">
        <v>18</v>
      </c>
      <c r="D1407" s="1">
        <v>2</v>
      </c>
      <c r="E1407" s="1">
        <v>0.15</v>
      </c>
      <c r="F1407">
        <f t="shared" si="21"/>
        <v>30.599999999999998</v>
      </c>
    </row>
    <row r="1408" spans="1:6" ht="13">
      <c r="A1408" s="1">
        <v>10784</v>
      </c>
      <c r="B1408" s="1">
        <v>72</v>
      </c>
      <c r="C1408" s="1">
        <v>34.799999999999997</v>
      </c>
      <c r="D1408" s="1">
        <v>30</v>
      </c>
      <c r="E1408" s="1">
        <v>0.15</v>
      </c>
      <c r="F1408">
        <f t="shared" si="21"/>
        <v>887.4</v>
      </c>
    </row>
    <row r="1409" spans="1:6" ht="13">
      <c r="A1409" s="1">
        <v>10785</v>
      </c>
      <c r="B1409" s="1">
        <v>10</v>
      </c>
      <c r="C1409" s="1">
        <v>31</v>
      </c>
      <c r="D1409" s="1">
        <v>10</v>
      </c>
      <c r="E1409" s="1">
        <v>0</v>
      </c>
      <c r="F1409">
        <f t="shared" si="21"/>
        <v>310</v>
      </c>
    </row>
    <row r="1410" spans="1:6" ht="13">
      <c r="A1410" s="1">
        <v>10785</v>
      </c>
      <c r="B1410" s="1">
        <v>75</v>
      </c>
      <c r="C1410" s="1">
        <v>7.75</v>
      </c>
      <c r="D1410" s="1">
        <v>10</v>
      </c>
      <c r="E1410" s="1">
        <v>0</v>
      </c>
      <c r="F1410">
        <f t="shared" si="21"/>
        <v>77.5</v>
      </c>
    </row>
    <row r="1411" spans="1:6" ht="13">
      <c r="A1411" s="1">
        <v>10786</v>
      </c>
      <c r="B1411" s="1">
        <v>8</v>
      </c>
      <c r="C1411" s="1">
        <v>40</v>
      </c>
      <c r="D1411" s="1">
        <v>30</v>
      </c>
      <c r="E1411" s="1">
        <v>0.2</v>
      </c>
      <c r="F1411">
        <f t="shared" ref="F1411:F1474" si="22">C1411*D1411*(1-E1411)</f>
        <v>960</v>
      </c>
    </row>
    <row r="1412" spans="1:6" ht="13">
      <c r="A1412" s="1">
        <v>10786</v>
      </c>
      <c r="B1412" s="1">
        <v>30</v>
      </c>
      <c r="C1412" s="1">
        <v>25.89</v>
      </c>
      <c r="D1412" s="1">
        <v>15</v>
      </c>
      <c r="E1412" s="1">
        <v>0.2</v>
      </c>
      <c r="F1412">
        <f t="shared" si="22"/>
        <v>310.68000000000006</v>
      </c>
    </row>
    <row r="1413" spans="1:6" ht="13">
      <c r="A1413" s="1">
        <v>10786</v>
      </c>
      <c r="B1413" s="1">
        <v>75</v>
      </c>
      <c r="C1413" s="1">
        <v>7.75</v>
      </c>
      <c r="D1413" s="1">
        <v>42</v>
      </c>
      <c r="E1413" s="1">
        <v>0.2</v>
      </c>
      <c r="F1413">
        <f t="shared" si="22"/>
        <v>260.40000000000003</v>
      </c>
    </row>
    <row r="1414" spans="1:6" ht="13">
      <c r="A1414" s="1">
        <v>10787</v>
      </c>
      <c r="B1414" s="1">
        <v>2</v>
      </c>
      <c r="C1414" s="1">
        <v>19</v>
      </c>
      <c r="D1414" s="1">
        <v>15</v>
      </c>
      <c r="E1414" s="1">
        <v>0.05</v>
      </c>
      <c r="F1414">
        <f t="shared" si="22"/>
        <v>270.75</v>
      </c>
    </row>
    <row r="1415" spans="1:6" ht="13">
      <c r="A1415" s="1">
        <v>10787</v>
      </c>
      <c r="B1415" s="1">
        <v>29</v>
      </c>
      <c r="C1415" s="1">
        <v>123.79</v>
      </c>
      <c r="D1415" s="1">
        <v>20</v>
      </c>
      <c r="E1415" s="1">
        <v>0.05</v>
      </c>
      <c r="F1415">
        <f t="shared" si="22"/>
        <v>2352.0100000000002</v>
      </c>
    </row>
    <row r="1416" spans="1:6" ht="13">
      <c r="A1416" s="1">
        <v>10788</v>
      </c>
      <c r="B1416" s="1">
        <v>19</v>
      </c>
      <c r="C1416" s="1">
        <v>9.1999999999999993</v>
      </c>
      <c r="D1416" s="1">
        <v>50</v>
      </c>
      <c r="E1416" s="1">
        <v>0.05</v>
      </c>
      <c r="F1416">
        <f t="shared" si="22"/>
        <v>436.99999999999994</v>
      </c>
    </row>
    <row r="1417" spans="1:6" ht="13">
      <c r="A1417" s="1">
        <v>10788</v>
      </c>
      <c r="B1417" s="1">
        <v>75</v>
      </c>
      <c r="C1417" s="1">
        <v>7.75</v>
      </c>
      <c r="D1417" s="1">
        <v>40</v>
      </c>
      <c r="E1417" s="1">
        <v>0.05</v>
      </c>
      <c r="F1417">
        <f t="shared" si="22"/>
        <v>294.5</v>
      </c>
    </row>
    <row r="1418" spans="1:6" ht="13">
      <c r="A1418" s="1">
        <v>10789</v>
      </c>
      <c r="B1418" s="1">
        <v>18</v>
      </c>
      <c r="C1418" s="1">
        <v>62.5</v>
      </c>
      <c r="D1418" s="1">
        <v>30</v>
      </c>
      <c r="E1418" s="1">
        <v>0</v>
      </c>
      <c r="F1418">
        <f t="shared" si="22"/>
        <v>1875</v>
      </c>
    </row>
    <row r="1419" spans="1:6" ht="13">
      <c r="A1419" s="1">
        <v>10789</v>
      </c>
      <c r="B1419" s="1">
        <v>35</v>
      </c>
      <c r="C1419" s="1">
        <v>18</v>
      </c>
      <c r="D1419" s="1">
        <v>15</v>
      </c>
      <c r="E1419" s="1">
        <v>0</v>
      </c>
      <c r="F1419">
        <f t="shared" si="22"/>
        <v>270</v>
      </c>
    </row>
    <row r="1420" spans="1:6" ht="13">
      <c r="A1420" s="1">
        <v>10789</v>
      </c>
      <c r="B1420" s="1">
        <v>63</v>
      </c>
      <c r="C1420" s="1">
        <v>43.9</v>
      </c>
      <c r="D1420" s="1">
        <v>30</v>
      </c>
      <c r="E1420" s="1">
        <v>0</v>
      </c>
      <c r="F1420">
        <f t="shared" si="22"/>
        <v>1317</v>
      </c>
    </row>
    <row r="1421" spans="1:6" ht="13">
      <c r="A1421" s="1">
        <v>10789</v>
      </c>
      <c r="B1421" s="1">
        <v>68</v>
      </c>
      <c r="C1421" s="1">
        <v>12.5</v>
      </c>
      <c r="D1421" s="1">
        <v>18</v>
      </c>
      <c r="E1421" s="1">
        <v>0</v>
      </c>
      <c r="F1421">
        <f t="shared" si="22"/>
        <v>225</v>
      </c>
    </row>
    <row r="1422" spans="1:6" ht="13">
      <c r="A1422" s="1">
        <v>10790</v>
      </c>
      <c r="B1422" s="1">
        <v>7</v>
      </c>
      <c r="C1422" s="1">
        <v>30</v>
      </c>
      <c r="D1422" s="1">
        <v>3</v>
      </c>
      <c r="E1422" s="1">
        <v>0.15</v>
      </c>
      <c r="F1422">
        <f t="shared" si="22"/>
        <v>76.5</v>
      </c>
    </row>
    <row r="1423" spans="1:6" ht="13">
      <c r="A1423" s="1">
        <v>10790</v>
      </c>
      <c r="B1423" s="1">
        <v>56</v>
      </c>
      <c r="C1423" s="1">
        <v>38</v>
      </c>
      <c r="D1423" s="1">
        <v>20</v>
      </c>
      <c r="E1423" s="1">
        <v>0.15</v>
      </c>
      <c r="F1423">
        <f t="shared" si="22"/>
        <v>646</v>
      </c>
    </row>
    <row r="1424" spans="1:6" ht="13">
      <c r="A1424" s="1">
        <v>10791</v>
      </c>
      <c r="B1424" s="1">
        <v>29</v>
      </c>
      <c r="C1424" s="1">
        <v>123.79</v>
      </c>
      <c r="D1424" s="1">
        <v>14</v>
      </c>
      <c r="E1424" s="1">
        <v>0.05</v>
      </c>
      <c r="F1424">
        <f t="shared" si="22"/>
        <v>1646.4070000000002</v>
      </c>
    </row>
    <row r="1425" spans="1:6" ht="13">
      <c r="A1425" s="1">
        <v>10791</v>
      </c>
      <c r="B1425" s="1">
        <v>41</v>
      </c>
      <c r="C1425" s="1">
        <v>9.65</v>
      </c>
      <c r="D1425" s="1">
        <v>20</v>
      </c>
      <c r="E1425" s="1">
        <v>0.05</v>
      </c>
      <c r="F1425">
        <f t="shared" si="22"/>
        <v>183.35</v>
      </c>
    </row>
    <row r="1426" spans="1:6" ht="13">
      <c r="A1426" s="1">
        <v>10792</v>
      </c>
      <c r="B1426" s="1">
        <v>2</v>
      </c>
      <c r="C1426" s="1">
        <v>19</v>
      </c>
      <c r="D1426" s="1">
        <v>10</v>
      </c>
      <c r="E1426" s="1">
        <v>0</v>
      </c>
      <c r="F1426">
        <f t="shared" si="22"/>
        <v>190</v>
      </c>
    </row>
    <row r="1427" spans="1:6" ht="13">
      <c r="A1427" s="1">
        <v>10792</v>
      </c>
      <c r="B1427" s="1">
        <v>54</v>
      </c>
      <c r="C1427" s="1">
        <v>7.45</v>
      </c>
      <c r="D1427" s="1">
        <v>3</v>
      </c>
      <c r="E1427" s="1">
        <v>0</v>
      </c>
      <c r="F1427">
        <f t="shared" si="22"/>
        <v>22.35</v>
      </c>
    </row>
    <row r="1428" spans="1:6" ht="13">
      <c r="A1428" s="1">
        <v>10792</v>
      </c>
      <c r="B1428" s="1">
        <v>68</v>
      </c>
      <c r="C1428" s="1">
        <v>12.5</v>
      </c>
      <c r="D1428" s="1">
        <v>15</v>
      </c>
      <c r="E1428" s="1">
        <v>0</v>
      </c>
      <c r="F1428">
        <f t="shared" si="22"/>
        <v>187.5</v>
      </c>
    </row>
    <row r="1429" spans="1:6" ht="13">
      <c r="A1429" s="1">
        <v>10793</v>
      </c>
      <c r="B1429" s="1">
        <v>41</v>
      </c>
      <c r="C1429" s="1">
        <v>9.65</v>
      </c>
      <c r="D1429" s="1">
        <v>14</v>
      </c>
      <c r="E1429" s="1">
        <v>0</v>
      </c>
      <c r="F1429">
        <f t="shared" si="22"/>
        <v>135.1</v>
      </c>
    </row>
    <row r="1430" spans="1:6" ht="13">
      <c r="A1430" s="1">
        <v>10793</v>
      </c>
      <c r="B1430" s="1">
        <v>52</v>
      </c>
      <c r="C1430" s="1">
        <v>7</v>
      </c>
      <c r="D1430" s="1">
        <v>8</v>
      </c>
      <c r="E1430" s="1">
        <v>0</v>
      </c>
      <c r="F1430">
        <f t="shared" si="22"/>
        <v>56</v>
      </c>
    </row>
    <row r="1431" spans="1:6" ht="13">
      <c r="A1431" s="1">
        <v>10794</v>
      </c>
      <c r="B1431" s="1">
        <v>14</v>
      </c>
      <c r="C1431" s="1">
        <v>23.25</v>
      </c>
      <c r="D1431" s="1">
        <v>15</v>
      </c>
      <c r="E1431" s="1">
        <v>0.2</v>
      </c>
      <c r="F1431">
        <f t="shared" si="22"/>
        <v>279</v>
      </c>
    </row>
    <row r="1432" spans="1:6" ht="13">
      <c r="A1432" s="1">
        <v>10794</v>
      </c>
      <c r="B1432" s="1">
        <v>54</v>
      </c>
      <c r="C1432" s="1">
        <v>7.45</v>
      </c>
      <c r="D1432" s="1">
        <v>6</v>
      </c>
      <c r="E1432" s="1">
        <v>0.2</v>
      </c>
      <c r="F1432">
        <f t="shared" si="22"/>
        <v>35.760000000000005</v>
      </c>
    </row>
    <row r="1433" spans="1:6" ht="13">
      <c r="A1433" s="1">
        <v>10795</v>
      </c>
      <c r="B1433" s="1">
        <v>16</v>
      </c>
      <c r="C1433" s="1">
        <v>17.45</v>
      </c>
      <c r="D1433" s="1">
        <v>65</v>
      </c>
      <c r="E1433" s="1">
        <v>0</v>
      </c>
      <c r="F1433">
        <f t="shared" si="22"/>
        <v>1134.25</v>
      </c>
    </row>
    <row r="1434" spans="1:6" ht="13">
      <c r="A1434" s="1">
        <v>10795</v>
      </c>
      <c r="B1434" s="1">
        <v>17</v>
      </c>
      <c r="C1434" s="1">
        <v>39</v>
      </c>
      <c r="D1434" s="1">
        <v>35</v>
      </c>
      <c r="E1434" s="1">
        <v>0.25</v>
      </c>
      <c r="F1434">
        <f t="shared" si="22"/>
        <v>1023.75</v>
      </c>
    </row>
    <row r="1435" spans="1:6" ht="13">
      <c r="A1435" s="1">
        <v>10796</v>
      </c>
      <c r="B1435" s="1">
        <v>26</v>
      </c>
      <c r="C1435" s="1">
        <v>31.23</v>
      </c>
      <c r="D1435" s="1">
        <v>21</v>
      </c>
      <c r="E1435" s="1">
        <v>0.2</v>
      </c>
      <c r="F1435">
        <f t="shared" si="22"/>
        <v>524.6640000000001</v>
      </c>
    </row>
    <row r="1436" spans="1:6" ht="13">
      <c r="A1436" s="1">
        <v>10796</v>
      </c>
      <c r="B1436" s="1">
        <v>44</v>
      </c>
      <c r="C1436" s="1">
        <v>19.45</v>
      </c>
      <c r="D1436" s="1">
        <v>10</v>
      </c>
      <c r="E1436" s="1">
        <v>0</v>
      </c>
      <c r="F1436">
        <f t="shared" si="22"/>
        <v>194.5</v>
      </c>
    </row>
    <row r="1437" spans="1:6" ht="13">
      <c r="A1437" s="1">
        <v>10796</v>
      </c>
      <c r="B1437" s="1">
        <v>64</v>
      </c>
      <c r="C1437" s="1">
        <v>33.25</v>
      </c>
      <c r="D1437" s="1">
        <v>35</v>
      </c>
      <c r="E1437" s="1">
        <v>0.2</v>
      </c>
      <c r="F1437">
        <f t="shared" si="22"/>
        <v>931</v>
      </c>
    </row>
    <row r="1438" spans="1:6" ht="13">
      <c r="A1438" s="1">
        <v>10796</v>
      </c>
      <c r="B1438" s="1">
        <v>69</v>
      </c>
      <c r="C1438" s="1">
        <v>36</v>
      </c>
      <c r="D1438" s="1">
        <v>24</v>
      </c>
      <c r="E1438" s="1">
        <v>0.2</v>
      </c>
      <c r="F1438">
        <f t="shared" si="22"/>
        <v>691.2</v>
      </c>
    </row>
    <row r="1439" spans="1:6" ht="13">
      <c r="A1439" s="1">
        <v>10797</v>
      </c>
      <c r="B1439" s="1">
        <v>11</v>
      </c>
      <c r="C1439" s="1">
        <v>21</v>
      </c>
      <c r="D1439" s="1">
        <v>20</v>
      </c>
      <c r="E1439" s="1">
        <v>0</v>
      </c>
      <c r="F1439">
        <f t="shared" si="22"/>
        <v>420</v>
      </c>
    </row>
    <row r="1440" spans="1:6" ht="13">
      <c r="A1440" s="1">
        <v>10798</v>
      </c>
      <c r="B1440" s="1">
        <v>62</v>
      </c>
      <c r="C1440" s="1">
        <v>49.3</v>
      </c>
      <c r="D1440" s="1">
        <v>2</v>
      </c>
      <c r="E1440" s="1">
        <v>0</v>
      </c>
      <c r="F1440">
        <f t="shared" si="22"/>
        <v>98.6</v>
      </c>
    </row>
    <row r="1441" spans="1:6" ht="13">
      <c r="A1441" s="1">
        <v>10798</v>
      </c>
      <c r="B1441" s="1">
        <v>72</v>
      </c>
      <c r="C1441" s="1">
        <v>34.799999999999997</v>
      </c>
      <c r="D1441" s="1">
        <v>10</v>
      </c>
      <c r="E1441" s="1">
        <v>0</v>
      </c>
      <c r="F1441">
        <f t="shared" si="22"/>
        <v>348</v>
      </c>
    </row>
    <row r="1442" spans="1:6" ht="13">
      <c r="A1442" s="1">
        <v>10799</v>
      </c>
      <c r="B1442" s="1">
        <v>13</v>
      </c>
      <c r="C1442" s="1">
        <v>6</v>
      </c>
      <c r="D1442" s="1">
        <v>20</v>
      </c>
      <c r="E1442" s="1">
        <v>0.15</v>
      </c>
      <c r="F1442">
        <f t="shared" si="22"/>
        <v>102</v>
      </c>
    </row>
    <row r="1443" spans="1:6" ht="13">
      <c r="A1443" s="1">
        <v>10799</v>
      </c>
      <c r="B1443" s="1">
        <v>24</v>
      </c>
      <c r="C1443" s="1">
        <v>4.5</v>
      </c>
      <c r="D1443" s="1">
        <v>20</v>
      </c>
      <c r="E1443" s="1">
        <v>0.15</v>
      </c>
      <c r="F1443">
        <f t="shared" si="22"/>
        <v>76.5</v>
      </c>
    </row>
    <row r="1444" spans="1:6" ht="13">
      <c r="A1444" s="1">
        <v>10799</v>
      </c>
      <c r="B1444" s="1">
        <v>59</v>
      </c>
      <c r="C1444" s="1">
        <v>55</v>
      </c>
      <c r="D1444" s="1">
        <v>25</v>
      </c>
      <c r="E1444" s="1">
        <v>0</v>
      </c>
      <c r="F1444">
        <f t="shared" si="22"/>
        <v>1375</v>
      </c>
    </row>
    <row r="1445" spans="1:6" ht="13">
      <c r="A1445" s="1">
        <v>10800</v>
      </c>
      <c r="B1445" s="1">
        <v>11</v>
      </c>
      <c r="C1445" s="1">
        <v>21</v>
      </c>
      <c r="D1445" s="1">
        <v>50</v>
      </c>
      <c r="E1445" s="1">
        <v>0.1</v>
      </c>
      <c r="F1445">
        <f t="shared" si="22"/>
        <v>945</v>
      </c>
    </row>
    <row r="1446" spans="1:6" ht="13">
      <c r="A1446" s="1">
        <v>10800</v>
      </c>
      <c r="B1446" s="1">
        <v>51</v>
      </c>
      <c r="C1446" s="1">
        <v>53</v>
      </c>
      <c r="D1446" s="1">
        <v>10</v>
      </c>
      <c r="E1446" s="1">
        <v>0.1</v>
      </c>
      <c r="F1446">
        <f t="shared" si="22"/>
        <v>477</v>
      </c>
    </row>
    <row r="1447" spans="1:6" ht="13">
      <c r="A1447" s="1">
        <v>10800</v>
      </c>
      <c r="B1447" s="1">
        <v>54</v>
      </c>
      <c r="C1447" s="1">
        <v>7.45</v>
      </c>
      <c r="D1447" s="1">
        <v>7</v>
      </c>
      <c r="E1447" s="1">
        <v>0.1</v>
      </c>
      <c r="F1447">
        <f t="shared" si="22"/>
        <v>46.935000000000002</v>
      </c>
    </row>
    <row r="1448" spans="1:6" ht="13">
      <c r="A1448" s="1">
        <v>10801</v>
      </c>
      <c r="B1448" s="1">
        <v>17</v>
      </c>
      <c r="C1448" s="1">
        <v>39</v>
      </c>
      <c r="D1448" s="1">
        <v>40</v>
      </c>
      <c r="E1448" s="1">
        <v>0.25</v>
      </c>
      <c r="F1448">
        <f t="shared" si="22"/>
        <v>1170</v>
      </c>
    </row>
    <row r="1449" spans="1:6" ht="13">
      <c r="A1449" s="1">
        <v>10801</v>
      </c>
      <c r="B1449" s="1">
        <v>29</v>
      </c>
      <c r="C1449" s="1">
        <v>123.79</v>
      </c>
      <c r="D1449" s="1">
        <v>20</v>
      </c>
      <c r="E1449" s="1">
        <v>0.25</v>
      </c>
      <c r="F1449">
        <f t="shared" si="22"/>
        <v>1856.8500000000001</v>
      </c>
    </row>
    <row r="1450" spans="1:6" ht="13">
      <c r="A1450" s="1">
        <v>10802</v>
      </c>
      <c r="B1450" s="1">
        <v>30</v>
      </c>
      <c r="C1450" s="1">
        <v>25.89</v>
      </c>
      <c r="D1450" s="1">
        <v>25</v>
      </c>
      <c r="E1450" s="1">
        <v>0.25</v>
      </c>
      <c r="F1450">
        <f t="shared" si="22"/>
        <v>485.4375</v>
      </c>
    </row>
    <row r="1451" spans="1:6" ht="13">
      <c r="A1451" s="1">
        <v>10802</v>
      </c>
      <c r="B1451" s="1">
        <v>51</v>
      </c>
      <c r="C1451" s="1">
        <v>53</v>
      </c>
      <c r="D1451" s="1">
        <v>30</v>
      </c>
      <c r="E1451" s="1">
        <v>0.25</v>
      </c>
      <c r="F1451">
        <f t="shared" si="22"/>
        <v>1192.5</v>
      </c>
    </row>
    <row r="1452" spans="1:6" ht="13">
      <c r="A1452" s="1">
        <v>10802</v>
      </c>
      <c r="B1452" s="1">
        <v>55</v>
      </c>
      <c r="C1452" s="1">
        <v>24</v>
      </c>
      <c r="D1452" s="1">
        <v>60</v>
      </c>
      <c r="E1452" s="1">
        <v>0.25</v>
      </c>
      <c r="F1452">
        <f t="shared" si="22"/>
        <v>1080</v>
      </c>
    </row>
    <row r="1453" spans="1:6" ht="13">
      <c r="A1453" s="1">
        <v>10802</v>
      </c>
      <c r="B1453" s="1">
        <v>62</v>
      </c>
      <c r="C1453" s="1">
        <v>49.3</v>
      </c>
      <c r="D1453" s="1">
        <v>5</v>
      </c>
      <c r="E1453" s="1">
        <v>0.25</v>
      </c>
      <c r="F1453">
        <f t="shared" si="22"/>
        <v>184.875</v>
      </c>
    </row>
    <row r="1454" spans="1:6" ht="13">
      <c r="A1454" s="1">
        <v>10803</v>
      </c>
      <c r="B1454" s="1">
        <v>19</v>
      </c>
      <c r="C1454" s="1">
        <v>9.1999999999999993</v>
      </c>
      <c r="D1454" s="1">
        <v>24</v>
      </c>
      <c r="E1454" s="1">
        <v>0.05</v>
      </c>
      <c r="F1454">
        <f t="shared" si="22"/>
        <v>209.75999999999996</v>
      </c>
    </row>
    <row r="1455" spans="1:6" ht="13">
      <c r="A1455" s="1">
        <v>10803</v>
      </c>
      <c r="B1455" s="1">
        <v>25</v>
      </c>
      <c r="C1455" s="1">
        <v>14</v>
      </c>
      <c r="D1455" s="1">
        <v>15</v>
      </c>
      <c r="E1455" s="1">
        <v>0.05</v>
      </c>
      <c r="F1455">
        <f t="shared" si="22"/>
        <v>199.5</v>
      </c>
    </row>
    <row r="1456" spans="1:6" ht="13">
      <c r="A1456" s="1">
        <v>10803</v>
      </c>
      <c r="B1456" s="1">
        <v>59</v>
      </c>
      <c r="C1456" s="1">
        <v>55</v>
      </c>
      <c r="D1456" s="1">
        <v>15</v>
      </c>
      <c r="E1456" s="1">
        <v>0.05</v>
      </c>
      <c r="F1456">
        <f t="shared" si="22"/>
        <v>783.75</v>
      </c>
    </row>
    <row r="1457" spans="1:6" ht="13">
      <c r="A1457" s="1">
        <v>10804</v>
      </c>
      <c r="B1457" s="1">
        <v>10</v>
      </c>
      <c r="C1457" s="1">
        <v>31</v>
      </c>
      <c r="D1457" s="1">
        <v>36</v>
      </c>
      <c r="E1457" s="1">
        <v>0</v>
      </c>
      <c r="F1457">
        <f t="shared" si="22"/>
        <v>1116</v>
      </c>
    </row>
    <row r="1458" spans="1:6" ht="13">
      <c r="A1458" s="1">
        <v>10804</v>
      </c>
      <c r="B1458" s="1">
        <v>28</v>
      </c>
      <c r="C1458" s="1">
        <v>45.6</v>
      </c>
      <c r="D1458" s="1">
        <v>24</v>
      </c>
      <c r="E1458" s="1">
        <v>0</v>
      </c>
      <c r="F1458">
        <f t="shared" si="22"/>
        <v>1094.4000000000001</v>
      </c>
    </row>
    <row r="1459" spans="1:6" ht="13">
      <c r="A1459" s="1">
        <v>10804</v>
      </c>
      <c r="B1459" s="1">
        <v>49</v>
      </c>
      <c r="C1459" s="1">
        <v>20</v>
      </c>
      <c r="D1459" s="1">
        <v>4</v>
      </c>
      <c r="E1459" s="1">
        <v>0.15</v>
      </c>
      <c r="F1459">
        <f t="shared" si="22"/>
        <v>68</v>
      </c>
    </row>
    <row r="1460" spans="1:6" ht="13">
      <c r="A1460" s="1">
        <v>10805</v>
      </c>
      <c r="B1460" s="1">
        <v>34</v>
      </c>
      <c r="C1460" s="1">
        <v>14</v>
      </c>
      <c r="D1460" s="1">
        <v>10</v>
      </c>
      <c r="E1460" s="1">
        <v>0</v>
      </c>
      <c r="F1460">
        <f t="shared" si="22"/>
        <v>140</v>
      </c>
    </row>
    <row r="1461" spans="1:6" ht="13">
      <c r="A1461" s="1">
        <v>10805</v>
      </c>
      <c r="B1461" s="1">
        <v>38</v>
      </c>
      <c r="C1461" s="1">
        <v>263.5</v>
      </c>
      <c r="D1461" s="1">
        <v>10</v>
      </c>
      <c r="E1461" s="1">
        <v>0</v>
      </c>
      <c r="F1461">
        <f t="shared" si="22"/>
        <v>2635</v>
      </c>
    </row>
    <row r="1462" spans="1:6" ht="13">
      <c r="A1462" s="1">
        <v>10806</v>
      </c>
      <c r="B1462" s="1">
        <v>2</v>
      </c>
      <c r="C1462" s="1">
        <v>19</v>
      </c>
      <c r="D1462" s="1">
        <v>20</v>
      </c>
      <c r="E1462" s="1">
        <v>0.25</v>
      </c>
      <c r="F1462">
        <f t="shared" si="22"/>
        <v>285</v>
      </c>
    </row>
    <row r="1463" spans="1:6" ht="13">
      <c r="A1463" s="1">
        <v>10806</v>
      </c>
      <c r="B1463" s="1">
        <v>65</v>
      </c>
      <c r="C1463" s="1">
        <v>21.05</v>
      </c>
      <c r="D1463" s="1">
        <v>2</v>
      </c>
      <c r="E1463" s="1">
        <v>0</v>
      </c>
      <c r="F1463">
        <f t="shared" si="22"/>
        <v>42.1</v>
      </c>
    </row>
    <row r="1464" spans="1:6" ht="13">
      <c r="A1464" s="1">
        <v>10806</v>
      </c>
      <c r="B1464" s="1">
        <v>74</v>
      </c>
      <c r="C1464" s="1">
        <v>10</v>
      </c>
      <c r="D1464" s="1">
        <v>15</v>
      </c>
      <c r="E1464" s="1">
        <v>0.25</v>
      </c>
      <c r="F1464">
        <f t="shared" si="22"/>
        <v>112.5</v>
      </c>
    </row>
    <row r="1465" spans="1:6" ht="13">
      <c r="A1465" s="1">
        <v>10807</v>
      </c>
      <c r="B1465" s="1">
        <v>40</v>
      </c>
      <c r="C1465" s="1">
        <v>18.399999999999999</v>
      </c>
      <c r="D1465" s="1">
        <v>1</v>
      </c>
      <c r="E1465" s="1">
        <v>0</v>
      </c>
      <c r="F1465">
        <f t="shared" si="22"/>
        <v>18.399999999999999</v>
      </c>
    </row>
    <row r="1466" spans="1:6" ht="13">
      <c r="A1466" s="1">
        <v>10808</v>
      </c>
      <c r="B1466" s="1">
        <v>56</v>
      </c>
      <c r="C1466" s="1">
        <v>38</v>
      </c>
      <c r="D1466" s="1">
        <v>20</v>
      </c>
      <c r="E1466" s="1">
        <v>0.15</v>
      </c>
      <c r="F1466">
        <f t="shared" si="22"/>
        <v>646</v>
      </c>
    </row>
    <row r="1467" spans="1:6" ht="13">
      <c r="A1467" s="1">
        <v>10808</v>
      </c>
      <c r="B1467" s="1">
        <v>76</v>
      </c>
      <c r="C1467" s="1">
        <v>18</v>
      </c>
      <c r="D1467" s="1">
        <v>50</v>
      </c>
      <c r="E1467" s="1">
        <v>0.15</v>
      </c>
      <c r="F1467">
        <f t="shared" si="22"/>
        <v>765</v>
      </c>
    </row>
    <row r="1468" spans="1:6" ht="13">
      <c r="A1468" s="1">
        <v>10809</v>
      </c>
      <c r="B1468" s="1">
        <v>52</v>
      </c>
      <c r="C1468" s="1">
        <v>7</v>
      </c>
      <c r="D1468" s="1">
        <v>20</v>
      </c>
      <c r="E1468" s="1">
        <v>0</v>
      </c>
      <c r="F1468">
        <f t="shared" si="22"/>
        <v>140</v>
      </c>
    </row>
    <row r="1469" spans="1:6" ht="13">
      <c r="A1469" s="1">
        <v>10810</v>
      </c>
      <c r="B1469" s="1">
        <v>13</v>
      </c>
      <c r="C1469" s="1">
        <v>6</v>
      </c>
      <c r="D1469" s="1">
        <v>7</v>
      </c>
      <c r="E1469" s="1">
        <v>0</v>
      </c>
      <c r="F1469">
        <f t="shared" si="22"/>
        <v>42</v>
      </c>
    </row>
    <row r="1470" spans="1:6" ht="13">
      <c r="A1470" s="1">
        <v>10810</v>
      </c>
      <c r="B1470" s="1">
        <v>25</v>
      </c>
      <c r="C1470" s="1">
        <v>14</v>
      </c>
      <c r="D1470" s="1">
        <v>5</v>
      </c>
      <c r="E1470" s="1">
        <v>0</v>
      </c>
      <c r="F1470">
        <f t="shared" si="22"/>
        <v>70</v>
      </c>
    </row>
    <row r="1471" spans="1:6" ht="13">
      <c r="A1471" s="1">
        <v>10810</v>
      </c>
      <c r="B1471" s="1">
        <v>70</v>
      </c>
      <c r="C1471" s="1">
        <v>15</v>
      </c>
      <c r="D1471" s="1">
        <v>5</v>
      </c>
      <c r="E1471" s="1">
        <v>0</v>
      </c>
      <c r="F1471">
        <f t="shared" si="22"/>
        <v>75</v>
      </c>
    </row>
    <row r="1472" spans="1:6" ht="13">
      <c r="A1472" s="1">
        <v>10811</v>
      </c>
      <c r="B1472" s="1">
        <v>19</v>
      </c>
      <c r="C1472" s="1">
        <v>9.1999999999999993</v>
      </c>
      <c r="D1472" s="1">
        <v>15</v>
      </c>
      <c r="E1472" s="1">
        <v>0</v>
      </c>
      <c r="F1472">
        <f t="shared" si="22"/>
        <v>138</v>
      </c>
    </row>
    <row r="1473" spans="1:6" ht="13">
      <c r="A1473" s="1">
        <v>10811</v>
      </c>
      <c r="B1473" s="1">
        <v>23</v>
      </c>
      <c r="C1473" s="1">
        <v>9</v>
      </c>
      <c r="D1473" s="1">
        <v>18</v>
      </c>
      <c r="E1473" s="1">
        <v>0</v>
      </c>
      <c r="F1473">
        <f t="shared" si="22"/>
        <v>162</v>
      </c>
    </row>
    <row r="1474" spans="1:6" ht="13">
      <c r="A1474" s="1">
        <v>10811</v>
      </c>
      <c r="B1474" s="1">
        <v>40</v>
      </c>
      <c r="C1474" s="1">
        <v>18.399999999999999</v>
      </c>
      <c r="D1474" s="1">
        <v>30</v>
      </c>
      <c r="E1474" s="1">
        <v>0</v>
      </c>
      <c r="F1474">
        <f t="shared" si="22"/>
        <v>552</v>
      </c>
    </row>
    <row r="1475" spans="1:6" ht="13">
      <c r="A1475" s="1">
        <v>10812</v>
      </c>
      <c r="B1475" s="1">
        <v>31</v>
      </c>
      <c r="C1475" s="1">
        <v>12.5</v>
      </c>
      <c r="D1475" s="1">
        <v>16</v>
      </c>
      <c r="E1475" s="1">
        <v>0.1</v>
      </c>
      <c r="F1475">
        <f t="shared" ref="F1475:F1538" si="23">C1475*D1475*(1-E1475)</f>
        <v>180</v>
      </c>
    </row>
    <row r="1476" spans="1:6" ht="13">
      <c r="A1476" s="1">
        <v>10812</v>
      </c>
      <c r="B1476" s="1">
        <v>72</v>
      </c>
      <c r="C1476" s="1">
        <v>34.799999999999997</v>
      </c>
      <c r="D1476" s="1">
        <v>40</v>
      </c>
      <c r="E1476" s="1">
        <v>0.1</v>
      </c>
      <c r="F1476">
        <f t="shared" si="23"/>
        <v>1252.8</v>
      </c>
    </row>
    <row r="1477" spans="1:6" ht="13">
      <c r="A1477" s="1">
        <v>10812</v>
      </c>
      <c r="B1477" s="1">
        <v>77</v>
      </c>
      <c r="C1477" s="1">
        <v>13</v>
      </c>
      <c r="D1477" s="1">
        <v>20</v>
      </c>
      <c r="E1477" s="1">
        <v>0</v>
      </c>
      <c r="F1477">
        <f t="shared" si="23"/>
        <v>260</v>
      </c>
    </row>
    <row r="1478" spans="1:6" ht="13">
      <c r="A1478" s="1">
        <v>10813</v>
      </c>
      <c r="B1478" s="1">
        <v>2</v>
      </c>
      <c r="C1478" s="1">
        <v>19</v>
      </c>
      <c r="D1478" s="1">
        <v>12</v>
      </c>
      <c r="E1478" s="1">
        <v>0.2</v>
      </c>
      <c r="F1478">
        <f t="shared" si="23"/>
        <v>182.4</v>
      </c>
    </row>
    <row r="1479" spans="1:6" ht="13">
      <c r="A1479" s="1">
        <v>10813</v>
      </c>
      <c r="B1479" s="1">
        <v>46</v>
      </c>
      <c r="C1479" s="1">
        <v>12</v>
      </c>
      <c r="D1479" s="1">
        <v>35</v>
      </c>
      <c r="E1479" s="1">
        <v>0</v>
      </c>
      <c r="F1479">
        <f t="shared" si="23"/>
        <v>420</v>
      </c>
    </row>
    <row r="1480" spans="1:6" ht="13">
      <c r="A1480" s="1">
        <v>10814</v>
      </c>
      <c r="B1480" s="1">
        <v>41</v>
      </c>
      <c r="C1480" s="1">
        <v>9.65</v>
      </c>
      <c r="D1480" s="1">
        <v>20</v>
      </c>
      <c r="E1480" s="1">
        <v>0</v>
      </c>
      <c r="F1480">
        <f t="shared" si="23"/>
        <v>193</v>
      </c>
    </row>
    <row r="1481" spans="1:6" ht="13">
      <c r="A1481" s="1">
        <v>10814</v>
      </c>
      <c r="B1481" s="1">
        <v>43</v>
      </c>
      <c r="C1481" s="1">
        <v>46</v>
      </c>
      <c r="D1481" s="1">
        <v>20</v>
      </c>
      <c r="E1481" s="1">
        <v>0.15</v>
      </c>
      <c r="F1481">
        <f t="shared" si="23"/>
        <v>782</v>
      </c>
    </row>
    <row r="1482" spans="1:6" ht="13">
      <c r="A1482" s="1">
        <v>10814</v>
      </c>
      <c r="B1482" s="1">
        <v>48</v>
      </c>
      <c r="C1482" s="1">
        <v>12.75</v>
      </c>
      <c r="D1482" s="1">
        <v>8</v>
      </c>
      <c r="E1482" s="1">
        <v>0.15</v>
      </c>
      <c r="F1482">
        <f t="shared" si="23"/>
        <v>86.7</v>
      </c>
    </row>
    <row r="1483" spans="1:6" ht="13">
      <c r="A1483" s="1">
        <v>10814</v>
      </c>
      <c r="B1483" s="1">
        <v>61</v>
      </c>
      <c r="C1483" s="1">
        <v>28.5</v>
      </c>
      <c r="D1483" s="1">
        <v>30</v>
      </c>
      <c r="E1483" s="1">
        <v>0.15</v>
      </c>
      <c r="F1483">
        <f t="shared" si="23"/>
        <v>726.75</v>
      </c>
    </row>
    <row r="1484" spans="1:6" ht="13">
      <c r="A1484" s="1">
        <v>10815</v>
      </c>
      <c r="B1484" s="1">
        <v>33</v>
      </c>
      <c r="C1484" s="1">
        <v>2.5</v>
      </c>
      <c r="D1484" s="1">
        <v>16</v>
      </c>
      <c r="E1484" s="1">
        <v>0</v>
      </c>
      <c r="F1484">
        <f t="shared" si="23"/>
        <v>40</v>
      </c>
    </row>
    <row r="1485" spans="1:6" ht="13">
      <c r="A1485" s="1">
        <v>10816</v>
      </c>
      <c r="B1485" s="1">
        <v>38</v>
      </c>
      <c r="C1485" s="1">
        <v>263.5</v>
      </c>
      <c r="D1485" s="1">
        <v>30</v>
      </c>
      <c r="E1485" s="1">
        <v>0.05</v>
      </c>
      <c r="F1485">
        <f t="shared" si="23"/>
        <v>7509.75</v>
      </c>
    </row>
    <row r="1486" spans="1:6" ht="13">
      <c r="A1486" s="1">
        <v>10816</v>
      </c>
      <c r="B1486" s="1">
        <v>62</v>
      </c>
      <c r="C1486" s="1">
        <v>49.3</v>
      </c>
      <c r="D1486" s="1">
        <v>20</v>
      </c>
      <c r="E1486" s="1">
        <v>0.05</v>
      </c>
      <c r="F1486">
        <f t="shared" si="23"/>
        <v>936.69999999999993</v>
      </c>
    </row>
    <row r="1487" spans="1:6" ht="13">
      <c r="A1487" s="1">
        <v>10817</v>
      </c>
      <c r="B1487" s="1">
        <v>26</v>
      </c>
      <c r="C1487" s="1">
        <v>31.23</v>
      </c>
      <c r="D1487" s="1">
        <v>40</v>
      </c>
      <c r="E1487" s="1">
        <v>0.15</v>
      </c>
      <c r="F1487">
        <f t="shared" si="23"/>
        <v>1061.82</v>
      </c>
    </row>
    <row r="1488" spans="1:6" ht="13">
      <c r="A1488" s="1">
        <v>10817</v>
      </c>
      <c r="B1488" s="1">
        <v>38</v>
      </c>
      <c r="C1488" s="1">
        <v>263.5</v>
      </c>
      <c r="D1488" s="1">
        <v>30</v>
      </c>
      <c r="E1488" s="1">
        <v>0</v>
      </c>
      <c r="F1488">
        <f t="shared" si="23"/>
        <v>7905</v>
      </c>
    </row>
    <row r="1489" spans="1:6" ht="13">
      <c r="A1489" s="1">
        <v>10817</v>
      </c>
      <c r="B1489" s="1">
        <v>40</v>
      </c>
      <c r="C1489" s="1">
        <v>18.399999999999999</v>
      </c>
      <c r="D1489" s="1">
        <v>60</v>
      </c>
      <c r="E1489" s="1">
        <v>0.15</v>
      </c>
      <c r="F1489">
        <f t="shared" si="23"/>
        <v>938.4</v>
      </c>
    </row>
    <row r="1490" spans="1:6" ht="13">
      <c r="A1490" s="1">
        <v>10817</v>
      </c>
      <c r="B1490" s="1">
        <v>62</v>
      </c>
      <c r="C1490" s="1">
        <v>49.3</v>
      </c>
      <c r="D1490" s="1">
        <v>25</v>
      </c>
      <c r="E1490" s="1">
        <v>0.15</v>
      </c>
      <c r="F1490">
        <f t="shared" si="23"/>
        <v>1047.625</v>
      </c>
    </row>
    <row r="1491" spans="1:6" ht="13">
      <c r="A1491" s="1">
        <v>10818</v>
      </c>
      <c r="B1491" s="1">
        <v>32</v>
      </c>
      <c r="C1491" s="1">
        <v>32</v>
      </c>
      <c r="D1491" s="1">
        <v>20</v>
      </c>
      <c r="E1491" s="1">
        <v>0</v>
      </c>
      <c r="F1491">
        <f t="shared" si="23"/>
        <v>640</v>
      </c>
    </row>
    <row r="1492" spans="1:6" ht="13">
      <c r="A1492" s="1">
        <v>10818</v>
      </c>
      <c r="B1492" s="1">
        <v>41</v>
      </c>
      <c r="C1492" s="1">
        <v>9.65</v>
      </c>
      <c r="D1492" s="1">
        <v>20</v>
      </c>
      <c r="E1492" s="1">
        <v>0</v>
      </c>
      <c r="F1492">
        <f t="shared" si="23"/>
        <v>193</v>
      </c>
    </row>
    <row r="1493" spans="1:6" ht="13">
      <c r="A1493" s="1">
        <v>10819</v>
      </c>
      <c r="B1493" s="1">
        <v>43</v>
      </c>
      <c r="C1493" s="1">
        <v>46</v>
      </c>
      <c r="D1493" s="1">
        <v>7</v>
      </c>
      <c r="E1493" s="1">
        <v>0</v>
      </c>
      <c r="F1493">
        <f t="shared" si="23"/>
        <v>322</v>
      </c>
    </row>
    <row r="1494" spans="1:6" ht="13">
      <c r="A1494" s="1">
        <v>10819</v>
      </c>
      <c r="B1494" s="1">
        <v>75</v>
      </c>
      <c r="C1494" s="1">
        <v>7.75</v>
      </c>
      <c r="D1494" s="1">
        <v>20</v>
      </c>
      <c r="E1494" s="1">
        <v>0</v>
      </c>
      <c r="F1494">
        <f t="shared" si="23"/>
        <v>155</v>
      </c>
    </row>
    <row r="1495" spans="1:6" ht="13">
      <c r="A1495" s="1">
        <v>10820</v>
      </c>
      <c r="B1495" s="1">
        <v>56</v>
      </c>
      <c r="C1495" s="1">
        <v>38</v>
      </c>
      <c r="D1495" s="1">
        <v>30</v>
      </c>
      <c r="E1495" s="1">
        <v>0</v>
      </c>
      <c r="F1495">
        <f t="shared" si="23"/>
        <v>1140</v>
      </c>
    </row>
    <row r="1496" spans="1:6" ht="13">
      <c r="A1496" s="1">
        <v>10821</v>
      </c>
      <c r="B1496" s="1">
        <v>35</v>
      </c>
      <c r="C1496" s="1">
        <v>18</v>
      </c>
      <c r="D1496" s="1">
        <v>20</v>
      </c>
      <c r="E1496" s="1">
        <v>0</v>
      </c>
      <c r="F1496">
        <f t="shared" si="23"/>
        <v>360</v>
      </c>
    </row>
    <row r="1497" spans="1:6" ht="13">
      <c r="A1497" s="1">
        <v>10821</v>
      </c>
      <c r="B1497" s="1">
        <v>51</v>
      </c>
      <c r="C1497" s="1">
        <v>53</v>
      </c>
      <c r="D1497" s="1">
        <v>6</v>
      </c>
      <c r="E1497" s="1">
        <v>0</v>
      </c>
      <c r="F1497">
        <f t="shared" si="23"/>
        <v>318</v>
      </c>
    </row>
    <row r="1498" spans="1:6" ht="13">
      <c r="A1498" s="1">
        <v>10822</v>
      </c>
      <c r="B1498" s="1">
        <v>62</v>
      </c>
      <c r="C1498" s="1">
        <v>49.3</v>
      </c>
      <c r="D1498" s="1">
        <v>3</v>
      </c>
      <c r="E1498" s="1">
        <v>0</v>
      </c>
      <c r="F1498">
        <f t="shared" si="23"/>
        <v>147.89999999999998</v>
      </c>
    </row>
    <row r="1499" spans="1:6" ht="13">
      <c r="A1499" s="1">
        <v>10822</v>
      </c>
      <c r="B1499" s="1">
        <v>70</v>
      </c>
      <c r="C1499" s="1">
        <v>15</v>
      </c>
      <c r="D1499" s="1">
        <v>6</v>
      </c>
      <c r="E1499" s="1">
        <v>0</v>
      </c>
      <c r="F1499">
        <f t="shared" si="23"/>
        <v>90</v>
      </c>
    </row>
    <row r="1500" spans="1:6" ht="13">
      <c r="A1500" s="1">
        <v>10823</v>
      </c>
      <c r="B1500" s="1">
        <v>11</v>
      </c>
      <c r="C1500" s="1">
        <v>21</v>
      </c>
      <c r="D1500" s="1">
        <v>20</v>
      </c>
      <c r="E1500" s="1">
        <v>0.1</v>
      </c>
      <c r="F1500">
        <f t="shared" si="23"/>
        <v>378</v>
      </c>
    </row>
    <row r="1501" spans="1:6" ht="13">
      <c r="A1501" s="1">
        <v>10823</v>
      </c>
      <c r="B1501" s="1">
        <v>57</v>
      </c>
      <c r="C1501" s="1">
        <v>19.5</v>
      </c>
      <c r="D1501" s="1">
        <v>15</v>
      </c>
      <c r="E1501" s="1">
        <v>0</v>
      </c>
      <c r="F1501">
        <f t="shared" si="23"/>
        <v>292.5</v>
      </c>
    </row>
    <row r="1502" spans="1:6" ht="13">
      <c r="A1502" s="1">
        <v>10823</v>
      </c>
      <c r="B1502" s="1">
        <v>59</v>
      </c>
      <c r="C1502" s="1">
        <v>55</v>
      </c>
      <c r="D1502" s="1">
        <v>40</v>
      </c>
      <c r="E1502" s="1">
        <v>0.1</v>
      </c>
      <c r="F1502">
        <f t="shared" si="23"/>
        <v>1980</v>
      </c>
    </row>
    <row r="1503" spans="1:6" ht="13">
      <c r="A1503" s="1">
        <v>10823</v>
      </c>
      <c r="B1503" s="1">
        <v>77</v>
      </c>
      <c r="C1503" s="1">
        <v>13</v>
      </c>
      <c r="D1503" s="1">
        <v>15</v>
      </c>
      <c r="E1503" s="1">
        <v>0.1</v>
      </c>
      <c r="F1503">
        <f t="shared" si="23"/>
        <v>175.5</v>
      </c>
    </row>
    <row r="1504" spans="1:6" ht="13">
      <c r="A1504" s="1">
        <v>10824</v>
      </c>
      <c r="B1504" s="1">
        <v>41</v>
      </c>
      <c r="C1504" s="1">
        <v>9.65</v>
      </c>
      <c r="D1504" s="1">
        <v>12</v>
      </c>
      <c r="E1504" s="1">
        <v>0</v>
      </c>
      <c r="F1504">
        <f t="shared" si="23"/>
        <v>115.80000000000001</v>
      </c>
    </row>
    <row r="1505" spans="1:6" ht="13">
      <c r="A1505" s="1">
        <v>10824</v>
      </c>
      <c r="B1505" s="1">
        <v>70</v>
      </c>
      <c r="C1505" s="1">
        <v>15</v>
      </c>
      <c r="D1505" s="1">
        <v>9</v>
      </c>
      <c r="E1505" s="1">
        <v>0</v>
      </c>
      <c r="F1505">
        <f t="shared" si="23"/>
        <v>135</v>
      </c>
    </row>
    <row r="1506" spans="1:6" ht="13">
      <c r="A1506" s="1">
        <v>10825</v>
      </c>
      <c r="B1506" s="1">
        <v>26</v>
      </c>
      <c r="C1506" s="1">
        <v>31.23</v>
      </c>
      <c r="D1506" s="1">
        <v>12</v>
      </c>
      <c r="E1506" s="1">
        <v>0</v>
      </c>
      <c r="F1506">
        <f t="shared" si="23"/>
        <v>374.76</v>
      </c>
    </row>
    <row r="1507" spans="1:6" ht="13">
      <c r="A1507" s="1">
        <v>10825</v>
      </c>
      <c r="B1507" s="1">
        <v>53</v>
      </c>
      <c r="C1507" s="1">
        <v>32.799999999999997</v>
      </c>
      <c r="D1507" s="1">
        <v>20</v>
      </c>
      <c r="E1507" s="1">
        <v>0</v>
      </c>
      <c r="F1507">
        <f t="shared" si="23"/>
        <v>656</v>
      </c>
    </row>
    <row r="1508" spans="1:6" ht="13">
      <c r="A1508" s="1">
        <v>10826</v>
      </c>
      <c r="B1508" s="1">
        <v>31</v>
      </c>
      <c r="C1508" s="1">
        <v>12.5</v>
      </c>
      <c r="D1508" s="1">
        <v>35</v>
      </c>
      <c r="E1508" s="1">
        <v>0</v>
      </c>
      <c r="F1508">
        <f t="shared" si="23"/>
        <v>437.5</v>
      </c>
    </row>
    <row r="1509" spans="1:6" ht="13">
      <c r="A1509" s="1">
        <v>10826</v>
      </c>
      <c r="B1509" s="1">
        <v>57</v>
      </c>
      <c r="C1509" s="1">
        <v>19.5</v>
      </c>
      <c r="D1509" s="1">
        <v>15</v>
      </c>
      <c r="E1509" s="1">
        <v>0</v>
      </c>
      <c r="F1509">
        <f t="shared" si="23"/>
        <v>292.5</v>
      </c>
    </row>
    <row r="1510" spans="1:6" ht="13">
      <c r="A1510" s="1">
        <v>10827</v>
      </c>
      <c r="B1510" s="1">
        <v>10</v>
      </c>
      <c r="C1510" s="1">
        <v>31</v>
      </c>
      <c r="D1510" s="1">
        <v>15</v>
      </c>
      <c r="E1510" s="1">
        <v>0</v>
      </c>
      <c r="F1510">
        <f t="shared" si="23"/>
        <v>465</v>
      </c>
    </row>
    <row r="1511" spans="1:6" ht="13">
      <c r="A1511" s="1">
        <v>10827</v>
      </c>
      <c r="B1511" s="1">
        <v>39</v>
      </c>
      <c r="C1511" s="1">
        <v>18</v>
      </c>
      <c r="D1511" s="1">
        <v>21</v>
      </c>
      <c r="E1511" s="1">
        <v>0</v>
      </c>
      <c r="F1511">
        <f t="shared" si="23"/>
        <v>378</v>
      </c>
    </row>
    <row r="1512" spans="1:6" ht="13">
      <c r="A1512" s="1">
        <v>10828</v>
      </c>
      <c r="B1512" s="1">
        <v>20</v>
      </c>
      <c r="C1512" s="1">
        <v>81</v>
      </c>
      <c r="D1512" s="1">
        <v>5</v>
      </c>
      <c r="E1512" s="1">
        <v>0</v>
      </c>
      <c r="F1512">
        <f t="shared" si="23"/>
        <v>405</v>
      </c>
    </row>
    <row r="1513" spans="1:6" ht="13">
      <c r="A1513" s="1">
        <v>10828</v>
      </c>
      <c r="B1513" s="1">
        <v>38</v>
      </c>
      <c r="C1513" s="1">
        <v>263.5</v>
      </c>
      <c r="D1513" s="1">
        <v>2</v>
      </c>
      <c r="E1513" s="1">
        <v>0</v>
      </c>
      <c r="F1513">
        <f t="shared" si="23"/>
        <v>527</v>
      </c>
    </row>
    <row r="1514" spans="1:6" ht="13">
      <c r="A1514" s="1">
        <v>10829</v>
      </c>
      <c r="B1514" s="1">
        <v>2</v>
      </c>
      <c r="C1514" s="1">
        <v>19</v>
      </c>
      <c r="D1514" s="1">
        <v>10</v>
      </c>
      <c r="E1514" s="1">
        <v>0</v>
      </c>
      <c r="F1514">
        <f t="shared" si="23"/>
        <v>190</v>
      </c>
    </row>
    <row r="1515" spans="1:6" ht="13">
      <c r="A1515" s="1">
        <v>10829</v>
      </c>
      <c r="B1515" s="1">
        <v>8</v>
      </c>
      <c r="C1515" s="1">
        <v>40</v>
      </c>
      <c r="D1515" s="1">
        <v>20</v>
      </c>
      <c r="E1515" s="1">
        <v>0</v>
      </c>
      <c r="F1515">
        <f t="shared" si="23"/>
        <v>800</v>
      </c>
    </row>
    <row r="1516" spans="1:6" ht="13">
      <c r="A1516" s="1">
        <v>10829</v>
      </c>
      <c r="B1516" s="1">
        <v>13</v>
      </c>
      <c r="C1516" s="1">
        <v>6</v>
      </c>
      <c r="D1516" s="1">
        <v>10</v>
      </c>
      <c r="E1516" s="1">
        <v>0</v>
      </c>
      <c r="F1516">
        <f t="shared" si="23"/>
        <v>60</v>
      </c>
    </row>
    <row r="1517" spans="1:6" ht="13">
      <c r="A1517" s="1">
        <v>10829</v>
      </c>
      <c r="B1517" s="1">
        <v>60</v>
      </c>
      <c r="C1517" s="1">
        <v>34</v>
      </c>
      <c r="D1517" s="1">
        <v>21</v>
      </c>
      <c r="E1517" s="1">
        <v>0</v>
      </c>
      <c r="F1517">
        <f t="shared" si="23"/>
        <v>714</v>
      </c>
    </row>
    <row r="1518" spans="1:6" ht="13">
      <c r="A1518" s="1">
        <v>10830</v>
      </c>
      <c r="B1518" s="1">
        <v>6</v>
      </c>
      <c r="C1518" s="1">
        <v>25</v>
      </c>
      <c r="D1518" s="1">
        <v>6</v>
      </c>
      <c r="E1518" s="1">
        <v>0</v>
      </c>
      <c r="F1518">
        <f t="shared" si="23"/>
        <v>150</v>
      </c>
    </row>
    <row r="1519" spans="1:6" ht="13">
      <c r="A1519" s="1">
        <v>10830</v>
      </c>
      <c r="B1519" s="1">
        <v>39</v>
      </c>
      <c r="C1519" s="1">
        <v>18</v>
      </c>
      <c r="D1519" s="1">
        <v>28</v>
      </c>
      <c r="E1519" s="1">
        <v>0</v>
      </c>
      <c r="F1519">
        <f t="shared" si="23"/>
        <v>504</v>
      </c>
    </row>
    <row r="1520" spans="1:6" ht="13">
      <c r="A1520" s="1">
        <v>10830</v>
      </c>
      <c r="B1520" s="1">
        <v>60</v>
      </c>
      <c r="C1520" s="1">
        <v>34</v>
      </c>
      <c r="D1520" s="1">
        <v>30</v>
      </c>
      <c r="E1520" s="1">
        <v>0</v>
      </c>
      <c r="F1520">
        <f t="shared" si="23"/>
        <v>1020</v>
      </c>
    </row>
    <row r="1521" spans="1:6" ht="13">
      <c r="A1521" s="1">
        <v>10830</v>
      </c>
      <c r="B1521" s="1">
        <v>68</v>
      </c>
      <c r="C1521" s="1">
        <v>12.5</v>
      </c>
      <c r="D1521" s="1">
        <v>24</v>
      </c>
      <c r="E1521" s="1">
        <v>0</v>
      </c>
      <c r="F1521">
        <f t="shared" si="23"/>
        <v>300</v>
      </c>
    </row>
    <row r="1522" spans="1:6" ht="13">
      <c r="A1522" s="1">
        <v>10831</v>
      </c>
      <c r="B1522" s="1">
        <v>19</v>
      </c>
      <c r="C1522" s="1">
        <v>9.1999999999999993</v>
      </c>
      <c r="D1522" s="1">
        <v>2</v>
      </c>
      <c r="E1522" s="1">
        <v>0</v>
      </c>
      <c r="F1522">
        <f t="shared" si="23"/>
        <v>18.399999999999999</v>
      </c>
    </row>
    <row r="1523" spans="1:6" ht="13">
      <c r="A1523" s="1">
        <v>10831</v>
      </c>
      <c r="B1523" s="1">
        <v>35</v>
      </c>
      <c r="C1523" s="1">
        <v>18</v>
      </c>
      <c r="D1523" s="1">
        <v>8</v>
      </c>
      <c r="E1523" s="1">
        <v>0</v>
      </c>
      <c r="F1523">
        <f t="shared" si="23"/>
        <v>144</v>
      </c>
    </row>
    <row r="1524" spans="1:6" ht="13">
      <c r="A1524" s="1">
        <v>10831</v>
      </c>
      <c r="B1524" s="1">
        <v>38</v>
      </c>
      <c r="C1524" s="1">
        <v>263.5</v>
      </c>
      <c r="D1524" s="1">
        <v>8</v>
      </c>
      <c r="E1524" s="1">
        <v>0</v>
      </c>
      <c r="F1524">
        <f t="shared" si="23"/>
        <v>2108</v>
      </c>
    </row>
    <row r="1525" spans="1:6" ht="13">
      <c r="A1525" s="1">
        <v>10831</v>
      </c>
      <c r="B1525" s="1">
        <v>43</v>
      </c>
      <c r="C1525" s="1">
        <v>46</v>
      </c>
      <c r="D1525" s="1">
        <v>9</v>
      </c>
      <c r="E1525" s="1">
        <v>0</v>
      </c>
      <c r="F1525">
        <f t="shared" si="23"/>
        <v>414</v>
      </c>
    </row>
    <row r="1526" spans="1:6" ht="13">
      <c r="A1526" s="1">
        <v>10832</v>
      </c>
      <c r="B1526" s="1">
        <v>13</v>
      </c>
      <c r="C1526" s="1">
        <v>6</v>
      </c>
      <c r="D1526" s="1">
        <v>3</v>
      </c>
      <c r="E1526" s="1">
        <v>0.2</v>
      </c>
      <c r="F1526">
        <f t="shared" si="23"/>
        <v>14.4</v>
      </c>
    </row>
    <row r="1527" spans="1:6" ht="13">
      <c r="A1527" s="1">
        <v>10832</v>
      </c>
      <c r="B1527" s="1">
        <v>25</v>
      </c>
      <c r="C1527" s="1">
        <v>14</v>
      </c>
      <c r="D1527" s="1">
        <v>10</v>
      </c>
      <c r="E1527" s="1">
        <v>0.2</v>
      </c>
      <c r="F1527">
        <f t="shared" si="23"/>
        <v>112</v>
      </c>
    </row>
    <row r="1528" spans="1:6" ht="13">
      <c r="A1528" s="1">
        <v>10832</v>
      </c>
      <c r="B1528" s="1">
        <v>44</v>
      </c>
      <c r="C1528" s="1">
        <v>19.45</v>
      </c>
      <c r="D1528" s="1">
        <v>16</v>
      </c>
      <c r="E1528" s="1">
        <v>0.2</v>
      </c>
      <c r="F1528">
        <f t="shared" si="23"/>
        <v>248.96</v>
      </c>
    </row>
    <row r="1529" spans="1:6" ht="13">
      <c r="A1529" s="1">
        <v>10832</v>
      </c>
      <c r="B1529" s="1">
        <v>64</v>
      </c>
      <c r="C1529" s="1">
        <v>33.25</v>
      </c>
      <c r="D1529" s="1">
        <v>3</v>
      </c>
      <c r="E1529" s="1">
        <v>0</v>
      </c>
      <c r="F1529">
        <f t="shared" si="23"/>
        <v>99.75</v>
      </c>
    </row>
    <row r="1530" spans="1:6" ht="13">
      <c r="A1530" s="1">
        <v>10833</v>
      </c>
      <c r="B1530" s="1">
        <v>7</v>
      </c>
      <c r="C1530" s="1">
        <v>30</v>
      </c>
      <c r="D1530" s="1">
        <v>20</v>
      </c>
      <c r="E1530" s="1">
        <v>0.1</v>
      </c>
      <c r="F1530">
        <f t="shared" si="23"/>
        <v>540</v>
      </c>
    </row>
    <row r="1531" spans="1:6" ht="13">
      <c r="A1531" s="1">
        <v>10833</v>
      </c>
      <c r="B1531" s="1">
        <v>31</v>
      </c>
      <c r="C1531" s="1">
        <v>12.5</v>
      </c>
      <c r="D1531" s="1">
        <v>9</v>
      </c>
      <c r="E1531" s="1">
        <v>0.1</v>
      </c>
      <c r="F1531">
        <f t="shared" si="23"/>
        <v>101.25</v>
      </c>
    </row>
    <row r="1532" spans="1:6" ht="13">
      <c r="A1532" s="1">
        <v>10833</v>
      </c>
      <c r="B1532" s="1">
        <v>53</v>
      </c>
      <c r="C1532" s="1">
        <v>32.799999999999997</v>
      </c>
      <c r="D1532" s="1">
        <v>9</v>
      </c>
      <c r="E1532" s="1">
        <v>0.1</v>
      </c>
      <c r="F1532">
        <f t="shared" si="23"/>
        <v>265.68</v>
      </c>
    </row>
    <row r="1533" spans="1:6" ht="13">
      <c r="A1533" s="1">
        <v>10834</v>
      </c>
      <c r="B1533" s="1">
        <v>29</v>
      </c>
      <c r="C1533" s="1">
        <v>123.79</v>
      </c>
      <c r="D1533" s="1">
        <v>8</v>
      </c>
      <c r="E1533" s="1">
        <v>0.05</v>
      </c>
      <c r="F1533">
        <f t="shared" si="23"/>
        <v>940.80399999999997</v>
      </c>
    </row>
    <row r="1534" spans="1:6" ht="13">
      <c r="A1534" s="1">
        <v>10834</v>
      </c>
      <c r="B1534" s="1">
        <v>30</v>
      </c>
      <c r="C1534" s="1">
        <v>25.89</v>
      </c>
      <c r="D1534" s="1">
        <v>20</v>
      </c>
      <c r="E1534" s="1">
        <v>0.05</v>
      </c>
      <c r="F1534">
        <f t="shared" si="23"/>
        <v>491.90999999999991</v>
      </c>
    </row>
    <row r="1535" spans="1:6" ht="13">
      <c r="A1535" s="1">
        <v>10835</v>
      </c>
      <c r="B1535" s="1">
        <v>59</v>
      </c>
      <c r="C1535" s="1">
        <v>55</v>
      </c>
      <c r="D1535" s="1">
        <v>15</v>
      </c>
      <c r="E1535" s="1">
        <v>0</v>
      </c>
      <c r="F1535">
        <f t="shared" si="23"/>
        <v>825</v>
      </c>
    </row>
    <row r="1536" spans="1:6" ht="13">
      <c r="A1536" s="1">
        <v>10835</v>
      </c>
      <c r="B1536" s="1">
        <v>77</v>
      </c>
      <c r="C1536" s="1">
        <v>13</v>
      </c>
      <c r="D1536" s="1">
        <v>2</v>
      </c>
      <c r="E1536" s="1">
        <v>0.2</v>
      </c>
      <c r="F1536">
        <f t="shared" si="23"/>
        <v>20.8</v>
      </c>
    </row>
    <row r="1537" spans="1:6" ht="13">
      <c r="A1537" s="1">
        <v>10836</v>
      </c>
      <c r="B1537" s="1">
        <v>22</v>
      </c>
      <c r="C1537" s="1">
        <v>21</v>
      </c>
      <c r="D1537" s="1">
        <v>52</v>
      </c>
      <c r="E1537" s="1">
        <v>0</v>
      </c>
      <c r="F1537">
        <f t="shared" si="23"/>
        <v>1092</v>
      </c>
    </row>
    <row r="1538" spans="1:6" ht="13">
      <c r="A1538" s="1">
        <v>10836</v>
      </c>
      <c r="B1538" s="1">
        <v>35</v>
      </c>
      <c r="C1538" s="1">
        <v>18</v>
      </c>
      <c r="D1538" s="1">
        <v>6</v>
      </c>
      <c r="E1538" s="1">
        <v>0</v>
      </c>
      <c r="F1538">
        <f t="shared" si="23"/>
        <v>108</v>
      </c>
    </row>
    <row r="1539" spans="1:6" ht="13">
      <c r="A1539" s="1">
        <v>10836</v>
      </c>
      <c r="B1539" s="1">
        <v>57</v>
      </c>
      <c r="C1539" s="1">
        <v>19.5</v>
      </c>
      <c r="D1539" s="1">
        <v>24</v>
      </c>
      <c r="E1539" s="1">
        <v>0</v>
      </c>
      <c r="F1539">
        <f t="shared" ref="F1539:F1602" si="24">C1539*D1539*(1-E1539)</f>
        <v>468</v>
      </c>
    </row>
    <row r="1540" spans="1:6" ht="13">
      <c r="A1540" s="1">
        <v>10836</v>
      </c>
      <c r="B1540" s="1">
        <v>60</v>
      </c>
      <c r="C1540" s="1">
        <v>34</v>
      </c>
      <c r="D1540" s="1">
        <v>60</v>
      </c>
      <c r="E1540" s="1">
        <v>0</v>
      </c>
      <c r="F1540">
        <f t="shared" si="24"/>
        <v>2040</v>
      </c>
    </row>
    <row r="1541" spans="1:6" ht="13">
      <c r="A1541" s="1">
        <v>10836</v>
      </c>
      <c r="B1541" s="1">
        <v>64</v>
      </c>
      <c r="C1541" s="1">
        <v>33.25</v>
      </c>
      <c r="D1541" s="1">
        <v>30</v>
      </c>
      <c r="E1541" s="1">
        <v>0</v>
      </c>
      <c r="F1541">
        <f t="shared" si="24"/>
        <v>997.5</v>
      </c>
    </row>
    <row r="1542" spans="1:6" ht="13">
      <c r="A1542" s="1">
        <v>10837</v>
      </c>
      <c r="B1542" s="1">
        <v>13</v>
      </c>
      <c r="C1542" s="1">
        <v>6</v>
      </c>
      <c r="D1542" s="1">
        <v>6</v>
      </c>
      <c r="E1542" s="1">
        <v>0</v>
      </c>
      <c r="F1542">
        <f t="shared" si="24"/>
        <v>36</v>
      </c>
    </row>
    <row r="1543" spans="1:6" ht="13">
      <c r="A1543" s="1">
        <v>10837</v>
      </c>
      <c r="B1543" s="1">
        <v>40</v>
      </c>
      <c r="C1543" s="1">
        <v>18.399999999999999</v>
      </c>
      <c r="D1543" s="1">
        <v>25</v>
      </c>
      <c r="E1543" s="1">
        <v>0</v>
      </c>
      <c r="F1543">
        <f t="shared" si="24"/>
        <v>459.99999999999994</v>
      </c>
    </row>
    <row r="1544" spans="1:6" ht="13">
      <c r="A1544" s="1">
        <v>10837</v>
      </c>
      <c r="B1544" s="1">
        <v>47</v>
      </c>
      <c r="C1544" s="1">
        <v>9.5</v>
      </c>
      <c r="D1544" s="1">
        <v>40</v>
      </c>
      <c r="E1544" s="1">
        <v>0.25</v>
      </c>
      <c r="F1544">
        <f t="shared" si="24"/>
        <v>285</v>
      </c>
    </row>
    <row r="1545" spans="1:6" ht="13">
      <c r="A1545" s="1">
        <v>10837</v>
      </c>
      <c r="B1545" s="1">
        <v>76</v>
      </c>
      <c r="C1545" s="1">
        <v>18</v>
      </c>
      <c r="D1545" s="1">
        <v>21</v>
      </c>
      <c r="E1545" s="1">
        <v>0.25</v>
      </c>
      <c r="F1545">
        <f t="shared" si="24"/>
        <v>283.5</v>
      </c>
    </row>
    <row r="1546" spans="1:6" ht="13">
      <c r="A1546" s="1">
        <v>10838</v>
      </c>
      <c r="B1546" s="1">
        <v>1</v>
      </c>
      <c r="C1546" s="1">
        <v>18</v>
      </c>
      <c r="D1546" s="1">
        <v>4</v>
      </c>
      <c r="E1546" s="1">
        <v>0.25</v>
      </c>
      <c r="F1546">
        <f t="shared" si="24"/>
        <v>54</v>
      </c>
    </row>
    <row r="1547" spans="1:6" ht="13">
      <c r="A1547" s="1">
        <v>10838</v>
      </c>
      <c r="B1547" s="1">
        <v>18</v>
      </c>
      <c r="C1547" s="1">
        <v>62.5</v>
      </c>
      <c r="D1547" s="1">
        <v>25</v>
      </c>
      <c r="E1547" s="1">
        <v>0.25</v>
      </c>
      <c r="F1547">
        <f t="shared" si="24"/>
        <v>1171.875</v>
      </c>
    </row>
    <row r="1548" spans="1:6" ht="13">
      <c r="A1548" s="1">
        <v>10838</v>
      </c>
      <c r="B1548" s="1">
        <v>36</v>
      </c>
      <c r="C1548" s="1">
        <v>19</v>
      </c>
      <c r="D1548" s="1">
        <v>50</v>
      </c>
      <c r="E1548" s="1">
        <v>0.25</v>
      </c>
      <c r="F1548">
        <f t="shared" si="24"/>
        <v>712.5</v>
      </c>
    </row>
    <row r="1549" spans="1:6" ht="13">
      <c r="A1549" s="1">
        <v>10839</v>
      </c>
      <c r="B1549" s="1">
        <v>58</v>
      </c>
      <c r="C1549" s="1">
        <v>13.25</v>
      </c>
      <c r="D1549" s="1">
        <v>30</v>
      </c>
      <c r="E1549" s="1">
        <v>0.1</v>
      </c>
      <c r="F1549">
        <f t="shared" si="24"/>
        <v>357.75</v>
      </c>
    </row>
    <row r="1550" spans="1:6" ht="13">
      <c r="A1550" s="1">
        <v>10839</v>
      </c>
      <c r="B1550" s="1">
        <v>72</v>
      </c>
      <c r="C1550" s="1">
        <v>34.799999999999997</v>
      </c>
      <c r="D1550" s="1">
        <v>15</v>
      </c>
      <c r="E1550" s="1">
        <v>0.1</v>
      </c>
      <c r="F1550">
        <f t="shared" si="24"/>
        <v>469.8</v>
      </c>
    </row>
    <row r="1551" spans="1:6" ht="13">
      <c r="A1551" s="1">
        <v>10840</v>
      </c>
      <c r="B1551" s="1">
        <v>25</v>
      </c>
      <c r="C1551" s="1">
        <v>14</v>
      </c>
      <c r="D1551" s="1">
        <v>6</v>
      </c>
      <c r="E1551" s="1">
        <v>0.2</v>
      </c>
      <c r="F1551">
        <f t="shared" si="24"/>
        <v>67.2</v>
      </c>
    </row>
    <row r="1552" spans="1:6" ht="13">
      <c r="A1552" s="1">
        <v>10840</v>
      </c>
      <c r="B1552" s="1">
        <v>39</v>
      </c>
      <c r="C1552" s="1">
        <v>18</v>
      </c>
      <c r="D1552" s="1">
        <v>10</v>
      </c>
      <c r="E1552" s="1">
        <v>0.2</v>
      </c>
      <c r="F1552">
        <f t="shared" si="24"/>
        <v>144</v>
      </c>
    </row>
    <row r="1553" spans="1:6" ht="13">
      <c r="A1553" s="1">
        <v>10841</v>
      </c>
      <c r="B1553" s="1">
        <v>10</v>
      </c>
      <c r="C1553" s="1">
        <v>31</v>
      </c>
      <c r="D1553" s="1">
        <v>16</v>
      </c>
      <c r="E1553" s="1">
        <v>0</v>
      </c>
      <c r="F1553">
        <f t="shared" si="24"/>
        <v>496</v>
      </c>
    </row>
    <row r="1554" spans="1:6" ht="13">
      <c r="A1554" s="1">
        <v>10841</v>
      </c>
      <c r="B1554" s="1">
        <v>56</v>
      </c>
      <c r="C1554" s="1">
        <v>38</v>
      </c>
      <c r="D1554" s="1">
        <v>30</v>
      </c>
      <c r="E1554" s="1">
        <v>0</v>
      </c>
      <c r="F1554">
        <f t="shared" si="24"/>
        <v>1140</v>
      </c>
    </row>
    <row r="1555" spans="1:6" ht="13">
      <c r="A1555" s="1">
        <v>10841</v>
      </c>
      <c r="B1555" s="1">
        <v>59</v>
      </c>
      <c r="C1555" s="1">
        <v>55</v>
      </c>
      <c r="D1555" s="1">
        <v>50</v>
      </c>
      <c r="E1555" s="1">
        <v>0</v>
      </c>
      <c r="F1555">
        <f t="shared" si="24"/>
        <v>2750</v>
      </c>
    </row>
    <row r="1556" spans="1:6" ht="13">
      <c r="A1556" s="1">
        <v>10841</v>
      </c>
      <c r="B1556" s="1">
        <v>77</v>
      </c>
      <c r="C1556" s="1">
        <v>13</v>
      </c>
      <c r="D1556" s="1">
        <v>15</v>
      </c>
      <c r="E1556" s="1">
        <v>0</v>
      </c>
      <c r="F1556">
        <f t="shared" si="24"/>
        <v>195</v>
      </c>
    </row>
    <row r="1557" spans="1:6" ht="13">
      <c r="A1557" s="1">
        <v>10842</v>
      </c>
      <c r="B1557" s="1">
        <v>11</v>
      </c>
      <c r="C1557" s="1">
        <v>21</v>
      </c>
      <c r="D1557" s="1">
        <v>15</v>
      </c>
      <c r="E1557" s="1">
        <v>0</v>
      </c>
      <c r="F1557">
        <f t="shared" si="24"/>
        <v>315</v>
      </c>
    </row>
    <row r="1558" spans="1:6" ht="13">
      <c r="A1558" s="1">
        <v>10842</v>
      </c>
      <c r="B1558" s="1">
        <v>43</v>
      </c>
      <c r="C1558" s="1">
        <v>46</v>
      </c>
      <c r="D1558" s="1">
        <v>5</v>
      </c>
      <c r="E1558" s="1">
        <v>0</v>
      </c>
      <c r="F1558">
        <f t="shared" si="24"/>
        <v>230</v>
      </c>
    </row>
    <row r="1559" spans="1:6" ht="13">
      <c r="A1559" s="1">
        <v>10842</v>
      </c>
      <c r="B1559" s="1">
        <v>68</v>
      </c>
      <c r="C1559" s="1">
        <v>12.5</v>
      </c>
      <c r="D1559" s="1">
        <v>20</v>
      </c>
      <c r="E1559" s="1">
        <v>0</v>
      </c>
      <c r="F1559">
        <f t="shared" si="24"/>
        <v>250</v>
      </c>
    </row>
    <row r="1560" spans="1:6" ht="13">
      <c r="A1560" s="1">
        <v>10842</v>
      </c>
      <c r="B1560" s="1">
        <v>70</v>
      </c>
      <c r="C1560" s="1">
        <v>15</v>
      </c>
      <c r="D1560" s="1">
        <v>12</v>
      </c>
      <c r="E1560" s="1">
        <v>0</v>
      </c>
      <c r="F1560">
        <f t="shared" si="24"/>
        <v>180</v>
      </c>
    </row>
    <row r="1561" spans="1:6" ht="13">
      <c r="A1561" s="1">
        <v>10843</v>
      </c>
      <c r="B1561" s="1">
        <v>51</v>
      </c>
      <c r="C1561" s="1">
        <v>53</v>
      </c>
      <c r="D1561" s="1">
        <v>4</v>
      </c>
      <c r="E1561" s="1">
        <v>0.25</v>
      </c>
      <c r="F1561">
        <f t="shared" si="24"/>
        <v>159</v>
      </c>
    </row>
    <row r="1562" spans="1:6" ht="13">
      <c r="A1562" s="1">
        <v>10844</v>
      </c>
      <c r="B1562" s="1">
        <v>22</v>
      </c>
      <c r="C1562" s="1">
        <v>21</v>
      </c>
      <c r="D1562" s="1">
        <v>35</v>
      </c>
      <c r="E1562" s="1">
        <v>0</v>
      </c>
      <c r="F1562">
        <f t="shared" si="24"/>
        <v>735</v>
      </c>
    </row>
    <row r="1563" spans="1:6" ht="13">
      <c r="A1563" s="1">
        <v>10845</v>
      </c>
      <c r="B1563" s="1">
        <v>23</v>
      </c>
      <c r="C1563" s="1">
        <v>9</v>
      </c>
      <c r="D1563" s="1">
        <v>70</v>
      </c>
      <c r="E1563" s="1">
        <v>0.1</v>
      </c>
      <c r="F1563">
        <f t="shared" si="24"/>
        <v>567</v>
      </c>
    </row>
    <row r="1564" spans="1:6" ht="13">
      <c r="A1564" s="1">
        <v>10845</v>
      </c>
      <c r="B1564" s="1">
        <v>35</v>
      </c>
      <c r="C1564" s="1">
        <v>18</v>
      </c>
      <c r="D1564" s="1">
        <v>25</v>
      </c>
      <c r="E1564" s="1">
        <v>0.1</v>
      </c>
      <c r="F1564">
        <f t="shared" si="24"/>
        <v>405</v>
      </c>
    </row>
    <row r="1565" spans="1:6" ht="13">
      <c r="A1565" s="1">
        <v>10845</v>
      </c>
      <c r="B1565" s="1">
        <v>42</v>
      </c>
      <c r="C1565" s="1">
        <v>14</v>
      </c>
      <c r="D1565" s="1">
        <v>42</v>
      </c>
      <c r="E1565" s="1">
        <v>0.1</v>
      </c>
      <c r="F1565">
        <f t="shared" si="24"/>
        <v>529.20000000000005</v>
      </c>
    </row>
    <row r="1566" spans="1:6" ht="13">
      <c r="A1566" s="1">
        <v>10845</v>
      </c>
      <c r="B1566" s="1">
        <v>58</v>
      </c>
      <c r="C1566" s="1">
        <v>13.25</v>
      </c>
      <c r="D1566" s="1">
        <v>60</v>
      </c>
      <c r="E1566" s="1">
        <v>0.1</v>
      </c>
      <c r="F1566">
        <f t="shared" si="24"/>
        <v>715.5</v>
      </c>
    </row>
    <row r="1567" spans="1:6" ht="13">
      <c r="A1567" s="1">
        <v>10845</v>
      </c>
      <c r="B1567" s="1">
        <v>64</v>
      </c>
      <c r="C1567" s="1">
        <v>33.25</v>
      </c>
      <c r="D1567" s="1">
        <v>48</v>
      </c>
      <c r="E1567" s="1">
        <v>0</v>
      </c>
      <c r="F1567">
        <f t="shared" si="24"/>
        <v>1596</v>
      </c>
    </row>
    <row r="1568" spans="1:6" ht="13">
      <c r="A1568" s="1">
        <v>10846</v>
      </c>
      <c r="B1568" s="1">
        <v>4</v>
      </c>
      <c r="C1568" s="1">
        <v>22</v>
      </c>
      <c r="D1568" s="1">
        <v>21</v>
      </c>
      <c r="E1568" s="1">
        <v>0</v>
      </c>
      <c r="F1568">
        <f t="shared" si="24"/>
        <v>462</v>
      </c>
    </row>
    <row r="1569" spans="1:6" ht="13">
      <c r="A1569" s="1">
        <v>10846</v>
      </c>
      <c r="B1569" s="1">
        <v>70</v>
      </c>
      <c r="C1569" s="1">
        <v>15</v>
      </c>
      <c r="D1569" s="1">
        <v>30</v>
      </c>
      <c r="E1569" s="1">
        <v>0</v>
      </c>
      <c r="F1569">
        <f t="shared" si="24"/>
        <v>450</v>
      </c>
    </row>
    <row r="1570" spans="1:6" ht="13">
      <c r="A1570" s="1">
        <v>10846</v>
      </c>
      <c r="B1570" s="1">
        <v>74</v>
      </c>
      <c r="C1570" s="1">
        <v>10</v>
      </c>
      <c r="D1570" s="1">
        <v>20</v>
      </c>
      <c r="E1570" s="1">
        <v>0</v>
      </c>
      <c r="F1570">
        <f t="shared" si="24"/>
        <v>200</v>
      </c>
    </row>
    <row r="1571" spans="1:6" ht="13">
      <c r="A1571" s="1">
        <v>10847</v>
      </c>
      <c r="B1571" s="1">
        <v>1</v>
      </c>
      <c r="C1571" s="1">
        <v>18</v>
      </c>
      <c r="D1571" s="1">
        <v>80</v>
      </c>
      <c r="E1571" s="1">
        <v>0.2</v>
      </c>
      <c r="F1571">
        <f t="shared" si="24"/>
        <v>1152</v>
      </c>
    </row>
    <row r="1572" spans="1:6" ht="13">
      <c r="A1572" s="1">
        <v>10847</v>
      </c>
      <c r="B1572" s="1">
        <v>19</v>
      </c>
      <c r="C1572" s="1">
        <v>9.1999999999999993</v>
      </c>
      <c r="D1572" s="1">
        <v>12</v>
      </c>
      <c r="E1572" s="1">
        <v>0.2</v>
      </c>
      <c r="F1572">
        <f t="shared" si="24"/>
        <v>88.32</v>
      </c>
    </row>
    <row r="1573" spans="1:6" ht="13">
      <c r="A1573" s="1">
        <v>10847</v>
      </c>
      <c r="B1573" s="1">
        <v>37</v>
      </c>
      <c r="C1573" s="1">
        <v>26</v>
      </c>
      <c r="D1573" s="1">
        <v>60</v>
      </c>
      <c r="E1573" s="1">
        <v>0.2</v>
      </c>
      <c r="F1573">
        <f t="shared" si="24"/>
        <v>1248</v>
      </c>
    </row>
    <row r="1574" spans="1:6" ht="13">
      <c r="A1574" s="1">
        <v>10847</v>
      </c>
      <c r="B1574" s="1">
        <v>45</v>
      </c>
      <c r="C1574" s="1">
        <v>9.5</v>
      </c>
      <c r="D1574" s="1">
        <v>36</v>
      </c>
      <c r="E1574" s="1">
        <v>0.2</v>
      </c>
      <c r="F1574">
        <f t="shared" si="24"/>
        <v>273.60000000000002</v>
      </c>
    </row>
    <row r="1575" spans="1:6" ht="13">
      <c r="A1575" s="1">
        <v>10847</v>
      </c>
      <c r="B1575" s="1">
        <v>60</v>
      </c>
      <c r="C1575" s="1">
        <v>34</v>
      </c>
      <c r="D1575" s="1">
        <v>45</v>
      </c>
      <c r="E1575" s="1">
        <v>0.2</v>
      </c>
      <c r="F1575">
        <f t="shared" si="24"/>
        <v>1224</v>
      </c>
    </row>
    <row r="1576" spans="1:6" ht="13">
      <c r="A1576" s="1">
        <v>10847</v>
      </c>
      <c r="B1576" s="1">
        <v>71</v>
      </c>
      <c r="C1576" s="1">
        <v>21.5</v>
      </c>
      <c r="D1576" s="1">
        <v>55</v>
      </c>
      <c r="E1576" s="1">
        <v>0.2</v>
      </c>
      <c r="F1576">
        <f t="shared" si="24"/>
        <v>946</v>
      </c>
    </row>
    <row r="1577" spans="1:6" ht="13">
      <c r="A1577" s="1">
        <v>10848</v>
      </c>
      <c r="B1577" s="1">
        <v>5</v>
      </c>
      <c r="C1577" s="1">
        <v>21.35</v>
      </c>
      <c r="D1577" s="1">
        <v>30</v>
      </c>
      <c r="E1577" s="1">
        <v>0</v>
      </c>
      <c r="F1577">
        <f t="shared" si="24"/>
        <v>640.5</v>
      </c>
    </row>
    <row r="1578" spans="1:6" ht="13">
      <c r="A1578" s="1">
        <v>10848</v>
      </c>
      <c r="B1578" s="1">
        <v>9</v>
      </c>
      <c r="C1578" s="1">
        <v>97</v>
      </c>
      <c r="D1578" s="1">
        <v>3</v>
      </c>
      <c r="E1578" s="1">
        <v>0</v>
      </c>
      <c r="F1578">
        <f t="shared" si="24"/>
        <v>291</v>
      </c>
    </row>
    <row r="1579" spans="1:6" ht="13">
      <c r="A1579" s="1">
        <v>10849</v>
      </c>
      <c r="B1579" s="1">
        <v>3</v>
      </c>
      <c r="C1579" s="1">
        <v>10</v>
      </c>
      <c r="D1579" s="1">
        <v>49</v>
      </c>
      <c r="E1579" s="1">
        <v>0</v>
      </c>
      <c r="F1579">
        <f t="shared" si="24"/>
        <v>490</v>
      </c>
    </row>
    <row r="1580" spans="1:6" ht="13">
      <c r="A1580" s="1">
        <v>10849</v>
      </c>
      <c r="B1580" s="1">
        <v>26</v>
      </c>
      <c r="C1580" s="1">
        <v>31.23</v>
      </c>
      <c r="D1580" s="1">
        <v>18</v>
      </c>
      <c r="E1580" s="1">
        <v>0.15</v>
      </c>
      <c r="F1580">
        <f t="shared" si="24"/>
        <v>477.81899999999996</v>
      </c>
    </row>
    <row r="1581" spans="1:6" ht="13">
      <c r="A1581" s="1">
        <v>10850</v>
      </c>
      <c r="B1581" s="1">
        <v>25</v>
      </c>
      <c r="C1581" s="1">
        <v>14</v>
      </c>
      <c r="D1581" s="1">
        <v>20</v>
      </c>
      <c r="E1581" s="1">
        <v>0.15</v>
      </c>
      <c r="F1581">
        <f t="shared" si="24"/>
        <v>238</v>
      </c>
    </row>
    <row r="1582" spans="1:6" ht="13">
      <c r="A1582" s="1">
        <v>10850</v>
      </c>
      <c r="B1582" s="1">
        <v>33</v>
      </c>
      <c r="C1582" s="1">
        <v>2.5</v>
      </c>
      <c r="D1582" s="1">
        <v>4</v>
      </c>
      <c r="E1582" s="1">
        <v>0.15</v>
      </c>
      <c r="F1582">
        <f t="shared" si="24"/>
        <v>8.5</v>
      </c>
    </row>
    <row r="1583" spans="1:6" ht="13">
      <c r="A1583" s="1">
        <v>10850</v>
      </c>
      <c r="B1583" s="1">
        <v>70</v>
      </c>
      <c r="C1583" s="1">
        <v>15</v>
      </c>
      <c r="D1583" s="1">
        <v>30</v>
      </c>
      <c r="E1583" s="1">
        <v>0.15</v>
      </c>
      <c r="F1583">
        <f t="shared" si="24"/>
        <v>382.5</v>
      </c>
    </row>
    <row r="1584" spans="1:6" ht="13">
      <c r="A1584" s="1">
        <v>10851</v>
      </c>
      <c r="B1584" s="1">
        <v>2</v>
      </c>
      <c r="C1584" s="1">
        <v>19</v>
      </c>
      <c r="D1584" s="1">
        <v>5</v>
      </c>
      <c r="E1584" s="1">
        <v>0.05</v>
      </c>
      <c r="F1584">
        <f t="shared" si="24"/>
        <v>90.25</v>
      </c>
    </row>
    <row r="1585" spans="1:6" ht="13">
      <c r="A1585" s="1">
        <v>10851</v>
      </c>
      <c r="B1585" s="1">
        <v>25</v>
      </c>
      <c r="C1585" s="1">
        <v>14</v>
      </c>
      <c r="D1585" s="1">
        <v>10</v>
      </c>
      <c r="E1585" s="1">
        <v>0.05</v>
      </c>
      <c r="F1585">
        <f t="shared" si="24"/>
        <v>133</v>
      </c>
    </row>
    <row r="1586" spans="1:6" ht="13">
      <c r="A1586" s="1">
        <v>10851</v>
      </c>
      <c r="B1586" s="1">
        <v>57</v>
      </c>
      <c r="C1586" s="1">
        <v>19.5</v>
      </c>
      <c r="D1586" s="1">
        <v>10</v>
      </c>
      <c r="E1586" s="1">
        <v>0.05</v>
      </c>
      <c r="F1586">
        <f t="shared" si="24"/>
        <v>185.25</v>
      </c>
    </row>
    <row r="1587" spans="1:6" ht="13">
      <c r="A1587" s="1">
        <v>10851</v>
      </c>
      <c r="B1587" s="1">
        <v>59</v>
      </c>
      <c r="C1587" s="1">
        <v>55</v>
      </c>
      <c r="D1587" s="1">
        <v>42</v>
      </c>
      <c r="E1587" s="1">
        <v>0.05</v>
      </c>
      <c r="F1587">
        <f t="shared" si="24"/>
        <v>2194.5</v>
      </c>
    </row>
    <row r="1588" spans="1:6" ht="13">
      <c r="A1588" s="1">
        <v>10852</v>
      </c>
      <c r="B1588" s="1">
        <v>2</v>
      </c>
      <c r="C1588" s="1">
        <v>19</v>
      </c>
      <c r="D1588" s="1">
        <v>15</v>
      </c>
      <c r="E1588" s="1">
        <v>0</v>
      </c>
      <c r="F1588">
        <f t="shared" si="24"/>
        <v>285</v>
      </c>
    </row>
    <row r="1589" spans="1:6" ht="13">
      <c r="A1589" s="1">
        <v>10852</v>
      </c>
      <c r="B1589" s="1">
        <v>17</v>
      </c>
      <c r="C1589" s="1">
        <v>39</v>
      </c>
      <c r="D1589" s="1">
        <v>6</v>
      </c>
      <c r="E1589" s="1">
        <v>0</v>
      </c>
      <c r="F1589">
        <f t="shared" si="24"/>
        <v>234</v>
      </c>
    </row>
    <row r="1590" spans="1:6" ht="13">
      <c r="A1590" s="1">
        <v>10852</v>
      </c>
      <c r="B1590" s="1">
        <v>62</v>
      </c>
      <c r="C1590" s="1">
        <v>49.3</v>
      </c>
      <c r="D1590" s="1">
        <v>50</v>
      </c>
      <c r="E1590" s="1">
        <v>0</v>
      </c>
      <c r="F1590">
        <f t="shared" si="24"/>
        <v>2465</v>
      </c>
    </row>
    <row r="1591" spans="1:6" ht="13">
      <c r="A1591" s="1">
        <v>10853</v>
      </c>
      <c r="B1591" s="1">
        <v>18</v>
      </c>
      <c r="C1591" s="1">
        <v>62.5</v>
      </c>
      <c r="D1591" s="1">
        <v>10</v>
      </c>
      <c r="E1591" s="1">
        <v>0</v>
      </c>
      <c r="F1591">
        <f t="shared" si="24"/>
        <v>625</v>
      </c>
    </row>
    <row r="1592" spans="1:6" ht="13">
      <c r="A1592" s="1">
        <v>10854</v>
      </c>
      <c r="B1592" s="1">
        <v>10</v>
      </c>
      <c r="C1592" s="1">
        <v>31</v>
      </c>
      <c r="D1592" s="1">
        <v>100</v>
      </c>
      <c r="E1592" s="1">
        <v>0.15</v>
      </c>
      <c r="F1592">
        <f t="shared" si="24"/>
        <v>2635</v>
      </c>
    </row>
    <row r="1593" spans="1:6" ht="13">
      <c r="A1593" s="1">
        <v>10854</v>
      </c>
      <c r="B1593" s="1">
        <v>13</v>
      </c>
      <c r="C1593" s="1">
        <v>6</v>
      </c>
      <c r="D1593" s="1">
        <v>65</v>
      </c>
      <c r="E1593" s="1">
        <v>0.15</v>
      </c>
      <c r="F1593">
        <f t="shared" si="24"/>
        <v>331.5</v>
      </c>
    </row>
    <row r="1594" spans="1:6" ht="13">
      <c r="A1594" s="1">
        <v>10855</v>
      </c>
      <c r="B1594" s="1">
        <v>16</v>
      </c>
      <c r="C1594" s="1">
        <v>17.45</v>
      </c>
      <c r="D1594" s="1">
        <v>50</v>
      </c>
      <c r="E1594" s="1">
        <v>0</v>
      </c>
      <c r="F1594">
        <f t="shared" si="24"/>
        <v>872.5</v>
      </c>
    </row>
    <row r="1595" spans="1:6" ht="13">
      <c r="A1595" s="1">
        <v>10855</v>
      </c>
      <c r="B1595" s="1">
        <v>31</v>
      </c>
      <c r="C1595" s="1">
        <v>12.5</v>
      </c>
      <c r="D1595" s="1">
        <v>14</v>
      </c>
      <c r="E1595" s="1">
        <v>0</v>
      </c>
      <c r="F1595">
        <f t="shared" si="24"/>
        <v>175</v>
      </c>
    </row>
    <row r="1596" spans="1:6" ht="13">
      <c r="A1596" s="1">
        <v>10855</v>
      </c>
      <c r="B1596" s="1">
        <v>56</v>
      </c>
      <c r="C1596" s="1">
        <v>38</v>
      </c>
      <c r="D1596" s="1">
        <v>24</v>
      </c>
      <c r="E1596" s="1">
        <v>0</v>
      </c>
      <c r="F1596">
        <f t="shared" si="24"/>
        <v>912</v>
      </c>
    </row>
    <row r="1597" spans="1:6" ht="13">
      <c r="A1597" s="1">
        <v>10855</v>
      </c>
      <c r="B1597" s="1">
        <v>65</v>
      </c>
      <c r="C1597" s="1">
        <v>21.05</v>
      </c>
      <c r="D1597" s="1">
        <v>15</v>
      </c>
      <c r="E1597" s="1">
        <v>0.15</v>
      </c>
      <c r="F1597">
        <f t="shared" si="24"/>
        <v>268.38749999999999</v>
      </c>
    </row>
    <row r="1598" spans="1:6" ht="13">
      <c r="A1598" s="1">
        <v>10856</v>
      </c>
      <c r="B1598" s="1">
        <v>2</v>
      </c>
      <c r="C1598" s="1">
        <v>19</v>
      </c>
      <c r="D1598" s="1">
        <v>20</v>
      </c>
      <c r="E1598" s="1">
        <v>0</v>
      </c>
      <c r="F1598">
        <f t="shared" si="24"/>
        <v>380</v>
      </c>
    </row>
    <row r="1599" spans="1:6" ht="13">
      <c r="A1599" s="1">
        <v>10856</v>
      </c>
      <c r="B1599" s="1">
        <v>42</v>
      </c>
      <c r="C1599" s="1">
        <v>14</v>
      </c>
      <c r="D1599" s="1">
        <v>20</v>
      </c>
      <c r="E1599" s="1">
        <v>0</v>
      </c>
      <c r="F1599">
        <f t="shared" si="24"/>
        <v>280</v>
      </c>
    </row>
    <row r="1600" spans="1:6" ht="13">
      <c r="A1600" s="1">
        <v>10857</v>
      </c>
      <c r="B1600" s="1">
        <v>3</v>
      </c>
      <c r="C1600" s="1">
        <v>10</v>
      </c>
      <c r="D1600" s="1">
        <v>30</v>
      </c>
      <c r="E1600" s="1">
        <v>0</v>
      </c>
      <c r="F1600">
        <f t="shared" si="24"/>
        <v>300</v>
      </c>
    </row>
    <row r="1601" spans="1:6" ht="13">
      <c r="A1601" s="1">
        <v>10857</v>
      </c>
      <c r="B1601" s="1">
        <v>26</v>
      </c>
      <c r="C1601" s="1">
        <v>31.23</v>
      </c>
      <c r="D1601" s="1">
        <v>35</v>
      </c>
      <c r="E1601" s="1">
        <v>0.25</v>
      </c>
      <c r="F1601">
        <f t="shared" si="24"/>
        <v>819.78749999999991</v>
      </c>
    </row>
    <row r="1602" spans="1:6" ht="13">
      <c r="A1602" s="1">
        <v>10857</v>
      </c>
      <c r="B1602" s="1">
        <v>29</v>
      </c>
      <c r="C1602" s="1">
        <v>123.79</v>
      </c>
      <c r="D1602" s="1">
        <v>10</v>
      </c>
      <c r="E1602" s="1">
        <v>0.25</v>
      </c>
      <c r="F1602">
        <f t="shared" si="24"/>
        <v>928.42500000000007</v>
      </c>
    </row>
    <row r="1603" spans="1:6" ht="13">
      <c r="A1603" s="1">
        <v>10858</v>
      </c>
      <c r="B1603" s="1">
        <v>7</v>
      </c>
      <c r="C1603" s="1">
        <v>30</v>
      </c>
      <c r="D1603" s="1">
        <v>5</v>
      </c>
      <c r="E1603" s="1">
        <v>0</v>
      </c>
      <c r="F1603">
        <f t="shared" ref="F1603:F1666" si="25">C1603*D1603*(1-E1603)</f>
        <v>150</v>
      </c>
    </row>
    <row r="1604" spans="1:6" ht="13">
      <c r="A1604" s="1">
        <v>10858</v>
      </c>
      <c r="B1604" s="1">
        <v>27</v>
      </c>
      <c r="C1604" s="1">
        <v>43.9</v>
      </c>
      <c r="D1604" s="1">
        <v>10</v>
      </c>
      <c r="E1604" s="1">
        <v>0</v>
      </c>
      <c r="F1604">
        <f t="shared" si="25"/>
        <v>439</v>
      </c>
    </row>
    <row r="1605" spans="1:6" ht="13">
      <c r="A1605" s="1">
        <v>10858</v>
      </c>
      <c r="B1605" s="1">
        <v>70</v>
      </c>
      <c r="C1605" s="1">
        <v>15</v>
      </c>
      <c r="D1605" s="1">
        <v>4</v>
      </c>
      <c r="E1605" s="1">
        <v>0</v>
      </c>
      <c r="F1605">
        <f t="shared" si="25"/>
        <v>60</v>
      </c>
    </row>
    <row r="1606" spans="1:6" ht="13">
      <c r="A1606" s="1">
        <v>10859</v>
      </c>
      <c r="B1606" s="1">
        <v>24</v>
      </c>
      <c r="C1606" s="1">
        <v>4.5</v>
      </c>
      <c r="D1606" s="1">
        <v>40</v>
      </c>
      <c r="E1606" s="1">
        <v>0.25</v>
      </c>
      <c r="F1606">
        <f t="shared" si="25"/>
        <v>135</v>
      </c>
    </row>
    <row r="1607" spans="1:6" ht="13">
      <c r="A1607" s="1">
        <v>10859</v>
      </c>
      <c r="B1607" s="1">
        <v>54</v>
      </c>
      <c r="C1607" s="1">
        <v>7.45</v>
      </c>
      <c r="D1607" s="1">
        <v>35</v>
      </c>
      <c r="E1607" s="1">
        <v>0.25</v>
      </c>
      <c r="F1607">
        <f t="shared" si="25"/>
        <v>195.5625</v>
      </c>
    </row>
    <row r="1608" spans="1:6" ht="13">
      <c r="A1608" s="1">
        <v>10859</v>
      </c>
      <c r="B1608" s="1">
        <v>64</v>
      </c>
      <c r="C1608" s="1">
        <v>33.25</v>
      </c>
      <c r="D1608" s="1">
        <v>30</v>
      </c>
      <c r="E1608" s="1">
        <v>0.25</v>
      </c>
      <c r="F1608">
        <f t="shared" si="25"/>
        <v>748.125</v>
      </c>
    </row>
    <row r="1609" spans="1:6" ht="13">
      <c r="A1609" s="1">
        <v>10860</v>
      </c>
      <c r="B1609" s="1">
        <v>51</v>
      </c>
      <c r="C1609" s="1">
        <v>53</v>
      </c>
      <c r="D1609" s="1">
        <v>3</v>
      </c>
      <c r="E1609" s="1">
        <v>0</v>
      </c>
      <c r="F1609">
        <f t="shared" si="25"/>
        <v>159</v>
      </c>
    </row>
    <row r="1610" spans="1:6" ht="13">
      <c r="A1610" s="1">
        <v>10860</v>
      </c>
      <c r="B1610" s="1">
        <v>76</v>
      </c>
      <c r="C1610" s="1">
        <v>18</v>
      </c>
      <c r="D1610" s="1">
        <v>20</v>
      </c>
      <c r="E1610" s="1">
        <v>0</v>
      </c>
      <c r="F1610">
        <f t="shared" si="25"/>
        <v>360</v>
      </c>
    </row>
    <row r="1611" spans="1:6" ht="13">
      <c r="A1611" s="1">
        <v>10861</v>
      </c>
      <c r="B1611" s="1">
        <v>17</v>
      </c>
      <c r="C1611" s="1">
        <v>39</v>
      </c>
      <c r="D1611" s="1">
        <v>42</v>
      </c>
      <c r="E1611" s="1">
        <v>0</v>
      </c>
      <c r="F1611">
        <f t="shared" si="25"/>
        <v>1638</v>
      </c>
    </row>
    <row r="1612" spans="1:6" ht="13">
      <c r="A1612" s="1">
        <v>10861</v>
      </c>
      <c r="B1612" s="1">
        <v>18</v>
      </c>
      <c r="C1612" s="1">
        <v>62.5</v>
      </c>
      <c r="D1612" s="1">
        <v>20</v>
      </c>
      <c r="E1612" s="1">
        <v>0</v>
      </c>
      <c r="F1612">
        <f t="shared" si="25"/>
        <v>1250</v>
      </c>
    </row>
    <row r="1613" spans="1:6" ht="13">
      <c r="A1613" s="1">
        <v>10861</v>
      </c>
      <c r="B1613" s="1">
        <v>21</v>
      </c>
      <c r="C1613" s="1">
        <v>10</v>
      </c>
      <c r="D1613" s="1">
        <v>40</v>
      </c>
      <c r="E1613" s="1">
        <v>0</v>
      </c>
      <c r="F1613">
        <f t="shared" si="25"/>
        <v>400</v>
      </c>
    </row>
    <row r="1614" spans="1:6" ht="13">
      <c r="A1614" s="1">
        <v>10861</v>
      </c>
      <c r="B1614" s="1">
        <v>33</v>
      </c>
      <c r="C1614" s="1">
        <v>2.5</v>
      </c>
      <c r="D1614" s="1">
        <v>35</v>
      </c>
      <c r="E1614" s="1">
        <v>0</v>
      </c>
      <c r="F1614">
        <f t="shared" si="25"/>
        <v>87.5</v>
      </c>
    </row>
    <row r="1615" spans="1:6" ht="13">
      <c r="A1615" s="1">
        <v>10861</v>
      </c>
      <c r="B1615" s="1">
        <v>62</v>
      </c>
      <c r="C1615" s="1">
        <v>49.3</v>
      </c>
      <c r="D1615" s="1">
        <v>3</v>
      </c>
      <c r="E1615" s="1">
        <v>0</v>
      </c>
      <c r="F1615">
        <f t="shared" si="25"/>
        <v>147.89999999999998</v>
      </c>
    </row>
    <row r="1616" spans="1:6" ht="13">
      <c r="A1616" s="1">
        <v>10862</v>
      </c>
      <c r="B1616" s="1">
        <v>11</v>
      </c>
      <c r="C1616" s="1">
        <v>21</v>
      </c>
      <c r="D1616" s="1">
        <v>25</v>
      </c>
      <c r="E1616" s="1">
        <v>0</v>
      </c>
      <c r="F1616">
        <f t="shared" si="25"/>
        <v>525</v>
      </c>
    </row>
    <row r="1617" spans="1:6" ht="13">
      <c r="A1617" s="1">
        <v>10862</v>
      </c>
      <c r="B1617" s="1">
        <v>52</v>
      </c>
      <c r="C1617" s="1">
        <v>7</v>
      </c>
      <c r="D1617" s="1">
        <v>8</v>
      </c>
      <c r="E1617" s="1">
        <v>0</v>
      </c>
      <c r="F1617">
        <f t="shared" si="25"/>
        <v>56</v>
      </c>
    </row>
    <row r="1618" spans="1:6" ht="13">
      <c r="A1618" s="1">
        <v>10863</v>
      </c>
      <c r="B1618" s="1">
        <v>1</v>
      </c>
      <c r="C1618" s="1">
        <v>18</v>
      </c>
      <c r="D1618" s="1">
        <v>20</v>
      </c>
      <c r="E1618" s="1">
        <v>0.15</v>
      </c>
      <c r="F1618">
        <f t="shared" si="25"/>
        <v>306</v>
      </c>
    </row>
    <row r="1619" spans="1:6" ht="13">
      <c r="A1619" s="1">
        <v>10863</v>
      </c>
      <c r="B1619" s="1">
        <v>58</v>
      </c>
      <c r="C1619" s="1">
        <v>13.25</v>
      </c>
      <c r="D1619" s="1">
        <v>12</v>
      </c>
      <c r="E1619" s="1">
        <v>0.15</v>
      </c>
      <c r="F1619">
        <f t="shared" si="25"/>
        <v>135.15</v>
      </c>
    </row>
    <row r="1620" spans="1:6" ht="13">
      <c r="A1620" s="1">
        <v>10864</v>
      </c>
      <c r="B1620" s="1">
        <v>35</v>
      </c>
      <c r="C1620" s="1">
        <v>18</v>
      </c>
      <c r="D1620" s="1">
        <v>4</v>
      </c>
      <c r="E1620" s="1">
        <v>0</v>
      </c>
      <c r="F1620">
        <f t="shared" si="25"/>
        <v>72</v>
      </c>
    </row>
    <row r="1621" spans="1:6" ht="13">
      <c r="A1621" s="1">
        <v>10864</v>
      </c>
      <c r="B1621" s="1">
        <v>67</v>
      </c>
      <c r="C1621" s="1">
        <v>14</v>
      </c>
      <c r="D1621" s="1">
        <v>15</v>
      </c>
      <c r="E1621" s="1">
        <v>0</v>
      </c>
      <c r="F1621">
        <f t="shared" si="25"/>
        <v>210</v>
      </c>
    </row>
    <row r="1622" spans="1:6" ht="13">
      <c r="A1622" s="1">
        <v>10865</v>
      </c>
      <c r="B1622" s="1">
        <v>38</v>
      </c>
      <c r="C1622" s="1">
        <v>263.5</v>
      </c>
      <c r="D1622" s="1">
        <v>60</v>
      </c>
      <c r="E1622" s="1">
        <v>0.05</v>
      </c>
      <c r="F1622">
        <f t="shared" si="25"/>
        <v>15019.5</v>
      </c>
    </row>
    <row r="1623" spans="1:6" ht="13">
      <c r="A1623" s="1">
        <v>10865</v>
      </c>
      <c r="B1623" s="1">
        <v>39</v>
      </c>
      <c r="C1623" s="1">
        <v>18</v>
      </c>
      <c r="D1623" s="1">
        <v>80</v>
      </c>
      <c r="E1623" s="1">
        <v>0.05</v>
      </c>
      <c r="F1623">
        <f t="shared" si="25"/>
        <v>1368</v>
      </c>
    </row>
    <row r="1624" spans="1:6" ht="13">
      <c r="A1624" s="1">
        <v>10866</v>
      </c>
      <c r="B1624" s="1">
        <v>2</v>
      </c>
      <c r="C1624" s="1">
        <v>19</v>
      </c>
      <c r="D1624" s="1">
        <v>21</v>
      </c>
      <c r="E1624" s="1">
        <v>0.25</v>
      </c>
      <c r="F1624">
        <f t="shared" si="25"/>
        <v>299.25</v>
      </c>
    </row>
    <row r="1625" spans="1:6" ht="13">
      <c r="A1625" s="1">
        <v>10866</v>
      </c>
      <c r="B1625" s="1">
        <v>24</v>
      </c>
      <c r="C1625" s="1">
        <v>4.5</v>
      </c>
      <c r="D1625" s="1">
        <v>6</v>
      </c>
      <c r="E1625" s="1">
        <v>0.25</v>
      </c>
      <c r="F1625">
        <f t="shared" si="25"/>
        <v>20.25</v>
      </c>
    </row>
    <row r="1626" spans="1:6" ht="13">
      <c r="A1626" s="1">
        <v>10866</v>
      </c>
      <c r="B1626" s="1">
        <v>30</v>
      </c>
      <c r="C1626" s="1">
        <v>25.89</v>
      </c>
      <c r="D1626" s="1">
        <v>40</v>
      </c>
      <c r="E1626" s="1">
        <v>0.25</v>
      </c>
      <c r="F1626">
        <f t="shared" si="25"/>
        <v>776.69999999999993</v>
      </c>
    </row>
    <row r="1627" spans="1:6" ht="13">
      <c r="A1627" s="1">
        <v>10867</v>
      </c>
      <c r="B1627" s="1">
        <v>53</v>
      </c>
      <c r="C1627" s="1">
        <v>32.799999999999997</v>
      </c>
      <c r="D1627" s="1">
        <v>3</v>
      </c>
      <c r="E1627" s="1">
        <v>0</v>
      </c>
      <c r="F1627">
        <f t="shared" si="25"/>
        <v>98.399999999999991</v>
      </c>
    </row>
    <row r="1628" spans="1:6" ht="13">
      <c r="A1628" s="1">
        <v>10868</v>
      </c>
      <c r="B1628" s="1">
        <v>26</v>
      </c>
      <c r="C1628" s="1">
        <v>31.23</v>
      </c>
      <c r="D1628" s="1">
        <v>20</v>
      </c>
      <c r="E1628" s="1">
        <v>0</v>
      </c>
      <c r="F1628">
        <f t="shared" si="25"/>
        <v>624.6</v>
      </c>
    </row>
    <row r="1629" spans="1:6" ht="13">
      <c r="A1629" s="1">
        <v>10868</v>
      </c>
      <c r="B1629" s="1">
        <v>35</v>
      </c>
      <c r="C1629" s="1">
        <v>18</v>
      </c>
      <c r="D1629" s="1">
        <v>30</v>
      </c>
      <c r="E1629" s="1">
        <v>0</v>
      </c>
      <c r="F1629">
        <f t="shared" si="25"/>
        <v>540</v>
      </c>
    </row>
    <row r="1630" spans="1:6" ht="13">
      <c r="A1630" s="1">
        <v>10868</v>
      </c>
      <c r="B1630" s="1">
        <v>49</v>
      </c>
      <c r="C1630" s="1">
        <v>20</v>
      </c>
      <c r="D1630" s="1">
        <v>42</v>
      </c>
      <c r="E1630" s="1">
        <v>0.1</v>
      </c>
      <c r="F1630">
        <f t="shared" si="25"/>
        <v>756</v>
      </c>
    </row>
    <row r="1631" spans="1:6" ht="13">
      <c r="A1631" s="1">
        <v>10869</v>
      </c>
      <c r="B1631" s="1">
        <v>1</v>
      </c>
      <c r="C1631" s="1">
        <v>18</v>
      </c>
      <c r="D1631" s="1">
        <v>40</v>
      </c>
      <c r="E1631" s="1">
        <v>0</v>
      </c>
      <c r="F1631">
        <f t="shared" si="25"/>
        <v>720</v>
      </c>
    </row>
    <row r="1632" spans="1:6" ht="13">
      <c r="A1632" s="1">
        <v>10869</v>
      </c>
      <c r="B1632" s="1">
        <v>11</v>
      </c>
      <c r="C1632" s="1">
        <v>21</v>
      </c>
      <c r="D1632" s="1">
        <v>10</v>
      </c>
      <c r="E1632" s="1">
        <v>0</v>
      </c>
      <c r="F1632">
        <f t="shared" si="25"/>
        <v>210</v>
      </c>
    </row>
    <row r="1633" spans="1:6" ht="13">
      <c r="A1633" s="1">
        <v>10869</v>
      </c>
      <c r="B1633" s="1">
        <v>23</v>
      </c>
      <c r="C1633" s="1">
        <v>9</v>
      </c>
      <c r="D1633" s="1">
        <v>50</v>
      </c>
      <c r="E1633" s="1">
        <v>0</v>
      </c>
      <c r="F1633">
        <f t="shared" si="25"/>
        <v>450</v>
      </c>
    </row>
    <row r="1634" spans="1:6" ht="13">
      <c r="A1634" s="1">
        <v>10869</v>
      </c>
      <c r="B1634" s="1">
        <v>68</v>
      </c>
      <c r="C1634" s="1">
        <v>12.5</v>
      </c>
      <c r="D1634" s="1">
        <v>20</v>
      </c>
      <c r="E1634" s="1">
        <v>0</v>
      </c>
      <c r="F1634">
        <f t="shared" si="25"/>
        <v>250</v>
      </c>
    </row>
    <row r="1635" spans="1:6" ht="13">
      <c r="A1635" s="1">
        <v>10870</v>
      </c>
      <c r="B1635" s="1">
        <v>35</v>
      </c>
      <c r="C1635" s="1">
        <v>18</v>
      </c>
      <c r="D1635" s="1">
        <v>3</v>
      </c>
      <c r="E1635" s="1">
        <v>0</v>
      </c>
      <c r="F1635">
        <f t="shared" si="25"/>
        <v>54</v>
      </c>
    </row>
    <row r="1636" spans="1:6" ht="13">
      <c r="A1636" s="1">
        <v>10870</v>
      </c>
      <c r="B1636" s="1">
        <v>51</v>
      </c>
      <c r="C1636" s="1">
        <v>53</v>
      </c>
      <c r="D1636" s="1">
        <v>2</v>
      </c>
      <c r="E1636" s="1">
        <v>0</v>
      </c>
      <c r="F1636">
        <f t="shared" si="25"/>
        <v>106</v>
      </c>
    </row>
    <row r="1637" spans="1:6" ht="13">
      <c r="A1637" s="1">
        <v>10871</v>
      </c>
      <c r="B1637" s="1">
        <v>6</v>
      </c>
      <c r="C1637" s="1">
        <v>25</v>
      </c>
      <c r="D1637" s="1">
        <v>50</v>
      </c>
      <c r="E1637" s="1">
        <v>0.05</v>
      </c>
      <c r="F1637">
        <f t="shared" si="25"/>
        <v>1187.5</v>
      </c>
    </row>
    <row r="1638" spans="1:6" ht="13">
      <c r="A1638" s="1">
        <v>10871</v>
      </c>
      <c r="B1638" s="1">
        <v>16</v>
      </c>
      <c r="C1638" s="1">
        <v>17.45</v>
      </c>
      <c r="D1638" s="1">
        <v>12</v>
      </c>
      <c r="E1638" s="1">
        <v>0.05</v>
      </c>
      <c r="F1638">
        <f t="shared" si="25"/>
        <v>198.92999999999998</v>
      </c>
    </row>
    <row r="1639" spans="1:6" ht="13">
      <c r="A1639" s="1">
        <v>10871</v>
      </c>
      <c r="B1639" s="1">
        <v>17</v>
      </c>
      <c r="C1639" s="1">
        <v>39</v>
      </c>
      <c r="D1639" s="1">
        <v>16</v>
      </c>
      <c r="E1639" s="1">
        <v>0.05</v>
      </c>
      <c r="F1639">
        <f t="shared" si="25"/>
        <v>592.79999999999995</v>
      </c>
    </row>
    <row r="1640" spans="1:6" ht="13">
      <c r="A1640" s="1">
        <v>10872</v>
      </c>
      <c r="B1640" s="1">
        <v>55</v>
      </c>
      <c r="C1640" s="1">
        <v>24</v>
      </c>
      <c r="D1640" s="1">
        <v>10</v>
      </c>
      <c r="E1640" s="1">
        <v>0.05</v>
      </c>
      <c r="F1640">
        <f t="shared" si="25"/>
        <v>228</v>
      </c>
    </row>
    <row r="1641" spans="1:6" ht="13">
      <c r="A1641" s="1">
        <v>10872</v>
      </c>
      <c r="B1641" s="1">
        <v>62</v>
      </c>
      <c r="C1641" s="1">
        <v>49.3</v>
      </c>
      <c r="D1641" s="1">
        <v>20</v>
      </c>
      <c r="E1641" s="1">
        <v>0.05</v>
      </c>
      <c r="F1641">
        <f t="shared" si="25"/>
        <v>936.69999999999993</v>
      </c>
    </row>
    <row r="1642" spans="1:6" ht="13">
      <c r="A1642" s="1">
        <v>10872</v>
      </c>
      <c r="B1642" s="1">
        <v>64</v>
      </c>
      <c r="C1642" s="1">
        <v>33.25</v>
      </c>
      <c r="D1642" s="1">
        <v>15</v>
      </c>
      <c r="E1642" s="1">
        <v>0.05</v>
      </c>
      <c r="F1642">
        <f t="shared" si="25"/>
        <v>473.8125</v>
      </c>
    </row>
    <row r="1643" spans="1:6" ht="13">
      <c r="A1643" s="1">
        <v>10872</v>
      </c>
      <c r="B1643" s="1">
        <v>65</v>
      </c>
      <c r="C1643" s="1">
        <v>21.05</v>
      </c>
      <c r="D1643" s="1">
        <v>21</v>
      </c>
      <c r="E1643" s="1">
        <v>0.05</v>
      </c>
      <c r="F1643">
        <f t="shared" si="25"/>
        <v>419.94749999999999</v>
      </c>
    </row>
    <row r="1644" spans="1:6" ht="13">
      <c r="A1644" s="1">
        <v>10873</v>
      </c>
      <c r="B1644" s="1">
        <v>21</v>
      </c>
      <c r="C1644" s="1">
        <v>10</v>
      </c>
      <c r="D1644" s="1">
        <v>20</v>
      </c>
      <c r="E1644" s="1">
        <v>0</v>
      </c>
      <c r="F1644">
        <f t="shared" si="25"/>
        <v>200</v>
      </c>
    </row>
    <row r="1645" spans="1:6" ht="13">
      <c r="A1645" s="1">
        <v>10873</v>
      </c>
      <c r="B1645" s="1">
        <v>28</v>
      </c>
      <c r="C1645" s="1">
        <v>45.6</v>
      </c>
      <c r="D1645" s="1">
        <v>3</v>
      </c>
      <c r="E1645" s="1">
        <v>0</v>
      </c>
      <c r="F1645">
        <f t="shared" si="25"/>
        <v>136.80000000000001</v>
      </c>
    </row>
    <row r="1646" spans="1:6" ht="13">
      <c r="A1646" s="1">
        <v>10874</v>
      </c>
      <c r="B1646" s="1">
        <v>10</v>
      </c>
      <c r="C1646" s="1">
        <v>31</v>
      </c>
      <c r="D1646" s="1">
        <v>10</v>
      </c>
      <c r="E1646" s="1">
        <v>0</v>
      </c>
      <c r="F1646">
        <f t="shared" si="25"/>
        <v>310</v>
      </c>
    </row>
    <row r="1647" spans="1:6" ht="13">
      <c r="A1647" s="1">
        <v>10875</v>
      </c>
      <c r="B1647" s="1">
        <v>19</v>
      </c>
      <c r="C1647" s="1">
        <v>9.1999999999999993</v>
      </c>
      <c r="D1647" s="1">
        <v>25</v>
      </c>
      <c r="E1647" s="1">
        <v>0</v>
      </c>
      <c r="F1647">
        <f t="shared" si="25"/>
        <v>229.99999999999997</v>
      </c>
    </row>
    <row r="1648" spans="1:6" ht="13">
      <c r="A1648" s="1">
        <v>10875</v>
      </c>
      <c r="B1648" s="1">
        <v>47</v>
      </c>
      <c r="C1648" s="1">
        <v>9.5</v>
      </c>
      <c r="D1648" s="1">
        <v>21</v>
      </c>
      <c r="E1648" s="1">
        <v>0.1</v>
      </c>
      <c r="F1648">
        <f t="shared" si="25"/>
        <v>179.55</v>
      </c>
    </row>
    <row r="1649" spans="1:6" ht="13">
      <c r="A1649" s="1">
        <v>10875</v>
      </c>
      <c r="B1649" s="1">
        <v>49</v>
      </c>
      <c r="C1649" s="1">
        <v>20</v>
      </c>
      <c r="D1649" s="1">
        <v>15</v>
      </c>
      <c r="E1649" s="1">
        <v>0</v>
      </c>
      <c r="F1649">
        <f t="shared" si="25"/>
        <v>300</v>
      </c>
    </row>
    <row r="1650" spans="1:6" ht="13">
      <c r="A1650" s="1">
        <v>10876</v>
      </c>
      <c r="B1650" s="1">
        <v>46</v>
      </c>
      <c r="C1650" s="1">
        <v>12</v>
      </c>
      <c r="D1650" s="1">
        <v>21</v>
      </c>
      <c r="E1650" s="1">
        <v>0</v>
      </c>
      <c r="F1650">
        <f t="shared" si="25"/>
        <v>252</v>
      </c>
    </row>
    <row r="1651" spans="1:6" ht="13">
      <c r="A1651" s="1">
        <v>10876</v>
      </c>
      <c r="B1651" s="1">
        <v>64</v>
      </c>
      <c r="C1651" s="1">
        <v>33.25</v>
      </c>
      <c r="D1651" s="1">
        <v>20</v>
      </c>
      <c r="E1651" s="1">
        <v>0</v>
      </c>
      <c r="F1651">
        <f t="shared" si="25"/>
        <v>665</v>
      </c>
    </row>
    <row r="1652" spans="1:6" ht="13">
      <c r="A1652" s="1">
        <v>10877</v>
      </c>
      <c r="B1652" s="1">
        <v>16</v>
      </c>
      <c r="C1652" s="1">
        <v>17.45</v>
      </c>
      <c r="D1652" s="1">
        <v>30</v>
      </c>
      <c r="E1652" s="1">
        <v>0.25</v>
      </c>
      <c r="F1652">
        <f t="shared" si="25"/>
        <v>392.625</v>
      </c>
    </row>
    <row r="1653" spans="1:6" ht="13">
      <c r="A1653" s="1">
        <v>10877</v>
      </c>
      <c r="B1653" s="1">
        <v>18</v>
      </c>
      <c r="C1653" s="1">
        <v>62.5</v>
      </c>
      <c r="D1653" s="1">
        <v>25</v>
      </c>
      <c r="E1653" s="1">
        <v>0</v>
      </c>
      <c r="F1653">
        <f t="shared" si="25"/>
        <v>1562.5</v>
      </c>
    </row>
    <row r="1654" spans="1:6" ht="13">
      <c r="A1654" s="1">
        <v>10878</v>
      </c>
      <c r="B1654" s="1">
        <v>20</v>
      </c>
      <c r="C1654" s="1">
        <v>81</v>
      </c>
      <c r="D1654" s="1">
        <v>20</v>
      </c>
      <c r="E1654" s="1">
        <v>0.05</v>
      </c>
      <c r="F1654">
        <f t="shared" si="25"/>
        <v>1539</v>
      </c>
    </row>
    <row r="1655" spans="1:6" ht="13">
      <c r="A1655" s="1">
        <v>10879</v>
      </c>
      <c r="B1655" s="1">
        <v>40</v>
      </c>
      <c r="C1655" s="1">
        <v>18.399999999999999</v>
      </c>
      <c r="D1655" s="1">
        <v>12</v>
      </c>
      <c r="E1655" s="1">
        <v>0</v>
      </c>
      <c r="F1655">
        <f t="shared" si="25"/>
        <v>220.79999999999998</v>
      </c>
    </row>
    <row r="1656" spans="1:6" ht="13">
      <c r="A1656" s="1">
        <v>10879</v>
      </c>
      <c r="B1656" s="1">
        <v>65</v>
      </c>
      <c r="C1656" s="1">
        <v>21.05</v>
      </c>
      <c r="D1656" s="1">
        <v>10</v>
      </c>
      <c r="E1656" s="1">
        <v>0</v>
      </c>
      <c r="F1656">
        <f t="shared" si="25"/>
        <v>210.5</v>
      </c>
    </row>
    <row r="1657" spans="1:6" ht="13">
      <c r="A1657" s="1">
        <v>10879</v>
      </c>
      <c r="B1657" s="1">
        <v>76</v>
      </c>
      <c r="C1657" s="1">
        <v>18</v>
      </c>
      <c r="D1657" s="1">
        <v>10</v>
      </c>
      <c r="E1657" s="1">
        <v>0</v>
      </c>
      <c r="F1657">
        <f t="shared" si="25"/>
        <v>180</v>
      </c>
    </row>
    <row r="1658" spans="1:6" ht="13">
      <c r="A1658" s="1">
        <v>10880</v>
      </c>
      <c r="B1658" s="1">
        <v>23</v>
      </c>
      <c r="C1658" s="1">
        <v>9</v>
      </c>
      <c r="D1658" s="1">
        <v>30</v>
      </c>
      <c r="E1658" s="1">
        <v>0.2</v>
      </c>
      <c r="F1658">
        <f t="shared" si="25"/>
        <v>216</v>
      </c>
    </row>
    <row r="1659" spans="1:6" ht="13">
      <c r="A1659" s="1">
        <v>10880</v>
      </c>
      <c r="B1659" s="1">
        <v>61</v>
      </c>
      <c r="C1659" s="1">
        <v>28.5</v>
      </c>
      <c r="D1659" s="1">
        <v>30</v>
      </c>
      <c r="E1659" s="1">
        <v>0.2</v>
      </c>
      <c r="F1659">
        <f t="shared" si="25"/>
        <v>684</v>
      </c>
    </row>
    <row r="1660" spans="1:6" ht="13">
      <c r="A1660" s="1">
        <v>10880</v>
      </c>
      <c r="B1660" s="1">
        <v>70</v>
      </c>
      <c r="C1660" s="1">
        <v>15</v>
      </c>
      <c r="D1660" s="1">
        <v>50</v>
      </c>
      <c r="E1660" s="1">
        <v>0.2</v>
      </c>
      <c r="F1660">
        <f t="shared" si="25"/>
        <v>600</v>
      </c>
    </row>
    <row r="1661" spans="1:6" ht="13">
      <c r="A1661" s="1">
        <v>10881</v>
      </c>
      <c r="B1661" s="1">
        <v>73</v>
      </c>
      <c r="C1661" s="1">
        <v>15</v>
      </c>
      <c r="D1661" s="1">
        <v>10</v>
      </c>
      <c r="E1661" s="1">
        <v>0</v>
      </c>
      <c r="F1661">
        <f t="shared" si="25"/>
        <v>150</v>
      </c>
    </row>
    <row r="1662" spans="1:6" ht="13">
      <c r="A1662" s="1">
        <v>10882</v>
      </c>
      <c r="B1662" s="1">
        <v>42</v>
      </c>
      <c r="C1662" s="1">
        <v>14</v>
      </c>
      <c r="D1662" s="1">
        <v>25</v>
      </c>
      <c r="E1662" s="1">
        <v>0</v>
      </c>
      <c r="F1662">
        <f t="shared" si="25"/>
        <v>350</v>
      </c>
    </row>
    <row r="1663" spans="1:6" ht="13">
      <c r="A1663" s="1">
        <v>10882</v>
      </c>
      <c r="B1663" s="1">
        <v>49</v>
      </c>
      <c r="C1663" s="1">
        <v>20</v>
      </c>
      <c r="D1663" s="1">
        <v>20</v>
      </c>
      <c r="E1663" s="1">
        <v>0.15</v>
      </c>
      <c r="F1663">
        <f t="shared" si="25"/>
        <v>340</v>
      </c>
    </row>
    <row r="1664" spans="1:6" ht="13">
      <c r="A1664" s="1">
        <v>10882</v>
      </c>
      <c r="B1664" s="1">
        <v>54</v>
      </c>
      <c r="C1664" s="1">
        <v>7.45</v>
      </c>
      <c r="D1664" s="1">
        <v>32</v>
      </c>
      <c r="E1664" s="1">
        <v>0.15</v>
      </c>
      <c r="F1664">
        <f t="shared" si="25"/>
        <v>202.64</v>
      </c>
    </row>
    <row r="1665" spans="1:6" ht="13">
      <c r="A1665" s="1">
        <v>10883</v>
      </c>
      <c r="B1665" s="1">
        <v>24</v>
      </c>
      <c r="C1665" s="1">
        <v>4.5</v>
      </c>
      <c r="D1665" s="1">
        <v>8</v>
      </c>
      <c r="E1665" s="1">
        <v>0</v>
      </c>
      <c r="F1665">
        <f t="shared" si="25"/>
        <v>36</v>
      </c>
    </row>
    <row r="1666" spans="1:6" ht="13">
      <c r="A1666" s="1">
        <v>10884</v>
      </c>
      <c r="B1666" s="1">
        <v>21</v>
      </c>
      <c r="C1666" s="1">
        <v>10</v>
      </c>
      <c r="D1666" s="1">
        <v>40</v>
      </c>
      <c r="E1666" s="1">
        <v>0.05</v>
      </c>
      <c r="F1666">
        <f t="shared" si="25"/>
        <v>380</v>
      </c>
    </row>
    <row r="1667" spans="1:6" ht="13">
      <c r="A1667" s="1">
        <v>10884</v>
      </c>
      <c r="B1667" s="1">
        <v>56</v>
      </c>
      <c r="C1667" s="1">
        <v>38</v>
      </c>
      <c r="D1667" s="1">
        <v>21</v>
      </c>
      <c r="E1667" s="1">
        <v>0.05</v>
      </c>
      <c r="F1667">
        <f t="shared" ref="F1667:F1730" si="26">C1667*D1667*(1-E1667)</f>
        <v>758.09999999999991</v>
      </c>
    </row>
    <row r="1668" spans="1:6" ht="13">
      <c r="A1668" s="1">
        <v>10884</v>
      </c>
      <c r="B1668" s="1">
        <v>65</v>
      </c>
      <c r="C1668" s="1">
        <v>21.05</v>
      </c>
      <c r="D1668" s="1">
        <v>12</v>
      </c>
      <c r="E1668" s="1">
        <v>0.05</v>
      </c>
      <c r="F1668">
        <f t="shared" si="26"/>
        <v>239.97</v>
      </c>
    </row>
    <row r="1669" spans="1:6" ht="13">
      <c r="A1669" s="1">
        <v>10885</v>
      </c>
      <c r="B1669" s="1">
        <v>2</v>
      </c>
      <c r="C1669" s="1">
        <v>19</v>
      </c>
      <c r="D1669" s="1">
        <v>20</v>
      </c>
      <c r="E1669" s="1">
        <v>0</v>
      </c>
      <c r="F1669">
        <f t="shared" si="26"/>
        <v>380</v>
      </c>
    </row>
    <row r="1670" spans="1:6" ht="13">
      <c r="A1670" s="1">
        <v>10885</v>
      </c>
      <c r="B1670" s="1">
        <v>24</v>
      </c>
      <c r="C1670" s="1">
        <v>4.5</v>
      </c>
      <c r="D1670" s="1">
        <v>12</v>
      </c>
      <c r="E1670" s="1">
        <v>0</v>
      </c>
      <c r="F1670">
        <f t="shared" si="26"/>
        <v>54</v>
      </c>
    </row>
    <row r="1671" spans="1:6" ht="13">
      <c r="A1671" s="1">
        <v>10885</v>
      </c>
      <c r="B1671" s="1">
        <v>70</v>
      </c>
      <c r="C1671" s="1">
        <v>15</v>
      </c>
      <c r="D1671" s="1">
        <v>30</v>
      </c>
      <c r="E1671" s="1">
        <v>0</v>
      </c>
      <c r="F1671">
        <f t="shared" si="26"/>
        <v>450</v>
      </c>
    </row>
    <row r="1672" spans="1:6" ht="13">
      <c r="A1672" s="1">
        <v>10885</v>
      </c>
      <c r="B1672" s="1">
        <v>77</v>
      </c>
      <c r="C1672" s="1">
        <v>13</v>
      </c>
      <c r="D1672" s="1">
        <v>25</v>
      </c>
      <c r="E1672" s="1">
        <v>0</v>
      </c>
      <c r="F1672">
        <f t="shared" si="26"/>
        <v>325</v>
      </c>
    </row>
    <row r="1673" spans="1:6" ht="13">
      <c r="A1673" s="1">
        <v>10886</v>
      </c>
      <c r="B1673" s="1">
        <v>10</v>
      </c>
      <c r="C1673" s="1">
        <v>31</v>
      </c>
      <c r="D1673" s="1">
        <v>70</v>
      </c>
      <c r="E1673" s="1">
        <v>0</v>
      </c>
      <c r="F1673">
        <f t="shared" si="26"/>
        <v>2170</v>
      </c>
    </row>
    <row r="1674" spans="1:6" ht="13">
      <c r="A1674" s="1">
        <v>10886</v>
      </c>
      <c r="B1674" s="1">
        <v>31</v>
      </c>
      <c r="C1674" s="1">
        <v>12.5</v>
      </c>
      <c r="D1674" s="1">
        <v>35</v>
      </c>
      <c r="E1674" s="1">
        <v>0</v>
      </c>
      <c r="F1674">
        <f t="shared" si="26"/>
        <v>437.5</v>
      </c>
    </row>
    <row r="1675" spans="1:6" ht="13">
      <c r="A1675" s="1">
        <v>10886</v>
      </c>
      <c r="B1675" s="1">
        <v>77</v>
      </c>
      <c r="C1675" s="1">
        <v>13</v>
      </c>
      <c r="D1675" s="1">
        <v>40</v>
      </c>
      <c r="E1675" s="1">
        <v>0</v>
      </c>
      <c r="F1675">
        <f t="shared" si="26"/>
        <v>520</v>
      </c>
    </row>
    <row r="1676" spans="1:6" ht="13">
      <c r="A1676" s="1">
        <v>10887</v>
      </c>
      <c r="B1676" s="1">
        <v>25</v>
      </c>
      <c r="C1676" s="1">
        <v>14</v>
      </c>
      <c r="D1676" s="1">
        <v>5</v>
      </c>
      <c r="E1676" s="1">
        <v>0</v>
      </c>
      <c r="F1676">
        <f t="shared" si="26"/>
        <v>70</v>
      </c>
    </row>
    <row r="1677" spans="1:6" ht="13">
      <c r="A1677" s="1">
        <v>10888</v>
      </c>
      <c r="B1677" s="1">
        <v>2</v>
      </c>
      <c r="C1677" s="1">
        <v>19</v>
      </c>
      <c r="D1677" s="1">
        <v>20</v>
      </c>
      <c r="E1677" s="1">
        <v>0</v>
      </c>
      <c r="F1677">
        <f t="shared" si="26"/>
        <v>380</v>
      </c>
    </row>
    <row r="1678" spans="1:6" ht="13">
      <c r="A1678" s="1">
        <v>10888</v>
      </c>
      <c r="B1678" s="1">
        <v>68</v>
      </c>
      <c r="C1678" s="1">
        <v>12.5</v>
      </c>
      <c r="D1678" s="1">
        <v>18</v>
      </c>
      <c r="E1678" s="1">
        <v>0</v>
      </c>
      <c r="F1678">
        <f t="shared" si="26"/>
        <v>225</v>
      </c>
    </row>
    <row r="1679" spans="1:6" ht="13">
      <c r="A1679" s="1">
        <v>10889</v>
      </c>
      <c r="B1679" s="1">
        <v>11</v>
      </c>
      <c r="C1679" s="1">
        <v>21</v>
      </c>
      <c r="D1679" s="1">
        <v>40</v>
      </c>
      <c r="E1679" s="1">
        <v>0</v>
      </c>
      <c r="F1679">
        <f t="shared" si="26"/>
        <v>840</v>
      </c>
    </row>
    <row r="1680" spans="1:6" ht="13">
      <c r="A1680" s="1">
        <v>10889</v>
      </c>
      <c r="B1680" s="1">
        <v>38</v>
      </c>
      <c r="C1680" s="1">
        <v>263.5</v>
      </c>
      <c r="D1680" s="1">
        <v>40</v>
      </c>
      <c r="E1680" s="1">
        <v>0</v>
      </c>
      <c r="F1680">
        <f t="shared" si="26"/>
        <v>10540</v>
      </c>
    </row>
    <row r="1681" spans="1:6" ht="13">
      <c r="A1681" s="1">
        <v>10890</v>
      </c>
      <c r="B1681" s="1">
        <v>17</v>
      </c>
      <c r="C1681" s="1">
        <v>39</v>
      </c>
      <c r="D1681" s="1">
        <v>15</v>
      </c>
      <c r="E1681" s="1">
        <v>0</v>
      </c>
      <c r="F1681">
        <f t="shared" si="26"/>
        <v>585</v>
      </c>
    </row>
    <row r="1682" spans="1:6" ht="13">
      <c r="A1682" s="1">
        <v>10890</v>
      </c>
      <c r="B1682" s="1">
        <v>34</v>
      </c>
      <c r="C1682" s="1">
        <v>14</v>
      </c>
      <c r="D1682" s="1">
        <v>10</v>
      </c>
      <c r="E1682" s="1">
        <v>0</v>
      </c>
      <c r="F1682">
        <f t="shared" si="26"/>
        <v>140</v>
      </c>
    </row>
    <row r="1683" spans="1:6" ht="13">
      <c r="A1683" s="1">
        <v>10890</v>
      </c>
      <c r="B1683" s="1">
        <v>41</v>
      </c>
      <c r="C1683" s="1">
        <v>9.65</v>
      </c>
      <c r="D1683" s="1">
        <v>14</v>
      </c>
      <c r="E1683" s="1">
        <v>0</v>
      </c>
      <c r="F1683">
        <f t="shared" si="26"/>
        <v>135.1</v>
      </c>
    </row>
    <row r="1684" spans="1:6" ht="13">
      <c r="A1684" s="1">
        <v>10891</v>
      </c>
      <c r="B1684" s="1">
        <v>30</v>
      </c>
      <c r="C1684" s="1">
        <v>25.89</v>
      </c>
      <c r="D1684" s="1">
        <v>15</v>
      </c>
      <c r="E1684" s="1">
        <v>0.05</v>
      </c>
      <c r="F1684">
        <f t="shared" si="26"/>
        <v>368.9325</v>
      </c>
    </row>
    <row r="1685" spans="1:6" ht="13">
      <c r="A1685" s="1">
        <v>10892</v>
      </c>
      <c r="B1685" s="1">
        <v>59</v>
      </c>
      <c r="C1685" s="1">
        <v>55</v>
      </c>
      <c r="D1685" s="1">
        <v>40</v>
      </c>
      <c r="E1685" s="1">
        <v>0.05</v>
      </c>
      <c r="F1685">
        <f t="shared" si="26"/>
        <v>2090</v>
      </c>
    </row>
    <row r="1686" spans="1:6" ht="13">
      <c r="A1686" s="1">
        <v>10893</v>
      </c>
      <c r="B1686" s="1">
        <v>8</v>
      </c>
      <c r="C1686" s="1">
        <v>40</v>
      </c>
      <c r="D1686" s="1">
        <v>30</v>
      </c>
      <c r="E1686" s="1">
        <v>0</v>
      </c>
      <c r="F1686">
        <f t="shared" si="26"/>
        <v>1200</v>
      </c>
    </row>
    <row r="1687" spans="1:6" ht="13">
      <c r="A1687" s="1">
        <v>10893</v>
      </c>
      <c r="B1687" s="1">
        <v>24</v>
      </c>
      <c r="C1687" s="1">
        <v>4.5</v>
      </c>
      <c r="D1687" s="1">
        <v>10</v>
      </c>
      <c r="E1687" s="1">
        <v>0</v>
      </c>
      <c r="F1687">
        <f t="shared" si="26"/>
        <v>45</v>
      </c>
    </row>
    <row r="1688" spans="1:6" ht="13">
      <c r="A1688" s="1">
        <v>10893</v>
      </c>
      <c r="B1688" s="1">
        <v>29</v>
      </c>
      <c r="C1688" s="1">
        <v>123.79</v>
      </c>
      <c r="D1688" s="1">
        <v>24</v>
      </c>
      <c r="E1688" s="1">
        <v>0</v>
      </c>
      <c r="F1688">
        <f t="shared" si="26"/>
        <v>2970.96</v>
      </c>
    </row>
    <row r="1689" spans="1:6" ht="13">
      <c r="A1689" s="1">
        <v>10893</v>
      </c>
      <c r="B1689" s="1">
        <v>30</v>
      </c>
      <c r="C1689" s="1">
        <v>25.89</v>
      </c>
      <c r="D1689" s="1">
        <v>35</v>
      </c>
      <c r="E1689" s="1">
        <v>0</v>
      </c>
      <c r="F1689">
        <f t="shared" si="26"/>
        <v>906.15</v>
      </c>
    </row>
    <row r="1690" spans="1:6" ht="13">
      <c r="A1690" s="1">
        <v>10893</v>
      </c>
      <c r="B1690" s="1">
        <v>36</v>
      </c>
      <c r="C1690" s="1">
        <v>19</v>
      </c>
      <c r="D1690" s="1">
        <v>20</v>
      </c>
      <c r="E1690" s="1">
        <v>0</v>
      </c>
      <c r="F1690">
        <f t="shared" si="26"/>
        <v>380</v>
      </c>
    </row>
    <row r="1691" spans="1:6" ht="13">
      <c r="A1691" s="1">
        <v>10894</v>
      </c>
      <c r="B1691" s="1">
        <v>13</v>
      </c>
      <c r="C1691" s="1">
        <v>6</v>
      </c>
      <c r="D1691" s="1">
        <v>28</v>
      </c>
      <c r="E1691" s="1">
        <v>0.05</v>
      </c>
      <c r="F1691">
        <f t="shared" si="26"/>
        <v>159.6</v>
      </c>
    </row>
    <row r="1692" spans="1:6" ht="13">
      <c r="A1692" s="1">
        <v>10894</v>
      </c>
      <c r="B1692" s="1">
        <v>69</v>
      </c>
      <c r="C1692" s="1">
        <v>36</v>
      </c>
      <c r="D1692" s="1">
        <v>50</v>
      </c>
      <c r="E1692" s="1">
        <v>0.05</v>
      </c>
      <c r="F1692">
        <f t="shared" si="26"/>
        <v>1710</v>
      </c>
    </row>
    <row r="1693" spans="1:6" ht="13">
      <c r="A1693" s="1">
        <v>10894</v>
      </c>
      <c r="B1693" s="1">
        <v>75</v>
      </c>
      <c r="C1693" s="1">
        <v>7.75</v>
      </c>
      <c r="D1693" s="1">
        <v>120</v>
      </c>
      <c r="E1693" s="1">
        <v>0.05</v>
      </c>
      <c r="F1693">
        <f t="shared" si="26"/>
        <v>883.5</v>
      </c>
    </row>
    <row r="1694" spans="1:6" ht="13">
      <c r="A1694" s="1">
        <v>10895</v>
      </c>
      <c r="B1694" s="1">
        <v>24</v>
      </c>
      <c r="C1694" s="1">
        <v>4.5</v>
      </c>
      <c r="D1694" s="1">
        <v>110</v>
      </c>
      <c r="E1694" s="1">
        <v>0</v>
      </c>
      <c r="F1694">
        <f t="shared" si="26"/>
        <v>495</v>
      </c>
    </row>
    <row r="1695" spans="1:6" ht="13">
      <c r="A1695" s="1">
        <v>10895</v>
      </c>
      <c r="B1695" s="1">
        <v>39</v>
      </c>
      <c r="C1695" s="1">
        <v>18</v>
      </c>
      <c r="D1695" s="1">
        <v>45</v>
      </c>
      <c r="E1695" s="1">
        <v>0</v>
      </c>
      <c r="F1695">
        <f t="shared" si="26"/>
        <v>810</v>
      </c>
    </row>
    <row r="1696" spans="1:6" ht="13">
      <c r="A1696" s="1">
        <v>10895</v>
      </c>
      <c r="B1696" s="1">
        <v>40</v>
      </c>
      <c r="C1696" s="1">
        <v>18.399999999999999</v>
      </c>
      <c r="D1696" s="1">
        <v>91</v>
      </c>
      <c r="E1696" s="1">
        <v>0</v>
      </c>
      <c r="F1696">
        <f t="shared" si="26"/>
        <v>1674.3999999999999</v>
      </c>
    </row>
    <row r="1697" spans="1:6" ht="13">
      <c r="A1697" s="1">
        <v>10895</v>
      </c>
      <c r="B1697" s="1">
        <v>60</v>
      </c>
      <c r="C1697" s="1">
        <v>34</v>
      </c>
      <c r="D1697" s="1">
        <v>100</v>
      </c>
      <c r="E1697" s="1">
        <v>0</v>
      </c>
      <c r="F1697">
        <f t="shared" si="26"/>
        <v>3400</v>
      </c>
    </row>
    <row r="1698" spans="1:6" ht="13">
      <c r="A1698" s="1">
        <v>10896</v>
      </c>
      <c r="B1698" s="1">
        <v>45</v>
      </c>
      <c r="C1698" s="1">
        <v>9.5</v>
      </c>
      <c r="D1698" s="1">
        <v>15</v>
      </c>
      <c r="E1698" s="1">
        <v>0</v>
      </c>
      <c r="F1698">
        <f t="shared" si="26"/>
        <v>142.5</v>
      </c>
    </row>
    <row r="1699" spans="1:6" ht="13">
      <c r="A1699" s="1">
        <v>10896</v>
      </c>
      <c r="B1699" s="1">
        <v>56</v>
      </c>
      <c r="C1699" s="1">
        <v>38</v>
      </c>
      <c r="D1699" s="1">
        <v>16</v>
      </c>
      <c r="E1699" s="1">
        <v>0</v>
      </c>
      <c r="F1699">
        <f t="shared" si="26"/>
        <v>608</v>
      </c>
    </row>
    <row r="1700" spans="1:6" ht="13">
      <c r="A1700" s="1">
        <v>10897</v>
      </c>
      <c r="B1700" s="1">
        <v>29</v>
      </c>
      <c r="C1700" s="1">
        <v>123.79</v>
      </c>
      <c r="D1700" s="1">
        <v>80</v>
      </c>
      <c r="E1700" s="1">
        <v>0</v>
      </c>
      <c r="F1700">
        <f t="shared" si="26"/>
        <v>9903.2000000000007</v>
      </c>
    </row>
    <row r="1701" spans="1:6" ht="13">
      <c r="A1701" s="1">
        <v>10897</v>
      </c>
      <c r="B1701" s="1">
        <v>30</v>
      </c>
      <c r="C1701" s="1">
        <v>25.89</v>
      </c>
      <c r="D1701" s="1">
        <v>36</v>
      </c>
      <c r="E1701" s="1">
        <v>0</v>
      </c>
      <c r="F1701">
        <f t="shared" si="26"/>
        <v>932.04</v>
      </c>
    </row>
    <row r="1702" spans="1:6" ht="13">
      <c r="A1702" s="1">
        <v>10898</v>
      </c>
      <c r="B1702" s="1">
        <v>13</v>
      </c>
      <c r="C1702" s="1">
        <v>6</v>
      </c>
      <c r="D1702" s="1">
        <v>5</v>
      </c>
      <c r="E1702" s="1">
        <v>0</v>
      </c>
      <c r="F1702">
        <f t="shared" si="26"/>
        <v>30</v>
      </c>
    </row>
    <row r="1703" spans="1:6" ht="13">
      <c r="A1703" s="1">
        <v>10899</v>
      </c>
      <c r="B1703" s="1">
        <v>39</v>
      </c>
      <c r="C1703" s="1">
        <v>18</v>
      </c>
      <c r="D1703" s="1">
        <v>8</v>
      </c>
      <c r="E1703" s="1">
        <v>0.15</v>
      </c>
      <c r="F1703">
        <f t="shared" si="26"/>
        <v>122.39999999999999</v>
      </c>
    </row>
    <row r="1704" spans="1:6" ht="13">
      <c r="A1704" s="1">
        <v>10900</v>
      </c>
      <c r="B1704" s="1">
        <v>70</v>
      </c>
      <c r="C1704" s="1">
        <v>15</v>
      </c>
      <c r="D1704" s="1">
        <v>3</v>
      </c>
      <c r="E1704" s="1">
        <v>0.25</v>
      </c>
      <c r="F1704">
        <f t="shared" si="26"/>
        <v>33.75</v>
      </c>
    </row>
    <row r="1705" spans="1:6" ht="13">
      <c r="A1705" s="1">
        <v>10901</v>
      </c>
      <c r="B1705" s="1">
        <v>41</v>
      </c>
      <c r="C1705" s="1">
        <v>9.65</v>
      </c>
      <c r="D1705" s="1">
        <v>30</v>
      </c>
      <c r="E1705" s="1">
        <v>0</v>
      </c>
      <c r="F1705">
        <f t="shared" si="26"/>
        <v>289.5</v>
      </c>
    </row>
    <row r="1706" spans="1:6" ht="13">
      <c r="A1706" s="1">
        <v>10901</v>
      </c>
      <c r="B1706" s="1">
        <v>71</v>
      </c>
      <c r="C1706" s="1">
        <v>21.5</v>
      </c>
      <c r="D1706" s="1">
        <v>30</v>
      </c>
      <c r="E1706" s="1">
        <v>0</v>
      </c>
      <c r="F1706">
        <f t="shared" si="26"/>
        <v>645</v>
      </c>
    </row>
    <row r="1707" spans="1:6" ht="13">
      <c r="A1707" s="1">
        <v>10902</v>
      </c>
      <c r="B1707" s="1">
        <v>55</v>
      </c>
      <c r="C1707" s="1">
        <v>24</v>
      </c>
      <c r="D1707" s="1">
        <v>30</v>
      </c>
      <c r="E1707" s="1">
        <v>0.15</v>
      </c>
      <c r="F1707">
        <f t="shared" si="26"/>
        <v>612</v>
      </c>
    </row>
    <row r="1708" spans="1:6" ht="13">
      <c r="A1708" s="1">
        <v>10902</v>
      </c>
      <c r="B1708" s="1">
        <v>62</v>
      </c>
      <c r="C1708" s="1">
        <v>49.3</v>
      </c>
      <c r="D1708" s="1">
        <v>6</v>
      </c>
      <c r="E1708" s="1">
        <v>0.15</v>
      </c>
      <c r="F1708">
        <f t="shared" si="26"/>
        <v>251.42999999999995</v>
      </c>
    </row>
    <row r="1709" spans="1:6" ht="13">
      <c r="A1709" s="1">
        <v>10903</v>
      </c>
      <c r="B1709" s="1">
        <v>13</v>
      </c>
      <c r="C1709" s="1">
        <v>6</v>
      </c>
      <c r="D1709" s="1">
        <v>40</v>
      </c>
      <c r="E1709" s="1">
        <v>0</v>
      </c>
      <c r="F1709">
        <f t="shared" si="26"/>
        <v>240</v>
      </c>
    </row>
    <row r="1710" spans="1:6" ht="13">
      <c r="A1710" s="1">
        <v>10903</v>
      </c>
      <c r="B1710" s="1">
        <v>65</v>
      </c>
      <c r="C1710" s="1">
        <v>21.05</v>
      </c>
      <c r="D1710" s="1">
        <v>21</v>
      </c>
      <c r="E1710" s="1">
        <v>0</v>
      </c>
      <c r="F1710">
        <f t="shared" si="26"/>
        <v>442.05</v>
      </c>
    </row>
    <row r="1711" spans="1:6" ht="13">
      <c r="A1711" s="1">
        <v>10903</v>
      </c>
      <c r="B1711" s="1">
        <v>68</v>
      </c>
      <c r="C1711" s="1">
        <v>12.5</v>
      </c>
      <c r="D1711" s="1">
        <v>20</v>
      </c>
      <c r="E1711" s="1">
        <v>0</v>
      </c>
      <c r="F1711">
        <f t="shared" si="26"/>
        <v>250</v>
      </c>
    </row>
    <row r="1712" spans="1:6" ht="13">
      <c r="A1712" s="1">
        <v>10904</v>
      </c>
      <c r="B1712" s="1">
        <v>58</v>
      </c>
      <c r="C1712" s="1">
        <v>13.25</v>
      </c>
      <c r="D1712" s="1">
        <v>15</v>
      </c>
      <c r="E1712" s="1">
        <v>0</v>
      </c>
      <c r="F1712">
        <f t="shared" si="26"/>
        <v>198.75</v>
      </c>
    </row>
    <row r="1713" spans="1:6" ht="13">
      <c r="A1713" s="1">
        <v>10904</v>
      </c>
      <c r="B1713" s="1">
        <v>62</v>
      </c>
      <c r="C1713" s="1">
        <v>49.3</v>
      </c>
      <c r="D1713" s="1">
        <v>35</v>
      </c>
      <c r="E1713" s="1">
        <v>0</v>
      </c>
      <c r="F1713">
        <f t="shared" si="26"/>
        <v>1725.5</v>
      </c>
    </row>
    <row r="1714" spans="1:6" ht="13">
      <c r="A1714" s="1">
        <v>10905</v>
      </c>
      <c r="B1714" s="1">
        <v>1</v>
      </c>
      <c r="C1714" s="1">
        <v>18</v>
      </c>
      <c r="D1714" s="1">
        <v>20</v>
      </c>
      <c r="E1714" s="1">
        <v>0.05</v>
      </c>
      <c r="F1714">
        <f t="shared" si="26"/>
        <v>342</v>
      </c>
    </row>
    <row r="1715" spans="1:6" ht="13">
      <c r="A1715" s="1">
        <v>10906</v>
      </c>
      <c r="B1715" s="1">
        <v>61</v>
      </c>
      <c r="C1715" s="1">
        <v>28.5</v>
      </c>
      <c r="D1715" s="1">
        <v>15</v>
      </c>
      <c r="E1715" s="1">
        <v>0</v>
      </c>
      <c r="F1715">
        <f t="shared" si="26"/>
        <v>427.5</v>
      </c>
    </row>
    <row r="1716" spans="1:6" ht="13">
      <c r="A1716" s="1">
        <v>10907</v>
      </c>
      <c r="B1716" s="1">
        <v>75</v>
      </c>
      <c r="C1716" s="1">
        <v>7.75</v>
      </c>
      <c r="D1716" s="1">
        <v>14</v>
      </c>
      <c r="E1716" s="1">
        <v>0</v>
      </c>
      <c r="F1716">
        <f t="shared" si="26"/>
        <v>108.5</v>
      </c>
    </row>
    <row r="1717" spans="1:6" ht="13">
      <c r="A1717" s="1">
        <v>10908</v>
      </c>
      <c r="B1717" s="1">
        <v>7</v>
      </c>
      <c r="C1717" s="1">
        <v>30</v>
      </c>
      <c r="D1717" s="1">
        <v>20</v>
      </c>
      <c r="E1717" s="1">
        <v>0.05</v>
      </c>
      <c r="F1717">
        <f t="shared" si="26"/>
        <v>570</v>
      </c>
    </row>
    <row r="1718" spans="1:6" ht="13">
      <c r="A1718" s="1">
        <v>10908</v>
      </c>
      <c r="B1718" s="1">
        <v>52</v>
      </c>
      <c r="C1718" s="1">
        <v>7</v>
      </c>
      <c r="D1718" s="1">
        <v>14</v>
      </c>
      <c r="E1718" s="1">
        <v>0.05</v>
      </c>
      <c r="F1718">
        <f t="shared" si="26"/>
        <v>93.1</v>
      </c>
    </row>
    <row r="1719" spans="1:6" ht="13">
      <c r="A1719" s="1">
        <v>10909</v>
      </c>
      <c r="B1719" s="1">
        <v>7</v>
      </c>
      <c r="C1719" s="1">
        <v>30</v>
      </c>
      <c r="D1719" s="1">
        <v>12</v>
      </c>
      <c r="E1719" s="1">
        <v>0</v>
      </c>
      <c r="F1719">
        <f t="shared" si="26"/>
        <v>360</v>
      </c>
    </row>
    <row r="1720" spans="1:6" ht="13">
      <c r="A1720" s="1">
        <v>10909</v>
      </c>
      <c r="B1720" s="1">
        <v>16</v>
      </c>
      <c r="C1720" s="1">
        <v>17.45</v>
      </c>
      <c r="D1720" s="1">
        <v>15</v>
      </c>
      <c r="E1720" s="1">
        <v>0</v>
      </c>
      <c r="F1720">
        <f t="shared" si="26"/>
        <v>261.75</v>
      </c>
    </row>
    <row r="1721" spans="1:6" ht="13">
      <c r="A1721" s="1">
        <v>10909</v>
      </c>
      <c r="B1721" s="1">
        <v>41</v>
      </c>
      <c r="C1721" s="1">
        <v>9.65</v>
      </c>
      <c r="D1721" s="1">
        <v>5</v>
      </c>
      <c r="E1721" s="1">
        <v>0</v>
      </c>
      <c r="F1721">
        <f t="shared" si="26"/>
        <v>48.25</v>
      </c>
    </row>
    <row r="1722" spans="1:6" ht="13">
      <c r="A1722" s="1">
        <v>10910</v>
      </c>
      <c r="B1722" s="1">
        <v>19</v>
      </c>
      <c r="C1722" s="1">
        <v>9.1999999999999993</v>
      </c>
      <c r="D1722" s="1">
        <v>12</v>
      </c>
      <c r="E1722" s="1">
        <v>0</v>
      </c>
      <c r="F1722">
        <f t="shared" si="26"/>
        <v>110.39999999999999</v>
      </c>
    </row>
    <row r="1723" spans="1:6" ht="13">
      <c r="A1723" s="1">
        <v>10910</v>
      </c>
      <c r="B1723" s="1">
        <v>49</v>
      </c>
      <c r="C1723" s="1">
        <v>20</v>
      </c>
      <c r="D1723" s="1">
        <v>10</v>
      </c>
      <c r="E1723" s="1">
        <v>0</v>
      </c>
      <c r="F1723">
        <f t="shared" si="26"/>
        <v>200</v>
      </c>
    </row>
    <row r="1724" spans="1:6" ht="13">
      <c r="A1724" s="1">
        <v>10910</v>
      </c>
      <c r="B1724" s="1">
        <v>61</v>
      </c>
      <c r="C1724" s="1">
        <v>28.5</v>
      </c>
      <c r="D1724" s="1">
        <v>5</v>
      </c>
      <c r="E1724" s="1">
        <v>0</v>
      </c>
      <c r="F1724">
        <f t="shared" si="26"/>
        <v>142.5</v>
      </c>
    </row>
    <row r="1725" spans="1:6" ht="13">
      <c r="A1725" s="1">
        <v>10911</v>
      </c>
      <c r="B1725" s="1">
        <v>1</v>
      </c>
      <c r="C1725" s="1">
        <v>18</v>
      </c>
      <c r="D1725" s="1">
        <v>10</v>
      </c>
      <c r="E1725" s="1">
        <v>0</v>
      </c>
      <c r="F1725">
        <f t="shared" si="26"/>
        <v>180</v>
      </c>
    </row>
    <row r="1726" spans="1:6" ht="13">
      <c r="A1726" s="1">
        <v>10911</v>
      </c>
      <c r="B1726" s="1">
        <v>17</v>
      </c>
      <c r="C1726" s="1">
        <v>39</v>
      </c>
      <c r="D1726" s="1">
        <v>12</v>
      </c>
      <c r="E1726" s="1">
        <v>0</v>
      </c>
      <c r="F1726">
        <f t="shared" si="26"/>
        <v>468</v>
      </c>
    </row>
    <row r="1727" spans="1:6" ht="13">
      <c r="A1727" s="1">
        <v>10911</v>
      </c>
      <c r="B1727" s="1">
        <v>67</v>
      </c>
      <c r="C1727" s="1">
        <v>14</v>
      </c>
      <c r="D1727" s="1">
        <v>15</v>
      </c>
      <c r="E1727" s="1">
        <v>0</v>
      </c>
      <c r="F1727">
        <f t="shared" si="26"/>
        <v>210</v>
      </c>
    </row>
    <row r="1728" spans="1:6" ht="13">
      <c r="A1728" s="1">
        <v>10912</v>
      </c>
      <c r="B1728" s="1">
        <v>11</v>
      </c>
      <c r="C1728" s="1">
        <v>21</v>
      </c>
      <c r="D1728" s="1">
        <v>40</v>
      </c>
      <c r="E1728" s="1">
        <v>0.25</v>
      </c>
      <c r="F1728">
        <f t="shared" si="26"/>
        <v>630</v>
      </c>
    </row>
    <row r="1729" spans="1:6" ht="13">
      <c r="A1729" s="1">
        <v>10912</v>
      </c>
      <c r="B1729" s="1">
        <v>29</v>
      </c>
      <c r="C1729" s="1">
        <v>123.79</v>
      </c>
      <c r="D1729" s="1">
        <v>60</v>
      </c>
      <c r="E1729" s="1">
        <v>0.25</v>
      </c>
      <c r="F1729">
        <f t="shared" si="26"/>
        <v>5570.55</v>
      </c>
    </row>
    <row r="1730" spans="1:6" ht="13">
      <c r="A1730" s="1">
        <v>10913</v>
      </c>
      <c r="B1730" s="1">
        <v>4</v>
      </c>
      <c r="C1730" s="1">
        <v>22</v>
      </c>
      <c r="D1730" s="1">
        <v>30</v>
      </c>
      <c r="E1730" s="1">
        <v>0.25</v>
      </c>
      <c r="F1730">
        <f t="shared" si="26"/>
        <v>495</v>
      </c>
    </row>
    <row r="1731" spans="1:6" ht="13">
      <c r="A1731" s="1">
        <v>10913</v>
      </c>
      <c r="B1731" s="1">
        <v>33</v>
      </c>
      <c r="C1731" s="1">
        <v>2.5</v>
      </c>
      <c r="D1731" s="1">
        <v>40</v>
      </c>
      <c r="E1731" s="1">
        <v>0.25</v>
      </c>
      <c r="F1731">
        <f t="shared" ref="F1731:F1794" si="27">C1731*D1731*(1-E1731)</f>
        <v>75</v>
      </c>
    </row>
    <row r="1732" spans="1:6" ht="13">
      <c r="A1732" s="1">
        <v>10913</v>
      </c>
      <c r="B1732" s="1">
        <v>58</v>
      </c>
      <c r="C1732" s="1">
        <v>13.25</v>
      </c>
      <c r="D1732" s="1">
        <v>15</v>
      </c>
      <c r="E1732" s="1">
        <v>0</v>
      </c>
      <c r="F1732">
        <f t="shared" si="27"/>
        <v>198.75</v>
      </c>
    </row>
    <row r="1733" spans="1:6" ht="13">
      <c r="A1733" s="1">
        <v>10914</v>
      </c>
      <c r="B1733" s="1">
        <v>71</v>
      </c>
      <c r="C1733" s="1">
        <v>21.5</v>
      </c>
      <c r="D1733" s="1">
        <v>25</v>
      </c>
      <c r="E1733" s="1">
        <v>0</v>
      </c>
      <c r="F1733">
        <f t="shared" si="27"/>
        <v>537.5</v>
      </c>
    </row>
    <row r="1734" spans="1:6" ht="13">
      <c r="A1734" s="1">
        <v>10915</v>
      </c>
      <c r="B1734" s="1">
        <v>17</v>
      </c>
      <c r="C1734" s="1">
        <v>39</v>
      </c>
      <c r="D1734" s="1">
        <v>10</v>
      </c>
      <c r="E1734" s="1">
        <v>0</v>
      </c>
      <c r="F1734">
        <f t="shared" si="27"/>
        <v>390</v>
      </c>
    </row>
    <row r="1735" spans="1:6" ht="13">
      <c r="A1735" s="1">
        <v>10915</v>
      </c>
      <c r="B1735" s="1">
        <v>33</v>
      </c>
      <c r="C1735" s="1">
        <v>2.5</v>
      </c>
      <c r="D1735" s="1">
        <v>30</v>
      </c>
      <c r="E1735" s="1">
        <v>0</v>
      </c>
      <c r="F1735">
        <f t="shared" si="27"/>
        <v>75</v>
      </c>
    </row>
    <row r="1736" spans="1:6" ht="13">
      <c r="A1736" s="1">
        <v>10915</v>
      </c>
      <c r="B1736" s="1">
        <v>54</v>
      </c>
      <c r="C1736" s="1">
        <v>7.45</v>
      </c>
      <c r="D1736" s="1">
        <v>10</v>
      </c>
      <c r="E1736" s="1">
        <v>0</v>
      </c>
      <c r="F1736">
        <f t="shared" si="27"/>
        <v>74.5</v>
      </c>
    </row>
    <row r="1737" spans="1:6" ht="13">
      <c r="A1737" s="1">
        <v>10916</v>
      </c>
      <c r="B1737" s="1">
        <v>16</v>
      </c>
      <c r="C1737" s="1">
        <v>17.45</v>
      </c>
      <c r="D1737" s="1">
        <v>6</v>
      </c>
      <c r="E1737" s="1">
        <v>0</v>
      </c>
      <c r="F1737">
        <f t="shared" si="27"/>
        <v>104.69999999999999</v>
      </c>
    </row>
    <row r="1738" spans="1:6" ht="13">
      <c r="A1738" s="1">
        <v>10916</v>
      </c>
      <c r="B1738" s="1">
        <v>32</v>
      </c>
      <c r="C1738" s="1">
        <v>32</v>
      </c>
      <c r="D1738" s="1">
        <v>6</v>
      </c>
      <c r="E1738" s="1">
        <v>0</v>
      </c>
      <c r="F1738">
        <f t="shared" si="27"/>
        <v>192</v>
      </c>
    </row>
    <row r="1739" spans="1:6" ht="13">
      <c r="A1739" s="1">
        <v>10916</v>
      </c>
      <c r="B1739" s="1">
        <v>57</v>
      </c>
      <c r="C1739" s="1">
        <v>19.5</v>
      </c>
      <c r="D1739" s="1">
        <v>20</v>
      </c>
      <c r="E1739" s="1">
        <v>0</v>
      </c>
      <c r="F1739">
        <f t="shared" si="27"/>
        <v>390</v>
      </c>
    </row>
    <row r="1740" spans="1:6" ht="13">
      <c r="A1740" s="1">
        <v>10917</v>
      </c>
      <c r="B1740" s="1">
        <v>30</v>
      </c>
      <c r="C1740" s="1">
        <v>25.89</v>
      </c>
      <c r="D1740" s="1">
        <v>1</v>
      </c>
      <c r="E1740" s="1">
        <v>0</v>
      </c>
      <c r="F1740">
        <f t="shared" si="27"/>
        <v>25.89</v>
      </c>
    </row>
    <row r="1741" spans="1:6" ht="13">
      <c r="A1741" s="1">
        <v>10917</v>
      </c>
      <c r="B1741" s="1">
        <v>60</v>
      </c>
      <c r="C1741" s="1">
        <v>34</v>
      </c>
      <c r="D1741" s="1">
        <v>10</v>
      </c>
      <c r="E1741" s="1">
        <v>0</v>
      </c>
      <c r="F1741">
        <f t="shared" si="27"/>
        <v>340</v>
      </c>
    </row>
    <row r="1742" spans="1:6" ht="13">
      <c r="A1742" s="1">
        <v>10918</v>
      </c>
      <c r="B1742" s="1">
        <v>1</v>
      </c>
      <c r="C1742" s="1">
        <v>18</v>
      </c>
      <c r="D1742" s="1">
        <v>60</v>
      </c>
      <c r="E1742" s="1">
        <v>0.25</v>
      </c>
      <c r="F1742">
        <f t="shared" si="27"/>
        <v>810</v>
      </c>
    </row>
    <row r="1743" spans="1:6" ht="13">
      <c r="A1743" s="1">
        <v>10918</v>
      </c>
      <c r="B1743" s="1">
        <v>60</v>
      </c>
      <c r="C1743" s="1">
        <v>34</v>
      </c>
      <c r="D1743" s="1">
        <v>25</v>
      </c>
      <c r="E1743" s="1">
        <v>0.25</v>
      </c>
      <c r="F1743">
        <f t="shared" si="27"/>
        <v>637.5</v>
      </c>
    </row>
    <row r="1744" spans="1:6" ht="13">
      <c r="A1744" s="1">
        <v>10919</v>
      </c>
      <c r="B1744" s="1">
        <v>16</v>
      </c>
      <c r="C1744" s="1">
        <v>17.45</v>
      </c>
      <c r="D1744" s="1">
        <v>24</v>
      </c>
      <c r="E1744" s="1">
        <v>0</v>
      </c>
      <c r="F1744">
        <f t="shared" si="27"/>
        <v>418.79999999999995</v>
      </c>
    </row>
    <row r="1745" spans="1:6" ht="13">
      <c r="A1745" s="1">
        <v>10919</v>
      </c>
      <c r="B1745" s="1">
        <v>25</v>
      </c>
      <c r="C1745" s="1">
        <v>14</v>
      </c>
      <c r="D1745" s="1">
        <v>24</v>
      </c>
      <c r="E1745" s="1">
        <v>0</v>
      </c>
      <c r="F1745">
        <f t="shared" si="27"/>
        <v>336</v>
      </c>
    </row>
    <row r="1746" spans="1:6" ht="13">
      <c r="A1746" s="1">
        <v>10919</v>
      </c>
      <c r="B1746" s="1">
        <v>40</v>
      </c>
      <c r="C1746" s="1">
        <v>18.399999999999999</v>
      </c>
      <c r="D1746" s="1">
        <v>20</v>
      </c>
      <c r="E1746" s="1">
        <v>0</v>
      </c>
      <c r="F1746">
        <f t="shared" si="27"/>
        <v>368</v>
      </c>
    </row>
    <row r="1747" spans="1:6" ht="13">
      <c r="A1747" s="1">
        <v>10920</v>
      </c>
      <c r="B1747" s="1">
        <v>50</v>
      </c>
      <c r="C1747" s="1">
        <v>16.25</v>
      </c>
      <c r="D1747" s="1">
        <v>24</v>
      </c>
      <c r="E1747" s="1">
        <v>0</v>
      </c>
      <c r="F1747">
        <f t="shared" si="27"/>
        <v>390</v>
      </c>
    </row>
    <row r="1748" spans="1:6" ht="13">
      <c r="A1748" s="1">
        <v>10921</v>
      </c>
      <c r="B1748" s="1">
        <v>35</v>
      </c>
      <c r="C1748" s="1">
        <v>18</v>
      </c>
      <c r="D1748" s="1">
        <v>10</v>
      </c>
      <c r="E1748" s="1">
        <v>0</v>
      </c>
      <c r="F1748">
        <f t="shared" si="27"/>
        <v>180</v>
      </c>
    </row>
    <row r="1749" spans="1:6" ht="13">
      <c r="A1749" s="1">
        <v>10921</v>
      </c>
      <c r="B1749" s="1">
        <v>63</v>
      </c>
      <c r="C1749" s="1">
        <v>43.9</v>
      </c>
      <c r="D1749" s="1">
        <v>40</v>
      </c>
      <c r="E1749" s="1">
        <v>0</v>
      </c>
      <c r="F1749">
        <f t="shared" si="27"/>
        <v>1756</v>
      </c>
    </row>
    <row r="1750" spans="1:6" ht="13">
      <c r="A1750" s="1">
        <v>10922</v>
      </c>
      <c r="B1750" s="1">
        <v>17</v>
      </c>
      <c r="C1750" s="1">
        <v>39</v>
      </c>
      <c r="D1750" s="1">
        <v>15</v>
      </c>
      <c r="E1750" s="1">
        <v>0</v>
      </c>
      <c r="F1750">
        <f t="shared" si="27"/>
        <v>585</v>
      </c>
    </row>
    <row r="1751" spans="1:6" ht="13">
      <c r="A1751" s="1">
        <v>10922</v>
      </c>
      <c r="B1751" s="1">
        <v>24</v>
      </c>
      <c r="C1751" s="1">
        <v>4.5</v>
      </c>
      <c r="D1751" s="1">
        <v>35</v>
      </c>
      <c r="E1751" s="1">
        <v>0</v>
      </c>
      <c r="F1751">
        <f t="shared" si="27"/>
        <v>157.5</v>
      </c>
    </row>
    <row r="1752" spans="1:6" ht="13">
      <c r="A1752" s="1">
        <v>10923</v>
      </c>
      <c r="B1752" s="1">
        <v>42</v>
      </c>
      <c r="C1752" s="1">
        <v>14</v>
      </c>
      <c r="D1752" s="1">
        <v>10</v>
      </c>
      <c r="E1752" s="1">
        <v>0.2</v>
      </c>
      <c r="F1752">
        <f t="shared" si="27"/>
        <v>112</v>
      </c>
    </row>
    <row r="1753" spans="1:6" ht="13">
      <c r="A1753" s="1">
        <v>10923</v>
      </c>
      <c r="B1753" s="1">
        <v>43</v>
      </c>
      <c r="C1753" s="1">
        <v>46</v>
      </c>
      <c r="D1753" s="1">
        <v>10</v>
      </c>
      <c r="E1753" s="1">
        <v>0.2</v>
      </c>
      <c r="F1753">
        <f t="shared" si="27"/>
        <v>368</v>
      </c>
    </row>
    <row r="1754" spans="1:6" ht="13">
      <c r="A1754" s="1">
        <v>10923</v>
      </c>
      <c r="B1754" s="1">
        <v>67</v>
      </c>
      <c r="C1754" s="1">
        <v>14</v>
      </c>
      <c r="D1754" s="1">
        <v>24</v>
      </c>
      <c r="E1754" s="1">
        <v>0.2</v>
      </c>
      <c r="F1754">
        <f t="shared" si="27"/>
        <v>268.8</v>
      </c>
    </row>
    <row r="1755" spans="1:6" ht="13">
      <c r="A1755" s="1">
        <v>10924</v>
      </c>
      <c r="B1755" s="1">
        <v>10</v>
      </c>
      <c r="C1755" s="1">
        <v>31</v>
      </c>
      <c r="D1755" s="1">
        <v>20</v>
      </c>
      <c r="E1755" s="1">
        <v>0.1</v>
      </c>
      <c r="F1755">
        <f t="shared" si="27"/>
        <v>558</v>
      </c>
    </row>
    <row r="1756" spans="1:6" ht="13">
      <c r="A1756" s="1">
        <v>10924</v>
      </c>
      <c r="B1756" s="1">
        <v>28</v>
      </c>
      <c r="C1756" s="1">
        <v>45.6</v>
      </c>
      <c r="D1756" s="1">
        <v>30</v>
      </c>
      <c r="E1756" s="1">
        <v>0.1</v>
      </c>
      <c r="F1756">
        <f t="shared" si="27"/>
        <v>1231.2</v>
      </c>
    </row>
    <row r="1757" spans="1:6" ht="13">
      <c r="A1757" s="1">
        <v>10924</v>
      </c>
      <c r="B1757" s="1">
        <v>75</v>
      </c>
      <c r="C1757" s="1">
        <v>7.75</v>
      </c>
      <c r="D1757" s="1">
        <v>6</v>
      </c>
      <c r="E1757" s="1">
        <v>0</v>
      </c>
      <c r="F1757">
        <f t="shared" si="27"/>
        <v>46.5</v>
      </c>
    </row>
    <row r="1758" spans="1:6" ht="13">
      <c r="A1758" s="1">
        <v>10925</v>
      </c>
      <c r="B1758" s="1">
        <v>36</v>
      </c>
      <c r="C1758" s="1">
        <v>19</v>
      </c>
      <c r="D1758" s="1">
        <v>25</v>
      </c>
      <c r="E1758" s="1">
        <v>0.15</v>
      </c>
      <c r="F1758">
        <f t="shared" si="27"/>
        <v>403.75</v>
      </c>
    </row>
    <row r="1759" spans="1:6" ht="13">
      <c r="A1759" s="1">
        <v>10925</v>
      </c>
      <c r="B1759" s="1">
        <v>52</v>
      </c>
      <c r="C1759" s="1">
        <v>7</v>
      </c>
      <c r="D1759" s="1">
        <v>12</v>
      </c>
      <c r="E1759" s="1">
        <v>0.15</v>
      </c>
      <c r="F1759">
        <f t="shared" si="27"/>
        <v>71.399999999999991</v>
      </c>
    </row>
    <row r="1760" spans="1:6" ht="13">
      <c r="A1760" s="1">
        <v>10926</v>
      </c>
      <c r="B1760" s="1">
        <v>11</v>
      </c>
      <c r="C1760" s="1">
        <v>21</v>
      </c>
      <c r="D1760" s="1">
        <v>2</v>
      </c>
      <c r="E1760" s="1">
        <v>0</v>
      </c>
      <c r="F1760">
        <f t="shared" si="27"/>
        <v>42</v>
      </c>
    </row>
    <row r="1761" spans="1:6" ht="13">
      <c r="A1761" s="1">
        <v>10926</v>
      </c>
      <c r="B1761" s="1">
        <v>13</v>
      </c>
      <c r="C1761" s="1">
        <v>6</v>
      </c>
      <c r="D1761" s="1">
        <v>10</v>
      </c>
      <c r="E1761" s="1">
        <v>0</v>
      </c>
      <c r="F1761">
        <f t="shared" si="27"/>
        <v>60</v>
      </c>
    </row>
    <row r="1762" spans="1:6" ht="13">
      <c r="A1762" s="1">
        <v>10926</v>
      </c>
      <c r="B1762" s="1">
        <v>19</v>
      </c>
      <c r="C1762" s="1">
        <v>9.1999999999999993</v>
      </c>
      <c r="D1762" s="1">
        <v>7</v>
      </c>
      <c r="E1762" s="1">
        <v>0</v>
      </c>
      <c r="F1762">
        <f t="shared" si="27"/>
        <v>64.399999999999991</v>
      </c>
    </row>
    <row r="1763" spans="1:6" ht="13">
      <c r="A1763" s="1">
        <v>10926</v>
      </c>
      <c r="B1763" s="1">
        <v>72</v>
      </c>
      <c r="C1763" s="1">
        <v>34.799999999999997</v>
      </c>
      <c r="D1763" s="1">
        <v>10</v>
      </c>
      <c r="E1763" s="1">
        <v>0</v>
      </c>
      <c r="F1763">
        <f t="shared" si="27"/>
        <v>348</v>
      </c>
    </row>
    <row r="1764" spans="1:6" ht="13">
      <c r="A1764" s="1">
        <v>10927</v>
      </c>
      <c r="B1764" s="1">
        <v>20</v>
      </c>
      <c r="C1764" s="1">
        <v>81</v>
      </c>
      <c r="D1764" s="1">
        <v>5</v>
      </c>
      <c r="E1764" s="1">
        <v>0</v>
      </c>
      <c r="F1764">
        <f t="shared" si="27"/>
        <v>405</v>
      </c>
    </row>
    <row r="1765" spans="1:6" ht="13">
      <c r="A1765" s="1">
        <v>10927</v>
      </c>
      <c r="B1765" s="1">
        <v>52</v>
      </c>
      <c r="C1765" s="1">
        <v>7</v>
      </c>
      <c r="D1765" s="1">
        <v>5</v>
      </c>
      <c r="E1765" s="1">
        <v>0</v>
      </c>
      <c r="F1765">
        <f t="shared" si="27"/>
        <v>35</v>
      </c>
    </row>
    <row r="1766" spans="1:6" ht="13">
      <c r="A1766" s="1">
        <v>10927</v>
      </c>
      <c r="B1766" s="1">
        <v>76</v>
      </c>
      <c r="C1766" s="1">
        <v>18</v>
      </c>
      <c r="D1766" s="1">
        <v>20</v>
      </c>
      <c r="E1766" s="1">
        <v>0</v>
      </c>
      <c r="F1766">
        <f t="shared" si="27"/>
        <v>360</v>
      </c>
    </row>
    <row r="1767" spans="1:6" ht="13">
      <c r="A1767" s="1">
        <v>10928</v>
      </c>
      <c r="B1767" s="1">
        <v>47</v>
      </c>
      <c r="C1767" s="1">
        <v>9.5</v>
      </c>
      <c r="D1767" s="1">
        <v>5</v>
      </c>
      <c r="E1767" s="1">
        <v>0</v>
      </c>
      <c r="F1767">
        <f t="shared" si="27"/>
        <v>47.5</v>
      </c>
    </row>
    <row r="1768" spans="1:6" ht="13">
      <c r="A1768" s="1">
        <v>10928</v>
      </c>
      <c r="B1768" s="1">
        <v>76</v>
      </c>
      <c r="C1768" s="1">
        <v>18</v>
      </c>
      <c r="D1768" s="1">
        <v>5</v>
      </c>
      <c r="E1768" s="1">
        <v>0</v>
      </c>
      <c r="F1768">
        <f t="shared" si="27"/>
        <v>90</v>
      </c>
    </row>
    <row r="1769" spans="1:6" ht="13">
      <c r="A1769" s="1">
        <v>10929</v>
      </c>
      <c r="B1769" s="1">
        <v>21</v>
      </c>
      <c r="C1769" s="1">
        <v>10</v>
      </c>
      <c r="D1769" s="1">
        <v>60</v>
      </c>
      <c r="E1769" s="1">
        <v>0</v>
      </c>
      <c r="F1769">
        <f t="shared" si="27"/>
        <v>600</v>
      </c>
    </row>
    <row r="1770" spans="1:6" ht="13">
      <c r="A1770" s="1">
        <v>10929</v>
      </c>
      <c r="B1770" s="1">
        <v>75</v>
      </c>
      <c r="C1770" s="1">
        <v>7.75</v>
      </c>
      <c r="D1770" s="1">
        <v>49</v>
      </c>
      <c r="E1770" s="1">
        <v>0</v>
      </c>
      <c r="F1770">
        <f t="shared" si="27"/>
        <v>379.75</v>
      </c>
    </row>
    <row r="1771" spans="1:6" ht="13">
      <c r="A1771" s="1">
        <v>10929</v>
      </c>
      <c r="B1771" s="1">
        <v>77</v>
      </c>
      <c r="C1771" s="1">
        <v>13</v>
      </c>
      <c r="D1771" s="1">
        <v>15</v>
      </c>
      <c r="E1771" s="1">
        <v>0</v>
      </c>
      <c r="F1771">
        <f t="shared" si="27"/>
        <v>195</v>
      </c>
    </row>
    <row r="1772" spans="1:6" ht="13">
      <c r="A1772" s="1">
        <v>10930</v>
      </c>
      <c r="B1772" s="1">
        <v>21</v>
      </c>
      <c r="C1772" s="1">
        <v>10</v>
      </c>
      <c r="D1772" s="1">
        <v>36</v>
      </c>
      <c r="E1772" s="1">
        <v>0</v>
      </c>
      <c r="F1772">
        <f t="shared" si="27"/>
        <v>360</v>
      </c>
    </row>
    <row r="1773" spans="1:6" ht="13">
      <c r="A1773" s="1">
        <v>10930</v>
      </c>
      <c r="B1773" s="1">
        <v>27</v>
      </c>
      <c r="C1773" s="1">
        <v>43.9</v>
      </c>
      <c r="D1773" s="1">
        <v>25</v>
      </c>
      <c r="E1773" s="1">
        <v>0</v>
      </c>
      <c r="F1773">
        <f t="shared" si="27"/>
        <v>1097.5</v>
      </c>
    </row>
    <row r="1774" spans="1:6" ht="13">
      <c r="A1774" s="1">
        <v>10930</v>
      </c>
      <c r="B1774" s="1">
        <v>55</v>
      </c>
      <c r="C1774" s="1">
        <v>24</v>
      </c>
      <c r="D1774" s="1">
        <v>25</v>
      </c>
      <c r="E1774" s="1">
        <v>0.2</v>
      </c>
      <c r="F1774">
        <f t="shared" si="27"/>
        <v>480</v>
      </c>
    </row>
    <row r="1775" spans="1:6" ht="13">
      <c r="A1775" s="1">
        <v>10930</v>
      </c>
      <c r="B1775" s="1">
        <v>58</v>
      </c>
      <c r="C1775" s="1">
        <v>13.25</v>
      </c>
      <c r="D1775" s="1">
        <v>30</v>
      </c>
      <c r="E1775" s="1">
        <v>0.2</v>
      </c>
      <c r="F1775">
        <f t="shared" si="27"/>
        <v>318</v>
      </c>
    </row>
    <row r="1776" spans="1:6" ht="13">
      <c r="A1776" s="1">
        <v>10931</v>
      </c>
      <c r="B1776" s="1">
        <v>13</v>
      </c>
      <c r="C1776" s="1">
        <v>6</v>
      </c>
      <c r="D1776" s="1">
        <v>42</v>
      </c>
      <c r="E1776" s="1">
        <v>0.15</v>
      </c>
      <c r="F1776">
        <f t="shared" si="27"/>
        <v>214.2</v>
      </c>
    </row>
    <row r="1777" spans="1:6" ht="13">
      <c r="A1777" s="1">
        <v>10931</v>
      </c>
      <c r="B1777" s="1">
        <v>57</v>
      </c>
      <c r="C1777" s="1">
        <v>19.5</v>
      </c>
      <c r="D1777" s="1">
        <v>30</v>
      </c>
      <c r="E1777" s="1">
        <v>0</v>
      </c>
      <c r="F1777">
        <f t="shared" si="27"/>
        <v>585</v>
      </c>
    </row>
    <row r="1778" spans="1:6" ht="13">
      <c r="A1778" s="1">
        <v>10932</v>
      </c>
      <c r="B1778" s="1">
        <v>16</v>
      </c>
      <c r="C1778" s="1">
        <v>17.45</v>
      </c>
      <c r="D1778" s="1">
        <v>30</v>
      </c>
      <c r="E1778" s="1">
        <v>0.1</v>
      </c>
      <c r="F1778">
        <f t="shared" si="27"/>
        <v>471.15000000000003</v>
      </c>
    </row>
    <row r="1779" spans="1:6" ht="13">
      <c r="A1779" s="1">
        <v>10932</v>
      </c>
      <c r="B1779" s="1">
        <v>62</v>
      </c>
      <c r="C1779" s="1">
        <v>49.3</v>
      </c>
      <c r="D1779" s="1">
        <v>14</v>
      </c>
      <c r="E1779" s="1">
        <v>0.1</v>
      </c>
      <c r="F1779">
        <f t="shared" si="27"/>
        <v>621.17999999999995</v>
      </c>
    </row>
    <row r="1780" spans="1:6" ht="13">
      <c r="A1780" s="1">
        <v>10932</v>
      </c>
      <c r="B1780" s="1">
        <v>72</v>
      </c>
      <c r="C1780" s="1">
        <v>34.799999999999997</v>
      </c>
      <c r="D1780" s="1">
        <v>16</v>
      </c>
      <c r="E1780" s="1">
        <v>0</v>
      </c>
      <c r="F1780">
        <f t="shared" si="27"/>
        <v>556.79999999999995</v>
      </c>
    </row>
    <row r="1781" spans="1:6" ht="13">
      <c r="A1781" s="1">
        <v>10932</v>
      </c>
      <c r="B1781" s="1">
        <v>75</v>
      </c>
      <c r="C1781" s="1">
        <v>7.75</v>
      </c>
      <c r="D1781" s="1">
        <v>20</v>
      </c>
      <c r="E1781" s="1">
        <v>0.1</v>
      </c>
      <c r="F1781">
        <f t="shared" si="27"/>
        <v>139.5</v>
      </c>
    </row>
    <row r="1782" spans="1:6" ht="13">
      <c r="A1782" s="1">
        <v>10933</v>
      </c>
      <c r="B1782" s="1">
        <v>53</v>
      </c>
      <c r="C1782" s="1">
        <v>32.799999999999997</v>
      </c>
      <c r="D1782" s="1">
        <v>2</v>
      </c>
      <c r="E1782" s="1">
        <v>0</v>
      </c>
      <c r="F1782">
        <f t="shared" si="27"/>
        <v>65.599999999999994</v>
      </c>
    </row>
    <row r="1783" spans="1:6" ht="13">
      <c r="A1783" s="1">
        <v>10933</v>
      </c>
      <c r="B1783" s="1">
        <v>61</v>
      </c>
      <c r="C1783" s="1">
        <v>28.5</v>
      </c>
      <c r="D1783" s="1">
        <v>30</v>
      </c>
      <c r="E1783" s="1">
        <v>0</v>
      </c>
      <c r="F1783">
        <f t="shared" si="27"/>
        <v>855</v>
      </c>
    </row>
    <row r="1784" spans="1:6" ht="13">
      <c r="A1784" s="1">
        <v>10934</v>
      </c>
      <c r="B1784" s="1">
        <v>6</v>
      </c>
      <c r="C1784" s="1">
        <v>25</v>
      </c>
      <c r="D1784" s="1">
        <v>20</v>
      </c>
      <c r="E1784" s="1">
        <v>0</v>
      </c>
      <c r="F1784">
        <f t="shared" si="27"/>
        <v>500</v>
      </c>
    </row>
    <row r="1785" spans="1:6" ht="13">
      <c r="A1785" s="1">
        <v>10935</v>
      </c>
      <c r="B1785" s="1">
        <v>1</v>
      </c>
      <c r="C1785" s="1">
        <v>18</v>
      </c>
      <c r="D1785" s="1">
        <v>21</v>
      </c>
      <c r="E1785" s="1">
        <v>0</v>
      </c>
      <c r="F1785">
        <f t="shared" si="27"/>
        <v>378</v>
      </c>
    </row>
    <row r="1786" spans="1:6" ht="13">
      <c r="A1786" s="1">
        <v>10935</v>
      </c>
      <c r="B1786" s="1">
        <v>18</v>
      </c>
      <c r="C1786" s="1">
        <v>62.5</v>
      </c>
      <c r="D1786" s="1">
        <v>4</v>
      </c>
      <c r="E1786" s="1">
        <v>0.25</v>
      </c>
      <c r="F1786">
        <f t="shared" si="27"/>
        <v>187.5</v>
      </c>
    </row>
    <row r="1787" spans="1:6" ht="13">
      <c r="A1787" s="1">
        <v>10935</v>
      </c>
      <c r="B1787" s="1">
        <v>23</v>
      </c>
      <c r="C1787" s="1">
        <v>9</v>
      </c>
      <c r="D1787" s="1">
        <v>8</v>
      </c>
      <c r="E1787" s="1">
        <v>0.25</v>
      </c>
      <c r="F1787">
        <f t="shared" si="27"/>
        <v>54</v>
      </c>
    </row>
    <row r="1788" spans="1:6" ht="13">
      <c r="A1788" s="1">
        <v>10936</v>
      </c>
      <c r="B1788" s="1">
        <v>36</v>
      </c>
      <c r="C1788" s="1">
        <v>19</v>
      </c>
      <c r="D1788" s="1">
        <v>30</v>
      </c>
      <c r="E1788" s="1">
        <v>0.2</v>
      </c>
      <c r="F1788">
        <f t="shared" si="27"/>
        <v>456</v>
      </c>
    </row>
    <row r="1789" spans="1:6" ht="13">
      <c r="A1789" s="1">
        <v>10937</v>
      </c>
      <c r="B1789" s="1">
        <v>28</v>
      </c>
      <c r="C1789" s="1">
        <v>45.6</v>
      </c>
      <c r="D1789" s="1">
        <v>8</v>
      </c>
      <c r="E1789" s="1">
        <v>0</v>
      </c>
      <c r="F1789">
        <f t="shared" si="27"/>
        <v>364.8</v>
      </c>
    </row>
    <row r="1790" spans="1:6" ht="13">
      <c r="A1790" s="1">
        <v>10937</v>
      </c>
      <c r="B1790" s="1">
        <v>34</v>
      </c>
      <c r="C1790" s="1">
        <v>14</v>
      </c>
      <c r="D1790" s="1">
        <v>20</v>
      </c>
      <c r="E1790" s="1">
        <v>0</v>
      </c>
      <c r="F1790">
        <f t="shared" si="27"/>
        <v>280</v>
      </c>
    </row>
    <row r="1791" spans="1:6" ht="13">
      <c r="A1791" s="1">
        <v>10938</v>
      </c>
      <c r="B1791" s="1">
        <v>13</v>
      </c>
      <c r="C1791" s="1">
        <v>6</v>
      </c>
      <c r="D1791" s="1">
        <v>20</v>
      </c>
      <c r="E1791" s="1">
        <v>0.25</v>
      </c>
      <c r="F1791">
        <f t="shared" si="27"/>
        <v>90</v>
      </c>
    </row>
    <row r="1792" spans="1:6" ht="13">
      <c r="A1792" s="1">
        <v>10938</v>
      </c>
      <c r="B1792" s="1">
        <v>43</v>
      </c>
      <c r="C1792" s="1">
        <v>46</v>
      </c>
      <c r="D1792" s="1">
        <v>24</v>
      </c>
      <c r="E1792" s="1">
        <v>0.25</v>
      </c>
      <c r="F1792">
        <f t="shared" si="27"/>
        <v>828</v>
      </c>
    </row>
    <row r="1793" spans="1:6" ht="13">
      <c r="A1793" s="1">
        <v>10938</v>
      </c>
      <c r="B1793" s="1">
        <v>60</v>
      </c>
      <c r="C1793" s="1">
        <v>34</v>
      </c>
      <c r="D1793" s="1">
        <v>49</v>
      </c>
      <c r="E1793" s="1">
        <v>0.25</v>
      </c>
      <c r="F1793">
        <f t="shared" si="27"/>
        <v>1249.5</v>
      </c>
    </row>
    <row r="1794" spans="1:6" ht="13">
      <c r="A1794" s="1">
        <v>10938</v>
      </c>
      <c r="B1794" s="1">
        <v>71</v>
      </c>
      <c r="C1794" s="1">
        <v>21.5</v>
      </c>
      <c r="D1794" s="1">
        <v>35</v>
      </c>
      <c r="E1794" s="1">
        <v>0.25</v>
      </c>
      <c r="F1794">
        <f t="shared" si="27"/>
        <v>564.375</v>
      </c>
    </row>
    <row r="1795" spans="1:6" ht="13">
      <c r="A1795" s="1">
        <v>10939</v>
      </c>
      <c r="B1795" s="1">
        <v>2</v>
      </c>
      <c r="C1795" s="1">
        <v>19</v>
      </c>
      <c r="D1795" s="1">
        <v>10</v>
      </c>
      <c r="E1795" s="1">
        <v>0.15</v>
      </c>
      <c r="F1795">
        <f t="shared" ref="F1795:F1858" si="28">C1795*D1795*(1-E1795)</f>
        <v>161.5</v>
      </c>
    </row>
    <row r="1796" spans="1:6" ht="13">
      <c r="A1796" s="1">
        <v>10939</v>
      </c>
      <c r="B1796" s="1">
        <v>67</v>
      </c>
      <c r="C1796" s="1">
        <v>14</v>
      </c>
      <c r="D1796" s="1">
        <v>40</v>
      </c>
      <c r="E1796" s="1">
        <v>0.15</v>
      </c>
      <c r="F1796">
        <f t="shared" si="28"/>
        <v>476</v>
      </c>
    </row>
    <row r="1797" spans="1:6" ht="13">
      <c r="A1797" s="1">
        <v>10940</v>
      </c>
      <c r="B1797" s="1">
        <v>7</v>
      </c>
      <c r="C1797" s="1">
        <v>30</v>
      </c>
      <c r="D1797" s="1">
        <v>8</v>
      </c>
      <c r="E1797" s="1">
        <v>0</v>
      </c>
      <c r="F1797">
        <f t="shared" si="28"/>
        <v>240</v>
      </c>
    </row>
    <row r="1798" spans="1:6" ht="13">
      <c r="A1798" s="1">
        <v>10940</v>
      </c>
      <c r="B1798" s="1">
        <v>13</v>
      </c>
      <c r="C1798" s="1">
        <v>6</v>
      </c>
      <c r="D1798" s="1">
        <v>20</v>
      </c>
      <c r="E1798" s="1">
        <v>0</v>
      </c>
      <c r="F1798">
        <f t="shared" si="28"/>
        <v>120</v>
      </c>
    </row>
    <row r="1799" spans="1:6" ht="13">
      <c r="A1799" s="1">
        <v>10941</v>
      </c>
      <c r="B1799" s="1">
        <v>31</v>
      </c>
      <c r="C1799" s="1">
        <v>12.5</v>
      </c>
      <c r="D1799" s="1">
        <v>44</v>
      </c>
      <c r="E1799" s="1">
        <v>0.25</v>
      </c>
      <c r="F1799">
        <f t="shared" si="28"/>
        <v>412.5</v>
      </c>
    </row>
    <row r="1800" spans="1:6" ht="13">
      <c r="A1800" s="1">
        <v>10941</v>
      </c>
      <c r="B1800" s="1">
        <v>62</v>
      </c>
      <c r="C1800" s="1">
        <v>49.3</v>
      </c>
      <c r="D1800" s="1">
        <v>30</v>
      </c>
      <c r="E1800" s="1">
        <v>0.25</v>
      </c>
      <c r="F1800">
        <f t="shared" si="28"/>
        <v>1109.25</v>
      </c>
    </row>
    <row r="1801" spans="1:6" ht="13">
      <c r="A1801" s="1">
        <v>10941</v>
      </c>
      <c r="B1801" s="1">
        <v>68</v>
      </c>
      <c r="C1801" s="1">
        <v>12.5</v>
      </c>
      <c r="D1801" s="1">
        <v>80</v>
      </c>
      <c r="E1801" s="1">
        <v>0.25</v>
      </c>
      <c r="F1801">
        <f t="shared" si="28"/>
        <v>750</v>
      </c>
    </row>
    <row r="1802" spans="1:6" ht="13">
      <c r="A1802" s="1">
        <v>10941</v>
      </c>
      <c r="B1802" s="1">
        <v>72</v>
      </c>
      <c r="C1802" s="1">
        <v>34.799999999999997</v>
      </c>
      <c r="D1802" s="1">
        <v>50</v>
      </c>
      <c r="E1802" s="1">
        <v>0</v>
      </c>
      <c r="F1802">
        <f t="shared" si="28"/>
        <v>1739.9999999999998</v>
      </c>
    </row>
    <row r="1803" spans="1:6" ht="13">
      <c r="A1803" s="1">
        <v>10942</v>
      </c>
      <c r="B1803" s="1">
        <v>49</v>
      </c>
      <c r="C1803" s="1">
        <v>20</v>
      </c>
      <c r="D1803" s="1">
        <v>28</v>
      </c>
      <c r="E1803" s="1">
        <v>0</v>
      </c>
      <c r="F1803">
        <f t="shared" si="28"/>
        <v>560</v>
      </c>
    </row>
    <row r="1804" spans="1:6" ht="13">
      <c r="A1804" s="1">
        <v>10943</v>
      </c>
      <c r="B1804" s="1">
        <v>13</v>
      </c>
      <c r="C1804" s="1">
        <v>6</v>
      </c>
      <c r="D1804" s="1">
        <v>15</v>
      </c>
      <c r="E1804" s="1">
        <v>0</v>
      </c>
      <c r="F1804">
        <f t="shared" si="28"/>
        <v>90</v>
      </c>
    </row>
    <row r="1805" spans="1:6" ht="13">
      <c r="A1805" s="1">
        <v>10943</v>
      </c>
      <c r="B1805" s="1">
        <v>22</v>
      </c>
      <c r="C1805" s="1">
        <v>21</v>
      </c>
      <c r="D1805" s="1">
        <v>21</v>
      </c>
      <c r="E1805" s="1">
        <v>0</v>
      </c>
      <c r="F1805">
        <f t="shared" si="28"/>
        <v>441</v>
      </c>
    </row>
    <row r="1806" spans="1:6" ht="13">
      <c r="A1806" s="1">
        <v>10943</v>
      </c>
      <c r="B1806" s="1">
        <v>46</v>
      </c>
      <c r="C1806" s="1">
        <v>12</v>
      </c>
      <c r="D1806" s="1">
        <v>15</v>
      </c>
      <c r="E1806" s="1">
        <v>0</v>
      </c>
      <c r="F1806">
        <f t="shared" si="28"/>
        <v>180</v>
      </c>
    </row>
    <row r="1807" spans="1:6" ht="13">
      <c r="A1807" s="1">
        <v>10944</v>
      </c>
      <c r="B1807" s="1">
        <v>11</v>
      </c>
      <c r="C1807" s="1">
        <v>21</v>
      </c>
      <c r="D1807" s="1">
        <v>5</v>
      </c>
      <c r="E1807" s="1">
        <v>0.25</v>
      </c>
      <c r="F1807">
        <f t="shared" si="28"/>
        <v>78.75</v>
      </c>
    </row>
    <row r="1808" spans="1:6" ht="13">
      <c r="A1808" s="1">
        <v>10944</v>
      </c>
      <c r="B1808" s="1">
        <v>44</v>
      </c>
      <c r="C1808" s="1">
        <v>19.45</v>
      </c>
      <c r="D1808" s="1">
        <v>18</v>
      </c>
      <c r="E1808" s="1">
        <v>0.25</v>
      </c>
      <c r="F1808">
        <f t="shared" si="28"/>
        <v>262.57499999999999</v>
      </c>
    </row>
    <row r="1809" spans="1:6" ht="13">
      <c r="A1809" s="1">
        <v>10944</v>
      </c>
      <c r="B1809" s="1">
        <v>56</v>
      </c>
      <c r="C1809" s="1">
        <v>38</v>
      </c>
      <c r="D1809" s="1">
        <v>18</v>
      </c>
      <c r="E1809" s="1">
        <v>0</v>
      </c>
      <c r="F1809">
        <f t="shared" si="28"/>
        <v>684</v>
      </c>
    </row>
    <row r="1810" spans="1:6" ht="13">
      <c r="A1810" s="1">
        <v>10945</v>
      </c>
      <c r="B1810" s="1">
        <v>13</v>
      </c>
      <c r="C1810" s="1">
        <v>6</v>
      </c>
      <c r="D1810" s="1">
        <v>20</v>
      </c>
      <c r="E1810" s="1">
        <v>0</v>
      </c>
      <c r="F1810">
        <f t="shared" si="28"/>
        <v>120</v>
      </c>
    </row>
    <row r="1811" spans="1:6" ht="13">
      <c r="A1811" s="1">
        <v>10945</v>
      </c>
      <c r="B1811" s="1">
        <v>31</v>
      </c>
      <c r="C1811" s="1">
        <v>12.5</v>
      </c>
      <c r="D1811" s="1">
        <v>10</v>
      </c>
      <c r="E1811" s="1">
        <v>0</v>
      </c>
      <c r="F1811">
        <f t="shared" si="28"/>
        <v>125</v>
      </c>
    </row>
    <row r="1812" spans="1:6" ht="13">
      <c r="A1812" s="1">
        <v>10946</v>
      </c>
      <c r="B1812" s="1">
        <v>10</v>
      </c>
      <c r="C1812" s="1">
        <v>31</v>
      </c>
      <c r="D1812" s="1">
        <v>25</v>
      </c>
      <c r="E1812" s="1">
        <v>0</v>
      </c>
      <c r="F1812">
        <f t="shared" si="28"/>
        <v>775</v>
      </c>
    </row>
    <row r="1813" spans="1:6" ht="13">
      <c r="A1813" s="1">
        <v>10946</v>
      </c>
      <c r="B1813" s="1">
        <v>24</v>
      </c>
      <c r="C1813" s="1">
        <v>4.5</v>
      </c>
      <c r="D1813" s="1">
        <v>25</v>
      </c>
      <c r="E1813" s="1">
        <v>0</v>
      </c>
      <c r="F1813">
        <f t="shared" si="28"/>
        <v>112.5</v>
      </c>
    </row>
    <row r="1814" spans="1:6" ht="13">
      <c r="A1814" s="1">
        <v>10946</v>
      </c>
      <c r="B1814" s="1">
        <v>77</v>
      </c>
      <c r="C1814" s="1">
        <v>13</v>
      </c>
      <c r="D1814" s="1">
        <v>40</v>
      </c>
      <c r="E1814" s="1">
        <v>0</v>
      </c>
      <c r="F1814">
        <f t="shared" si="28"/>
        <v>520</v>
      </c>
    </row>
    <row r="1815" spans="1:6" ht="13">
      <c r="A1815" s="1">
        <v>10947</v>
      </c>
      <c r="B1815" s="1">
        <v>59</v>
      </c>
      <c r="C1815" s="1">
        <v>55</v>
      </c>
      <c r="D1815" s="1">
        <v>4</v>
      </c>
      <c r="E1815" s="1">
        <v>0</v>
      </c>
      <c r="F1815">
        <f t="shared" si="28"/>
        <v>220</v>
      </c>
    </row>
    <row r="1816" spans="1:6" ht="13">
      <c r="A1816" s="1">
        <v>10948</v>
      </c>
      <c r="B1816" s="1">
        <v>50</v>
      </c>
      <c r="C1816" s="1">
        <v>16.25</v>
      </c>
      <c r="D1816" s="1">
        <v>9</v>
      </c>
      <c r="E1816" s="1">
        <v>0</v>
      </c>
      <c r="F1816">
        <f t="shared" si="28"/>
        <v>146.25</v>
      </c>
    </row>
    <row r="1817" spans="1:6" ht="13">
      <c r="A1817" s="1">
        <v>10948</v>
      </c>
      <c r="B1817" s="1">
        <v>51</v>
      </c>
      <c r="C1817" s="1">
        <v>53</v>
      </c>
      <c r="D1817" s="1">
        <v>40</v>
      </c>
      <c r="E1817" s="1">
        <v>0</v>
      </c>
      <c r="F1817">
        <f t="shared" si="28"/>
        <v>2120</v>
      </c>
    </row>
    <row r="1818" spans="1:6" ht="13">
      <c r="A1818" s="1">
        <v>10948</v>
      </c>
      <c r="B1818" s="1">
        <v>55</v>
      </c>
      <c r="C1818" s="1">
        <v>24</v>
      </c>
      <c r="D1818" s="1">
        <v>4</v>
      </c>
      <c r="E1818" s="1">
        <v>0</v>
      </c>
      <c r="F1818">
        <f t="shared" si="28"/>
        <v>96</v>
      </c>
    </row>
    <row r="1819" spans="1:6" ht="13">
      <c r="A1819" s="1">
        <v>10949</v>
      </c>
      <c r="B1819" s="1">
        <v>6</v>
      </c>
      <c r="C1819" s="1">
        <v>25</v>
      </c>
      <c r="D1819" s="1">
        <v>12</v>
      </c>
      <c r="E1819" s="1">
        <v>0</v>
      </c>
      <c r="F1819">
        <f t="shared" si="28"/>
        <v>300</v>
      </c>
    </row>
    <row r="1820" spans="1:6" ht="13">
      <c r="A1820" s="1">
        <v>10949</v>
      </c>
      <c r="B1820" s="1">
        <v>10</v>
      </c>
      <c r="C1820" s="1">
        <v>31</v>
      </c>
      <c r="D1820" s="1">
        <v>30</v>
      </c>
      <c r="E1820" s="1">
        <v>0</v>
      </c>
      <c r="F1820">
        <f t="shared" si="28"/>
        <v>930</v>
      </c>
    </row>
    <row r="1821" spans="1:6" ht="13">
      <c r="A1821" s="1">
        <v>10949</v>
      </c>
      <c r="B1821" s="1">
        <v>17</v>
      </c>
      <c r="C1821" s="1">
        <v>39</v>
      </c>
      <c r="D1821" s="1">
        <v>6</v>
      </c>
      <c r="E1821" s="1">
        <v>0</v>
      </c>
      <c r="F1821">
        <f t="shared" si="28"/>
        <v>234</v>
      </c>
    </row>
    <row r="1822" spans="1:6" ht="13">
      <c r="A1822" s="1">
        <v>10949</v>
      </c>
      <c r="B1822" s="1">
        <v>62</v>
      </c>
      <c r="C1822" s="1">
        <v>49.3</v>
      </c>
      <c r="D1822" s="1">
        <v>60</v>
      </c>
      <c r="E1822" s="1">
        <v>0</v>
      </c>
      <c r="F1822">
        <f t="shared" si="28"/>
        <v>2958</v>
      </c>
    </row>
    <row r="1823" spans="1:6" ht="13">
      <c r="A1823" s="1">
        <v>10950</v>
      </c>
      <c r="B1823" s="1">
        <v>4</v>
      </c>
      <c r="C1823" s="1">
        <v>22</v>
      </c>
      <c r="D1823" s="1">
        <v>5</v>
      </c>
      <c r="E1823" s="1">
        <v>0</v>
      </c>
      <c r="F1823">
        <f t="shared" si="28"/>
        <v>110</v>
      </c>
    </row>
    <row r="1824" spans="1:6" ht="13">
      <c r="A1824" s="1">
        <v>10951</v>
      </c>
      <c r="B1824" s="1">
        <v>33</v>
      </c>
      <c r="C1824" s="1">
        <v>2.5</v>
      </c>
      <c r="D1824" s="1">
        <v>15</v>
      </c>
      <c r="E1824" s="1">
        <v>0.05</v>
      </c>
      <c r="F1824">
        <f t="shared" si="28"/>
        <v>35.625</v>
      </c>
    </row>
    <row r="1825" spans="1:6" ht="13">
      <c r="A1825" s="1">
        <v>10951</v>
      </c>
      <c r="B1825" s="1">
        <v>41</v>
      </c>
      <c r="C1825" s="1">
        <v>9.65</v>
      </c>
      <c r="D1825" s="1">
        <v>6</v>
      </c>
      <c r="E1825" s="1">
        <v>0.05</v>
      </c>
      <c r="F1825">
        <f t="shared" si="28"/>
        <v>55.005000000000003</v>
      </c>
    </row>
    <row r="1826" spans="1:6" ht="13">
      <c r="A1826" s="1">
        <v>10951</v>
      </c>
      <c r="B1826" s="1">
        <v>75</v>
      </c>
      <c r="C1826" s="1">
        <v>7.75</v>
      </c>
      <c r="D1826" s="1">
        <v>50</v>
      </c>
      <c r="E1826" s="1">
        <v>0.05</v>
      </c>
      <c r="F1826">
        <f t="shared" si="28"/>
        <v>368.125</v>
      </c>
    </row>
    <row r="1827" spans="1:6" ht="13">
      <c r="A1827" s="1">
        <v>10952</v>
      </c>
      <c r="B1827" s="1">
        <v>6</v>
      </c>
      <c r="C1827" s="1">
        <v>25</v>
      </c>
      <c r="D1827" s="1">
        <v>16</v>
      </c>
      <c r="E1827" s="1">
        <v>0.05</v>
      </c>
      <c r="F1827">
        <f t="shared" si="28"/>
        <v>380</v>
      </c>
    </row>
    <row r="1828" spans="1:6" ht="13">
      <c r="A1828" s="1">
        <v>10952</v>
      </c>
      <c r="B1828" s="1">
        <v>28</v>
      </c>
      <c r="C1828" s="1">
        <v>45.6</v>
      </c>
      <c r="D1828" s="1">
        <v>2</v>
      </c>
      <c r="E1828" s="1">
        <v>0</v>
      </c>
      <c r="F1828">
        <f t="shared" si="28"/>
        <v>91.2</v>
      </c>
    </row>
    <row r="1829" spans="1:6" ht="13">
      <c r="A1829" s="1">
        <v>10953</v>
      </c>
      <c r="B1829" s="1">
        <v>20</v>
      </c>
      <c r="C1829" s="1">
        <v>81</v>
      </c>
      <c r="D1829" s="1">
        <v>50</v>
      </c>
      <c r="E1829" s="1">
        <v>0.05</v>
      </c>
      <c r="F1829">
        <f t="shared" si="28"/>
        <v>3847.5</v>
      </c>
    </row>
    <row r="1830" spans="1:6" ht="13">
      <c r="A1830" s="1">
        <v>10953</v>
      </c>
      <c r="B1830" s="1">
        <v>31</v>
      </c>
      <c r="C1830" s="1">
        <v>12.5</v>
      </c>
      <c r="D1830" s="1">
        <v>50</v>
      </c>
      <c r="E1830" s="1">
        <v>0.05</v>
      </c>
      <c r="F1830">
        <f t="shared" si="28"/>
        <v>593.75</v>
      </c>
    </row>
    <row r="1831" spans="1:6" ht="13">
      <c r="A1831" s="1">
        <v>10954</v>
      </c>
      <c r="B1831" s="1">
        <v>16</v>
      </c>
      <c r="C1831" s="1">
        <v>17.45</v>
      </c>
      <c r="D1831" s="1">
        <v>28</v>
      </c>
      <c r="E1831" s="1">
        <v>0.15</v>
      </c>
      <c r="F1831">
        <f t="shared" si="28"/>
        <v>415.30999999999995</v>
      </c>
    </row>
    <row r="1832" spans="1:6" ht="13">
      <c r="A1832" s="1">
        <v>10954</v>
      </c>
      <c r="B1832" s="1">
        <v>31</v>
      </c>
      <c r="C1832" s="1">
        <v>12.5</v>
      </c>
      <c r="D1832" s="1">
        <v>25</v>
      </c>
      <c r="E1832" s="1">
        <v>0.15</v>
      </c>
      <c r="F1832">
        <f t="shared" si="28"/>
        <v>265.625</v>
      </c>
    </row>
    <row r="1833" spans="1:6" ht="13">
      <c r="A1833" s="1">
        <v>10954</v>
      </c>
      <c r="B1833" s="1">
        <v>45</v>
      </c>
      <c r="C1833" s="1">
        <v>9.5</v>
      </c>
      <c r="D1833" s="1">
        <v>30</v>
      </c>
      <c r="E1833" s="1">
        <v>0</v>
      </c>
      <c r="F1833">
        <f t="shared" si="28"/>
        <v>285</v>
      </c>
    </row>
    <row r="1834" spans="1:6" ht="13">
      <c r="A1834" s="1">
        <v>10954</v>
      </c>
      <c r="B1834" s="1">
        <v>60</v>
      </c>
      <c r="C1834" s="1">
        <v>34</v>
      </c>
      <c r="D1834" s="1">
        <v>24</v>
      </c>
      <c r="E1834" s="1">
        <v>0.15</v>
      </c>
      <c r="F1834">
        <f t="shared" si="28"/>
        <v>693.6</v>
      </c>
    </row>
    <row r="1835" spans="1:6" ht="13">
      <c r="A1835" s="1">
        <v>10955</v>
      </c>
      <c r="B1835" s="1">
        <v>75</v>
      </c>
      <c r="C1835" s="1">
        <v>7.75</v>
      </c>
      <c r="D1835" s="1">
        <v>12</v>
      </c>
      <c r="E1835" s="1">
        <v>0.2</v>
      </c>
      <c r="F1835">
        <f t="shared" si="28"/>
        <v>74.400000000000006</v>
      </c>
    </row>
    <row r="1836" spans="1:6" ht="13">
      <c r="A1836" s="1">
        <v>10956</v>
      </c>
      <c r="B1836" s="1">
        <v>21</v>
      </c>
      <c r="C1836" s="1">
        <v>10</v>
      </c>
      <c r="D1836" s="1">
        <v>12</v>
      </c>
      <c r="E1836" s="1">
        <v>0</v>
      </c>
      <c r="F1836">
        <f t="shared" si="28"/>
        <v>120</v>
      </c>
    </row>
    <row r="1837" spans="1:6" ht="13">
      <c r="A1837" s="1">
        <v>10956</v>
      </c>
      <c r="B1837" s="1">
        <v>47</v>
      </c>
      <c r="C1837" s="1">
        <v>9.5</v>
      </c>
      <c r="D1837" s="1">
        <v>14</v>
      </c>
      <c r="E1837" s="1">
        <v>0</v>
      </c>
      <c r="F1837">
        <f t="shared" si="28"/>
        <v>133</v>
      </c>
    </row>
    <row r="1838" spans="1:6" ht="13">
      <c r="A1838" s="1">
        <v>10956</v>
      </c>
      <c r="B1838" s="1">
        <v>51</v>
      </c>
      <c r="C1838" s="1">
        <v>53</v>
      </c>
      <c r="D1838" s="1">
        <v>8</v>
      </c>
      <c r="E1838" s="1">
        <v>0</v>
      </c>
      <c r="F1838">
        <f t="shared" si="28"/>
        <v>424</v>
      </c>
    </row>
    <row r="1839" spans="1:6" ht="13">
      <c r="A1839" s="1">
        <v>10957</v>
      </c>
      <c r="B1839" s="1">
        <v>30</v>
      </c>
      <c r="C1839" s="1">
        <v>25.89</v>
      </c>
      <c r="D1839" s="1">
        <v>30</v>
      </c>
      <c r="E1839" s="1">
        <v>0</v>
      </c>
      <c r="F1839">
        <f t="shared" si="28"/>
        <v>776.7</v>
      </c>
    </row>
    <row r="1840" spans="1:6" ht="13">
      <c r="A1840" s="1">
        <v>10957</v>
      </c>
      <c r="B1840" s="1">
        <v>35</v>
      </c>
      <c r="C1840" s="1">
        <v>18</v>
      </c>
      <c r="D1840" s="1">
        <v>40</v>
      </c>
      <c r="E1840" s="1">
        <v>0</v>
      </c>
      <c r="F1840">
        <f t="shared" si="28"/>
        <v>720</v>
      </c>
    </row>
    <row r="1841" spans="1:6" ht="13">
      <c r="A1841" s="1">
        <v>10957</v>
      </c>
      <c r="B1841" s="1">
        <v>64</v>
      </c>
      <c r="C1841" s="1">
        <v>33.25</v>
      </c>
      <c r="D1841" s="1">
        <v>8</v>
      </c>
      <c r="E1841" s="1">
        <v>0</v>
      </c>
      <c r="F1841">
        <f t="shared" si="28"/>
        <v>266</v>
      </c>
    </row>
    <row r="1842" spans="1:6" ht="13">
      <c r="A1842" s="1">
        <v>10958</v>
      </c>
      <c r="B1842" s="1">
        <v>5</v>
      </c>
      <c r="C1842" s="1">
        <v>21.35</v>
      </c>
      <c r="D1842" s="1">
        <v>20</v>
      </c>
      <c r="E1842" s="1">
        <v>0</v>
      </c>
      <c r="F1842">
        <f t="shared" si="28"/>
        <v>427</v>
      </c>
    </row>
    <row r="1843" spans="1:6" ht="13">
      <c r="A1843" s="1">
        <v>10958</v>
      </c>
      <c r="B1843" s="1">
        <v>7</v>
      </c>
      <c r="C1843" s="1">
        <v>30</v>
      </c>
      <c r="D1843" s="1">
        <v>6</v>
      </c>
      <c r="E1843" s="1">
        <v>0</v>
      </c>
      <c r="F1843">
        <f t="shared" si="28"/>
        <v>180</v>
      </c>
    </row>
    <row r="1844" spans="1:6" ht="13">
      <c r="A1844" s="1">
        <v>10958</v>
      </c>
      <c r="B1844" s="1">
        <v>72</v>
      </c>
      <c r="C1844" s="1">
        <v>34.799999999999997</v>
      </c>
      <c r="D1844" s="1">
        <v>5</v>
      </c>
      <c r="E1844" s="1">
        <v>0</v>
      </c>
      <c r="F1844">
        <f t="shared" si="28"/>
        <v>174</v>
      </c>
    </row>
    <row r="1845" spans="1:6" ht="13">
      <c r="A1845" s="1">
        <v>10959</v>
      </c>
      <c r="B1845" s="1">
        <v>75</v>
      </c>
      <c r="C1845" s="1">
        <v>7.75</v>
      </c>
      <c r="D1845" s="1">
        <v>20</v>
      </c>
      <c r="E1845" s="1">
        <v>0.15</v>
      </c>
      <c r="F1845">
        <f t="shared" si="28"/>
        <v>131.75</v>
      </c>
    </row>
    <row r="1846" spans="1:6" ht="13">
      <c r="A1846" s="1">
        <v>10960</v>
      </c>
      <c r="B1846" s="1">
        <v>24</v>
      </c>
      <c r="C1846" s="1">
        <v>4.5</v>
      </c>
      <c r="D1846" s="1">
        <v>10</v>
      </c>
      <c r="E1846" s="1">
        <v>0.25</v>
      </c>
      <c r="F1846">
        <f t="shared" si="28"/>
        <v>33.75</v>
      </c>
    </row>
    <row r="1847" spans="1:6" ht="13">
      <c r="A1847" s="1">
        <v>10960</v>
      </c>
      <c r="B1847" s="1">
        <v>41</v>
      </c>
      <c r="C1847" s="1">
        <v>9.65</v>
      </c>
      <c r="D1847" s="1">
        <v>24</v>
      </c>
      <c r="E1847" s="1">
        <v>0</v>
      </c>
      <c r="F1847">
        <f t="shared" si="28"/>
        <v>231.60000000000002</v>
      </c>
    </row>
    <row r="1848" spans="1:6" ht="13">
      <c r="A1848" s="1">
        <v>10961</v>
      </c>
      <c r="B1848" s="1">
        <v>52</v>
      </c>
      <c r="C1848" s="1">
        <v>7</v>
      </c>
      <c r="D1848" s="1">
        <v>6</v>
      </c>
      <c r="E1848" s="1">
        <v>0.05</v>
      </c>
      <c r="F1848">
        <f t="shared" si="28"/>
        <v>39.9</v>
      </c>
    </row>
    <row r="1849" spans="1:6" ht="13">
      <c r="A1849" s="1">
        <v>10961</v>
      </c>
      <c r="B1849" s="1">
        <v>76</v>
      </c>
      <c r="C1849" s="1">
        <v>18</v>
      </c>
      <c r="D1849" s="1">
        <v>60</v>
      </c>
      <c r="E1849" s="1">
        <v>0</v>
      </c>
      <c r="F1849">
        <f t="shared" si="28"/>
        <v>1080</v>
      </c>
    </row>
    <row r="1850" spans="1:6" ht="13">
      <c r="A1850" s="1">
        <v>10962</v>
      </c>
      <c r="B1850" s="1">
        <v>7</v>
      </c>
      <c r="C1850" s="1">
        <v>30</v>
      </c>
      <c r="D1850" s="1">
        <v>45</v>
      </c>
      <c r="E1850" s="1">
        <v>0</v>
      </c>
      <c r="F1850">
        <f t="shared" si="28"/>
        <v>1350</v>
      </c>
    </row>
    <row r="1851" spans="1:6" ht="13">
      <c r="A1851" s="1">
        <v>10962</v>
      </c>
      <c r="B1851" s="1">
        <v>13</v>
      </c>
      <c r="C1851" s="1">
        <v>6</v>
      </c>
      <c r="D1851" s="1">
        <v>77</v>
      </c>
      <c r="E1851" s="1">
        <v>0</v>
      </c>
      <c r="F1851">
        <f t="shared" si="28"/>
        <v>462</v>
      </c>
    </row>
    <row r="1852" spans="1:6" ht="13">
      <c r="A1852" s="1">
        <v>10962</v>
      </c>
      <c r="B1852" s="1">
        <v>53</v>
      </c>
      <c r="C1852" s="1">
        <v>32.799999999999997</v>
      </c>
      <c r="D1852" s="1">
        <v>20</v>
      </c>
      <c r="E1852" s="1">
        <v>0</v>
      </c>
      <c r="F1852">
        <f t="shared" si="28"/>
        <v>656</v>
      </c>
    </row>
    <row r="1853" spans="1:6" ht="13">
      <c r="A1853" s="1">
        <v>10962</v>
      </c>
      <c r="B1853" s="1">
        <v>69</v>
      </c>
      <c r="C1853" s="1">
        <v>36</v>
      </c>
      <c r="D1853" s="1">
        <v>9</v>
      </c>
      <c r="E1853" s="1">
        <v>0</v>
      </c>
      <c r="F1853">
        <f t="shared" si="28"/>
        <v>324</v>
      </c>
    </row>
    <row r="1854" spans="1:6" ht="13">
      <c r="A1854" s="1">
        <v>10962</v>
      </c>
      <c r="B1854" s="1">
        <v>76</v>
      </c>
      <c r="C1854" s="1">
        <v>18</v>
      </c>
      <c r="D1854" s="1">
        <v>44</v>
      </c>
      <c r="E1854" s="1">
        <v>0</v>
      </c>
      <c r="F1854">
        <f t="shared" si="28"/>
        <v>792</v>
      </c>
    </row>
    <row r="1855" spans="1:6" ht="13">
      <c r="A1855" s="1">
        <v>10963</v>
      </c>
      <c r="B1855" s="1">
        <v>60</v>
      </c>
      <c r="C1855" s="1">
        <v>34</v>
      </c>
      <c r="D1855" s="1">
        <v>2</v>
      </c>
      <c r="E1855" s="1">
        <v>0.15</v>
      </c>
      <c r="F1855">
        <f t="shared" si="28"/>
        <v>57.8</v>
      </c>
    </row>
    <row r="1856" spans="1:6" ht="13">
      <c r="A1856" s="1">
        <v>10964</v>
      </c>
      <c r="B1856" s="1">
        <v>18</v>
      </c>
      <c r="C1856" s="1">
        <v>62.5</v>
      </c>
      <c r="D1856" s="1">
        <v>6</v>
      </c>
      <c r="E1856" s="1">
        <v>0</v>
      </c>
      <c r="F1856">
        <f t="shared" si="28"/>
        <v>375</v>
      </c>
    </row>
    <row r="1857" spans="1:6" ht="13">
      <c r="A1857" s="1">
        <v>10964</v>
      </c>
      <c r="B1857" s="1">
        <v>38</v>
      </c>
      <c r="C1857" s="1">
        <v>263.5</v>
      </c>
      <c r="D1857" s="1">
        <v>5</v>
      </c>
      <c r="E1857" s="1">
        <v>0</v>
      </c>
      <c r="F1857">
        <f t="shared" si="28"/>
        <v>1317.5</v>
      </c>
    </row>
    <row r="1858" spans="1:6" ht="13">
      <c r="A1858" s="1">
        <v>10964</v>
      </c>
      <c r="B1858" s="1">
        <v>69</v>
      </c>
      <c r="C1858" s="1">
        <v>36</v>
      </c>
      <c r="D1858" s="1">
        <v>10</v>
      </c>
      <c r="E1858" s="1">
        <v>0</v>
      </c>
      <c r="F1858">
        <f t="shared" si="28"/>
        <v>360</v>
      </c>
    </row>
    <row r="1859" spans="1:6" ht="13">
      <c r="A1859" s="1">
        <v>10965</v>
      </c>
      <c r="B1859" s="1">
        <v>51</v>
      </c>
      <c r="C1859" s="1">
        <v>53</v>
      </c>
      <c r="D1859" s="1">
        <v>16</v>
      </c>
      <c r="E1859" s="1">
        <v>0</v>
      </c>
      <c r="F1859">
        <f t="shared" ref="F1859:F1922" si="29">C1859*D1859*(1-E1859)</f>
        <v>848</v>
      </c>
    </row>
    <row r="1860" spans="1:6" ht="13">
      <c r="A1860" s="1">
        <v>10966</v>
      </c>
      <c r="B1860" s="1">
        <v>37</v>
      </c>
      <c r="C1860" s="1">
        <v>26</v>
      </c>
      <c r="D1860" s="1">
        <v>8</v>
      </c>
      <c r="E1860" s="1">
        <v>0</v>
      </c>
      <c r="F1860">
        <f t="shared" si="29"/>
        <v>208</v>
      </c>
    </row>
    <row r="1861" spans="1:6" ht="13">
      <c r="A1861" s="1">
        <v>10966</v>
      </c>
      <c r="B1861" s="1">
        <v>56</v>
      </c>
      <c r="C1861" s="1">
        <v>38</v>
      </c>
      <c r="D1861" s="1">
        <v>12</v>
      </c>
      <c r="E1861" s="1">
        <v>0.15</v>
      </c>
      <c r="F1861">
        <f t="shared" si="29"/>
        <v>387.59999999999997</v>
      </c>
    </row>
    <row r="1862" spans="1:6" ht="13">
      <c r="A1862" s="1">
        <v>10966</v>
      </c>
      <c r="B1862" s="1">
        <v>62</v>
      </c>
      <c r="C1862" s="1">
        <v>49.3</v>
      </c>
      <c r="D1862" s="1">
        <v>12</v>
      </c>
      <c r="E1862" s="1">
        <v>0.15</v>
      </c>
      <c r="F1862">
        <f t="shared" si="29"/>
        <v>502.8599999999999</v>
      </c>
    </row>
    <row r="1863" spans="1:6" ht="13">
      <c r="A1863" s="1">
        <v>10967</v>
      </c>
      <c r="B1863" s="1">
        <v>19</v>
      </c>
      <c r="C1863" s="1">
        <v>9.1999999999999993</v>
      </c>
      <c r="D1863" s="1">
        <v>12</v>
      </c>
      <c r="E1863" s="1">
        <v>0</v>
      </c>
      <c r="F1863">
        <f t="shared" si="29"/>
        <v>110.39999999999999</v>
      </c>
    </row>
    <row r="1864" spans="1:6" ht="13">
      <c r="A1864" s="1">
        <v>10967</v>
      </c>
      <c r="B1864" s="1">
        <v>49</v>
      </c>
      <c r="C1864" s="1">
        <v>20</v>
      </c>
      <c r="D1864" s="1">
        <v>40</v>
      </c>
      <c r="E1864" s="1">
        <v>0</v>
      </c>
      <c r="F1864">
        <f t="shared" si="29"/>
        <v>800</v>
      </c>
    </row>
    <row r="1865" spans="1:6" ht="13">
      <c r="A1865" s="1">
        <v>10968</v>
      </c>
      <c r="B1865" s="1">
        <v>12</v>
      </c>
      <c r="C1865" s="1">
        <v>38</v>
      </c>
      <c r="D1865" s="1">
        <v>30</v>
      </c>
      <c r="E1865" s="1">
        <v>0</v>
      </c>
      <c r="F1865">
        <f t="shared" si="29"/>
        <v>1140</v>
      </c>
    </row>
    <row r="1866" spans="1:6" ht="13">
      <c r="A1866" s="1">
        <v>10968</v>
      </c>
      <c r="B1866" s="1">
        <v>24</v>
      </c>
      <c r="C1866" s="1">
        <v>4.5</v>
      </c>
      <c r="D1866" s="1">
        <v>30</v>
      </c>
      <c r="E1866" s="1">
        <v>0</v>
      </c>
      <c r="F1866">
        <f t="shared" si="29"/>
        <v>135</v>
      </c>
    </row>
    <row r="1867" spans="1:6" ht="13">
      <c r="A1867" s="1">
        <v>10968</v>
      </c>
      <c r="B1867" s="1">
        <v>64</v>
      </c>
      <c r="C1867" s="1">
        <v>33.25</v>
      </c>
      <c r="D1867" s="1">
        <v>4</v>
      </c>
      <c r="E1867" s="1">
        <v>0</v>
      </c>
      <c r="F1867">
        <f t="shared" si="29"/>
        <v>133</v>
      </c>
    </row>
    <row r="1868" spans="1:6" ht="13">
      <c r="A1868" s="1">
        <v>10969</v>
      </c>
      <c r="B1868" s="1">
        <v>46</v>
      </c>
      <c r="C1868" s="1">
        <v>12</v>
      </c>
      <c r="D1868" s="1">
        <v>9</v>
      </c>
      <c r="E1868" s="1">
        <v>0</v>
      </c>
      <c r="F1868">
        <f t="shared" si="29"/>
        <v>108</v>
      </c>
    </row>
    <row r="1869" spans="1:6" ht="13">
      <c r="A1869" s="1">
        <v>10970</v>
      </c>
      <c r="B1869" s="1">
        <v>52</v>
      </c>
      <c r="C1869" s="1">
        <v>7</v>
      </c>
      <c r="D1869" s="1">
        <v>40</v>
      </c>
      <c r="E1869" s="1">
        <v>0.2</v>
      </c>
      <c r="F1869">
        <f t="shared" si="29"/>
        <v>224</v>
      </c>
    </row>
    <row r="1870" spans="1:6" ht="13">
      <c r="A1870" s="1">
        <v>10971</v>
      </c>
      <c r="B1870" s="1">
        <v>29</v>
      </c>
      <c r="C1870" s="1">
        <v>123.79</v>
      </c>
      <c r="D1870" s="1">
        <v>14</v>
      </c>
      <c r="E1870" s="1">
        <v>0</v>
      </c>
      <c r="F1870">
        <f t="shared" si="29"/>
        <v>1733.0600000000002</v>
      </c>
    </row>
    <row r="1871" spans="1:6" ht="13">
      <c r="A1871" s="1">
        <v>10972</v>
      </c>
      <c r="B1871" s="1">
        <v>17</v>
      </c>
      <c r="C1871" s="1">
        <v>39</v>
      </c>
      <c r="D1871" s="1">
        <v>6</v>
      </c>
      <c r="E1871" s="1">
        <v>0</v>
      </c>
      <c r="F1871">
        <f t="shared" si="29"/>
        <v>234</v>
      </c>
    </row>
    <row r="1872" spans="1:6" ht="13">
      <c r="A1872" s="1">
        <v>10972</v>
      </c>
      <c r="B1872" s="1">
        <v>33</v>
      </c>
      <c r="C1872" s="1">
        <v>2.5</v>
      </c>
      <c r="D1872" s="1">
        <v>7</v>
      </c>
      <c r="E1872" s="1">
        <v>0</v>
      </c>
      <c r="F1872">
        <f t="shared" si="29"/>
        <v>17.5</v>
      </c>
    </row>
    <row r="1873" spans="1:6" ht="13">
      <c r="A1873" s="1">
        <v>10973</v>
      </c>
      <c r="B1873" s="1">
        <v>26</v>
      </c>
      <c r="C1873" s="1">
        <v>31.23</v>
      </c>
      <c r="D1873" s="1">
        <v>5</v>
      </c>
      <c r="E1873" s="1">
        <v>0</v>
      </c>
      <c r="F1873">
        <f t="shared" si="29"/>
        <v>156.15</v>
      </c>
    </row>
    <row r="1874" spans="1:6" ht="13">
      <c r="A1874" s="1">
        <v>10973</v>
      </c>
      <c r="B1874" s="1">
        <v>41</v>
      </c>
      <c r="C1874" s="1">
        <v>9.65</v>
      </c>
      <c r="D1874" s="1">
        <v>6</v>
      </c>
      <c r="E1874" s="1">
        <v>0</v>
      </c>
      <c r="F1874">
        <f t="shared" si="29"/>
        <v>57.900000000000006</v>
      </c>
    </row>
    <row r="1875" spans="1:6" ht="13">
      <c r="A1875" s="1">
        <v>10973</v>
      </c>
      <c r="B1875" s="1">
        <v>75</v>
      </c>
      <c r="C1875" s="1">
        <v>7.75</v>
      </c>
      <c r="D1875" s="1">
        <v>10</v>
      </c>
      <c r="E1875" s="1">
        <v>0</v>
      </c>
      <c r="F1875">
        <f t="shared" si="29"/>
        <v>77.5</v>
      </c>
    </row>
    <row r="1876" spans="1:6" ht="13">
      <c r="A1876" s="1">
        <v>10974</v>
      </c>
      <c r="B1876" s="1">
        <v>63</v>
      </c>
      <c r="C1876" s="1">
        <v>43.9</v>
      </c>
      <c r="D1876" s="1">
        <v>10</v>
      </c>
      <c r="E1876" s="1">
        <v>0</v>
      </c>
      <c r="F1876">
        <f t="shared" si="29"/>
        <v>439</v>
      </c>
    </row>
    <row r="1877" spans="1:6" ht="13">
      <c r="A1877" s="1">
        <v>10975</v>
      </c>
      <c r="B1877" s="1">
        <v>8</v>
      </c>
      <c r="C1877" s="1">
        <v>40</v>
      </c>
      <c r="D1877" s="1">
        <v>16</v>
      </c>
      <c r="E1877" s="1">
        <v>0</v>
      </c>
      <c r="F1877">
        <f t="shared" si="29"/>
        <v>640</v>
      </c>
    </row>
    <row r="1878" spans="1:6" ht="13">
      <c r="A1878" s="1">
        <v>10975</v>
      </c>
      <c r="B1878" s="1">
        <v>75</v>
      </c>
      <c r="C1878" s="1">
        <v>7.75</v>
      </c>
      <c r="D1878" s="1">
        <v>10</v>
      </c>
      <c r="E1878" s="1">
        <v>0</v>
      </c>
      <c r="F1878">
        <f t="shared" si="29"/>
        <v>77.5</v>
      </c>
    </row>
    <row r="1879" spans="1:6" ht="13">
      <c r="A1879" s="1">
        <v>10976</v>
      </c>
      <c r="B1879" s="1">
        <v>28</v>
      </c>
      <c r="C1879" s="1">
        <v>45.6</v>
      </c>
      <c r="D1879" s="1">
        <v>20</v>
      </c>
      <c r="E1879" s="1">
        <v>0</v>
      </c>
      <c r="F1879">
        <f t="shared" si="29"/>
        <v>912</v>
      </c>
    </row>
    <row r="1880" spans="1:6" ht="13">
      <c r="A1880" s="1">
        <v>10977</v>
      </c>
      <c r="B1880" s="1">
        <v>39</v>
      </c>
      <c r="C1880" s="1">
        <v>18</v>
      </c>
      <c r="D1880" s="1">
        <v>30</v>
      </c>
      <c r="E1880" s="1">
        <v>0</v>
      </c>
      <c r="F1880">
        <f t="shared" si="29"/>
        <v>540</v>
      </c>
    </row>
    <row r="1881" spans="1:6" ht="13">
      <c r="A1881" s="1">
        <v>10977</v>
      </c>
      <c r="B1881" s="1">
        <v>47</v>
      </c>
      <c r="C1881" s="1">
        <v>9.5</v>
      </c>
      <c r="D1881" s="1">
        <v>30</v>
      </c>
      <c r="E1881" s="1">
        <v>0</v>
      </c>
      <c r="F1881">
        <f t="shared" si="29"/>
        <v>285</v>
      </c>
    </row>
    <row r="1882" spans="1:6" ht="13">
      <c r="A1882" s="1">
        <v>10977</v>
      </c>
      <c r="B1882" s="1">
        <v>51</v>
      </c>
      <c r="C1882" s="1">
        <v>53</v>
      </c>
      <c r="D1882" s="1">
        <v>10</v>
      </c>
      <c r="E1882" s="1">
        <v>0</v>
      </c>
      <c r="F1882">
        <f t="shared" si="29"/>
        <v>530</v>
      </c>
    </row>
    <row r="1883" spans="1:6" ht="13">
      <c r="A1883" s="1">
        <v>10977</v>
      </c>
      <c r="B1883" s="1">
        <v>63</v>
      </c>
      <c r="C1883" s="1">
        <v>43.9</v>
      </c>
      <c r="D1883" s="1">
        <v>20</v>
      </c>
      <c r="E1883" s="1">
        <v>0</v>
      </c>
      <c r="F1883">
        <f t="shared" si="29"/>
        <v>878</v>
      </c>
    </row>
    <row r="1884" spans="1:6" ht="13">
      <c r="A1884" s="1">
        <v>10978</v>
      </c>
      <c r="B1884" s="1">
        <v>8</v>
      </c>
      <c r="C1884" s="1">
        <v>40</v>
      </c>
      <c r="D1884" s="1">
        <v>20</v>
      </c>
      <c r="E1884" s="1">
        <v>0.15</v>
      </c>
      <c r="F1884">
        <f t="shared" si="29"/>
        <v>680</v>
      </c>
    </row>
    <row r="1885" spans="1:6" ht="13">
      <c r="A1885" s="1">
        <v>10978</v>
      </c>
      <c r="B1885" s="1">
        <v>21</v>
      </c>
      <c r="C1885" s="1">
        <v>10</v>
      </c>
      <c r="D1885" s="1">
        <v>40</v>
      </c>
      <c r="E1885" s="1">
        <v>0.15</v>
      </c>
      <c r="F1885">
        <f t="shared" si="29"/>
        <v>340</v>
      </c>
    </row>
    <row r="1886" spans="1:6" ht="13">
      <c r="A1886" s="1">
        <v>10978</v>
      </c>
      <c r="B1886" s="1">
        <v>40</v>
      </c>
      <c r="C1886" s="1">
        <v>18.399999999999999</v>
      </c>
      <c r="D1886" s="1">
        <v>10</v>
      </c>
      <c r="E1886" s="1">
        <v>0</v>
      </c>
      <c r="F1886">
        <f t="shared" si="29"/>
        <v>184</v>
      </c>
    </row>
    <row r="1887" spans="1:6" ht="13">
      <c r="A1887" s="1">
        <v>10978</v>
      </c>
      <c r="B1887" s="1">
        <v>44</v>
      </c>
      <c r="C1887" s="1">
        <v>19.45</v>
      </c>
      <c r="D1887" s="1">
        <v>6</v>
      </c>
      <c r="E1887" s="1">
        <v>0.15</v>
      </c>
      <c r="F1887">
        <f t="shared" si="29"/>
        <v>99.194999999999993</v>
      </c>
    </row>
    <row r="1888" spans="1:6" ht="13">
      <c r="A1888" s="1">
        <v>10979</v>
      </c>
      <c r="B1888" s="1">
        <v>7</v>
      </c>
      <c r="C1888" s="1">
        <v>30</v>
      </c>
      <c r="D1888" s="1">
        <v>18</v>
      </c>
      <c r="E1888" s="1">
        <v>0</v>
      </c>
      <c r="F1888">
        <f t="shared" si="29"/>
        <v>540</v>
      </c>
    </row>
    <row r="1889" spans="1:6" ht="13">
      <c r="A1889" s="1">
        <v>10979</v>
      </c>
      <c r="B1889" s="1">
        <v>12</v>
      </c>
      <c r="C1889" s="1">
        <v>38</v>
      </c>
      <c r="D1889" s="1">
        <v>20</v>
      </c>
      <c r="E1889" s="1">
        <v>0</v>
      </c>
      <c r="F1889">
        <f t="shared" si="29"/>
        <v>760</v>
      </c>
    </row>
    <row r="1890" spans="1:6" ht="13">
      <c r="A1890" s="1">
        <v>10979</v>
      </c>
      <c r="B1890" s="1">
        <v>24</v>
      </c>
      <c r="C1890" s="1">
        <v>4.5</v>
      </c>
      <c r="D1890" s="1">
        <v>80</v>
      </c>
      <c r="E1890" s="1">
        <v>0</v>
      </c>
      <c r="F1890">
        <f t="shared" si="29"/>
        <v>360</v>
      </c>
    </row>
    <row r="1891" spans="1:6" ht="13">
      <c r="A1891" s="1">
        <v>10979</v>
      </c>
      <c r="B1891" s="1">
        <v>27</v>
      </c>
      <c r="C1891" s="1">
        <v>43.9</v>
      </c>
      <c r="D1891" s="1">
        <v>30</v>
      </c>
      <c r="E1891" s="1">
        <v>0</v>
      </c>
      <c r="F1891">
        <f t="shared" si="29"/>
        <v>1317</v>
      </c>
    </row>
    <row r="1892" spans="1:6" ht="13">
      <c r="A1892" s="1">
        <v>10979</v>
      </c>
      <c r="B1892" s="1">
        <v>31</v>
      </c>
      <c r="C1892" s="1">
        <v>12.5</v>
      </c>
      <c r="D1892" s="1">
        <v>24</v>
      </c>
      <c r="E1892" s="1">
        <v>0</v>
      </c>
      <c r="F1892">
        <f t="shared" si="29"/>
        <v>300</v>
      </c>
    </row>
    <row r="1893" spans="1:6" ht="13">
      <c r="A1893" s="1">
        <v>10979</v>
      </c>
      <c r="B1893" s="1">
        <v>63</v>
      </c>
      <c r="C1893" s="1">
        <v>43.9</v>
      </c>
      <c r="D1893" s="1">
        <v>35</v>
      </c>
      <c r="E1893" s="1">
        <v>0</v>
      </c>
      <c r="F1893">
        <f t="shared" si="29"/>
        <v>1536.5</v>
      </c>
    </row>
    <row r="1894" spans="1:6" ht="13">
      <c r="A1894" s="1">
        <v>10980</v>
      </c>
      <c r="B1894" s="1">
        <v>75</v>
      </c>
      <c r="C1894" s="1">
        <v>7.75</v>
      </c>
      <c r="D1894" s="1">
        <v>40</v>
      </c>
      <c r="E1894" s="1">
        <v>0.2</v>
      </c>
      <c r="F1894">
        <f t="shared" si="29"/>
        <v>248</v>
      </c>
    </row>
    <row r="1895" spans="1:6" ht="13">
      <c r="A1895" s="1">
        <v>10981</v>
      </c>
      <c r="B1895" s="1">
        <v>38</v>
      </c>
      <c r="C1895" s="1">
        <v>263.5</v>
      </c>
      <c r="D1895" s="1">
        <v>60</v>
      </c>
      <c r="E1895" s="1">
        <v>0</v>
      </c>
      <c r="F1895">
        <f t="shared" si="29"/>
        <v>15810</v>
      </c>
    </row>
    <row r="1896" spans="1:6" ht="13">
      <c r="A1896" s="1">
        <v>10982</v>
      </c>
      <c r="B1896" s="1">
        <v>7</v>
      </c>
      <c r="C1896" s="1">
        <v>30</v>
      </c>
      <c r="D1896" s="1">
        <v>20</v>
      </c>
      <c r="E1896" s="1">
        <v>0</v>
      </c>
      <c r="F1896">
        <f t="shared" si="29"/>
        <v>600</v>
      </c>
    </row>
    <row r="1897" spans="1:6" ht="13">
      <c r="A1897" s="1">
        <v>10982</v>
      </c>
      <c r="B1897" s="1">
        <v>43</v>
      </c>
      <c r="C1897" s="1">
        <v>46</v>
      </c>
      <c r="D1897" s="1">
        <v>9</v>
      </c>
      <c r="E1897" s="1">
        <v>0</v>
      </c>
      <c r="F1897">
        <f t="shared" si="29"/>
        <v>414</v>
      </c>
    </row>
    <row r="1898" spans="1:6" ht="13">
      <c r="A1898" s="1">
        <v>10983</v>
      </c>
      <c r="B1898" s="1">
        <v>13</v>
      </c>
      <c r="C1898" s="1">
        <v>6</v>
      </c>
      <c r="D1898" s="1">
        <v>84</v>
      </c>
      <c r="E1898" s="1">
        <v>0.15</v>
      </c>
      <c r="F1898">
        <f t="shared" si="29"/>
        <v>428.4</v>
      </c>
    </row>
    <row r="1899" spans="1:6" ht="13">
      <c r="A1899" s="1">
        <v>10983</v>
      </c>
      <c r="B1899" s="1">
        <v>57</v>
      </c>
      <c r="C1899" s="1">
        <v>19.5</v>
      </c>
      <c r="D1899" s="1">
        <v>15</v>
      </c>
      <c r="E1899" s="1">
        <v>0</v>
      </c>
      <c r="F1899">
        <f t="shared" si="29"/>
        <v>292.5</v>
      </c>
    </row>
    <row r="1900" spans="1:6" ht="13">
      <c r="A1900" s="1">
        <v>10984</v>
      </c>
      <c r="B1900" s="1">
        <v>16</v>
      </c>
      <c r="C1900" s="1">
        <v>17.45</v>
      </c>
      <c r="D1900" s="1">
        <v>55</v>
      </c>
      <c r="E1900" s="1">
        <v>0</v>
      </c>
      <c r="F1900">
        <f t="shared" si="29"/>
        <v>959.75</v>
      </c>
    </row>
    <row r="1901" spans="1:6" ht="13">
      <c r="A1901" s="1">
        <v>10984</v>
      </c>
      <c r="B1901" s="1">
        <v>24</v>
      </c>
      <c r="C1901" s="1">
        <v>4.5</v>
      </c>
      <c r="D1901" s="1">
        <v>20</v>
      </c>
      <c r="E1901" s="1">
        <v>0</v>
      </c>
      <c r="F1901">
        <f t="shared" si="29"/>
        <v>90</v>
      </c>
    </row>
    <row r="1902" spans="1:6" ht="13">
      <c r="A1902" s="1">
        <v>10984</v>
      </c>
      <c r="B1902" s="1">
        <v>36</v>
      </c>
      <c r="C1902" s="1">
        <v>19</v>
      </c>
      <c r="D1902" s="1">
        <v>40</v>
      </c>
      <c r="E1902" s="1">
        <v>0</v>
      </c>
      <c r="F1902">
        <f t="shared" si="29"/>
        <v>760</v>
      </c>
    </row>
    <row r="1903" spans="1:6" ht="13">
      <c r="A1903" s="1">
        <v>10985</v>
      </c>
      <c r="B1903" s="1">
        <v>16</v>
      </c>
      <c r="C1903" s="1">
        <v>17.45</v>
      </c>
      <c r="D1903" s="1">
        <v>36</v>
      </c>
      <c r="E1903" s="1">
        <v>0.1</v>
      </c>
      <c r="F1903">
        <f t="shared" si="29"/>
        <v>565.38</v>
      </c>
    </row>
    <row r="1904" spans="1:6" ht="13">
      <c r="A1904" s="1">
        <v>10985</v>
      </c>
      <c r="B1904" s="1">
        <v>18</v>
      </c>
      <c r="C1904" s="1">
        <v>62.5</v>
      </c>
      <c r="D1904" s="1">
        <v>8</v>
      </c>
      <c r="E1904" s="1">
        <v>0.1</v>
      </c>
      <c r="F1904">
        <f t="shared" si="29"/>
        <v>450</v>
      </c>
    </row>
    <row r="1905" spans="1:6" ht="13">
      <c r="A1905" s="1">
        <v>10985</v>
      </c>
      <c r="B1905" s="1">
        <v>32</v>
      </c>
      <c r="C1905" s="1">
        <v>32</v>
      </c>
      <c r="D1905" s="1">
        <v>35</v>
      </c>
      <c r="E1905" s="1">
        <v>0.1</v>
      </c>
      <c r="F1905">
        <f t="shared" si="29"/>
        <v>1008</v>
      </c>
    </row>
    <row r="1906" spans="1:6" ht="13">
      <c r="A1906" s="1">
        <v>10986</v>
      </c>
      <c r="B1906" s="1">
        <v>11</v>
      </c>
      <c r="C1906" s="1">
        <v>21</v>
      </c>
      <c r="D1906" s="1">
        <v>30</v>
      </c>
      <c r="E1906" s="1">
        <v>0</v>
      </c>
      <c r="F1906">
        <f t="shared" si="29"/>
        <v>630</v>
      </c>
    </row>
    <row r="1907" spans="1:6" ht="13">
      <c r="A1907" s="1">
        <v>10986</v>
      </c>
      <c r="B1907" s="1">
        <v>20</v>
      </c>
      <c r="C1907" s="1">
        <v>81</v>
      </c>
      <c r="D1907" s="1">
        <v>15</v>
      </c>
      <c r="E1907" s="1">
        <v>0</v>
      </c>
      <c r="F1907">
        <f t="shared" si="29"/>
        <v>1215</v>
      </c>
    </row>
    <row r="1908" spans="1:6" ht="13">
      <c r="A1908" s="1">
        <v>10986</v>
      </c>
      <c r="B1908" s="1">
        <v>76</v>
      </c>
      <c r="C1908" s="1">
        <v>18</v>
      </c>
      <c r="D1908" s="1">
        <v>10</v>
      </c>
      <c r="E1908" s="1">
        <v>0</v>
      </c>
      <c r="F1908">
        <f t="shared" si="29"/>
        <v>180</v>
      </c>
    </row>
    <row r="1909" spans="1:6" ht="13">
      <c r="A1909" s="1">
        <v>10986</v>
      </c>
      <c r="B1909" s="1">
        <v>77</v>
      </c>
      <c r="C1909" s="1">
        <v>13</v>
      </c>
      <c r="D1909" s="1">
        <v>15</v>
      </c>
      <c r="E1909" s="1">
        <v>0</v>
      </c>
      <c r="F1909">
        <f t="shared" si="29"/>
        <v>195</v>
      </c>
    </row>
    <row r="1910" spans="1:6" ht="13">
      <c r="A1910" s="1">
        <v>10987</v>
      </c>
      <c r="B1910" s="1">
        <v>7</v>
      </c>
      <c r="C1910" s="1">
        <v>30</v>
      </c>
      <c r="D1910" s="1">
        <v>60</v>
      </c>
      <c r="E1910" s="1">
        <v>0</v>
      </c>
      <c r="F1910">
        <f t="shared" si="29"/>
        <v>1800</v>
      </c>
    </row>
    <row r="1911" spans="1:6" ht="13">
      <c r="A1911" s="1">
        <v>10987</v>
      </c>
      <c r="B1911" s="1">
        <v>43</v>
      </c>
      <c r="C1911" s="1">
        <v>46</v>
      </c>
      <c r="D1911" s="1">
        <v>6</v>
      </c>
      <c r="E1911" s="1">
        <v>0</v>
      </c>
      <c r="F1911">
        <f t="shared" si="29"/>
        <v>276</v>
      </c>
    </row>
    <row r="1912" spans="1:6" ht="13">
      <c r="A1912" s="1">
        <v>10987</v>
      </c>
      <c r="B1912" s="1">
        <v>72</v>
      </c>
      <c r="C1912" s="1">
        <v>34.799999999999997</v>
      </c>
      <c r="D1912" s="1">
        <v>20</v>
      </c>
      <c r="E1912" s="1">
        <v>0</v>
      </c>
      <c r="F1912">
        <f t="shared" si="29"/>
        <v>696</v>
      </c>
    </row>
    <row r="1913" spans="1:6" ht="13">
      <c r="A1913" s="1">
        <v>10988</v>
      </c>
      <c r="B1913" s="1">
        <v>7</v>
      </c>
      <c r="C1913" s="1">
        <v>30</v>
      </c>
      <c r="D1913" s="1">
        <v>60</v>
      </c>
      <c r="E1913" s="1">
        <v>0</v>
      </c>
      <c r="F1913">
        <f t="shared" si="29"/>
        <v>1800</v>
      </c>
    </row>
    <row r="1914" spans="1:6" ht="13">
      <c r="A1914" s="1">
        <v>10988</v>
      </c>
      <c r="B1914" s="1">
        <v>62</v>
      </c>
      <c r="C1914" s="1">
        <v>49.3</v>
      </c>
      <c r="D1914" s="1">
        <v>40</v>
      </c>
      <c r="E1914" s="1">
        <v>0.1</v>
      </c>
      <c r="F1914">
        <f t="shared" si="29"/>
        <v>1774.8</v>
      </c>
    </row>
    <row r="1915" spans="1:6" ht="13">
      <c r="A1915" s="1">
        <v>10989</v>
      </c>
      <c r="B1915" s="1">
        <v>6</v>
      </c>
      <c r="C1915" s="1">
        <v>25</v>
      </c>
      <c r="D1915" s="1">
        <v>40</v>
      </c>
      <c r="E1915" s="1">
        <v>0</v>
      </c>
      <c r="F1915">
        <f t="shared" si="29"/>
        <v>1000</v>
      </c>
    </row>
    <row r="1916" spans="1:6" ht="13">
      <c r="A1916" s="1">
        <v>10989</v>
      </c>
      <c r="B1916" s="1">
        <v>11</v>
      </c>
      <c r="C1916" s="1">
        <v>21</v>
      </c>
      <c r="D1916" s="1">
        <v>15</v>
      </c>
      <c r="E1916" s="1">
        <v>0</v>
      </c>
      <c r="F1916">
        <f t="shared" si="29"/>
        <v>315</v>
      </c>
    </row>
    <row r="1917" spans="1:6" ht="13">
      <c r="A1917" s="1">
        <v>10989</v>
      </c>
      <c r="B1917" s="1">
        <v>41</v>
      </c>
      <c r="C1917" s="1">
        <v>9.65</v>
      </c>
      <c r="D1917" s="1">
        <v>4</v>
      </c>
      <c r="E1917" s="1">
        <v>0</v>
      </c>
      <c r="F1917">
        <f t="shared" si="29"/>
        <v>38.6</v>
      </c>
    </row>
    <row r="1918" spans="1:6" ht="13">
      <c r="A1918" s="1">
        <v>10990</v>
      </c>
      <c r="B1918" s="1">
        <v>21</v>
      </c>
      <c r="C1918" s="1">
        <v>10</v>
      </c>
      <c r="D1918" s="1">
        <v>65</v>
      </c>
      <c r="E1918" s="1">
        <v>0</v>
      </c>
      <c r="F1918">
        <f t="shared" si="29"/>
        <v>650</v>
      </c>
    </row>
    <row r="1919" spans="1:6" ht="13">
      <c r="A1919" s="1">
        <v>10990</v>
      </c>
      <c r="B1919" s="1">
        <v>34</v>
      </c>
      <c r="C1919" s="1">
        <v>14</v>
      </c>
      <c r="D1919" s="1">
        <v>60</v>
      </c>
      <c r="E1919" s="1">
        <v>0.15</v>
      </c>
      <c r="F1919">
        <f t="shared" si="29"/>
        <v>714</v>
      </c>
    </row>
    <row r="1920" spans="1:6" ht="13">
      <c r="A1920" s="1">
        <v>10990</v>
      </c>
      <c r="B1920" s="1">
        <v>55</v>
      </c>
      <c r="C1920" s="1">
        <v>24</v>
      </c>
      <c r="D1920" s="1">
        <v>65</v>
      </c>
      <c r="E1920" s="1">
        <v>0.15</v>
      </c>
      <c r="F1920">
        <f t="shared" si="29"/>
        <v>1326</v>
      </c>
    </row>
    <row r="1921" spans="1:6" ht="13">
      <c r="A1921" s="1">
        <v>10990</v>
      </c>
      <c r="B1921" s="1">
        <v>61</v>
      </c>
      <c r="C1921" s="1">
        <v>28.5</v>
      </c>
      <c r="D1921" s="1">
        <v>66</v>
      </c>
      <c r="E1921" s="1">
        <v>0.15</v>
      </c>
      <c r="F1921">
        <f t="shared" si="29"/>
        <v>1598.85</v>
      </c>
    </row>
    <row r="1922" spans="1:6" ht="13">
      <c r="A1922" s="1">
        <v>10991</v>
      </c>
      <c r="B1922" s="1">
        <v>2</v>
      </c>
      <c r="C1922" s="1">
        <v>19</v>
      </c>
      <c r="D1922" s="1">
        <v>50</v>
      </c>
      <c r="E1922" s="1">
        <v>0.2</v>
      </c>
      <c r="F1922">
        <f t="shared" si="29"/>
        <v>760</v>
      </c>
    </row>
    <row r="1923" spans="1:6" ht="13">
      <c r="A1923" s="1">
        <v>10991</v>
      </c>
      <c r="B1923" s="1">
        <v>70</v>
      </c>
      <c r="C1923" s="1">
        <v>15</v>
      </c>
      <c r="D1923" s="1">
        <v>20</v>
      </c>
      <c r="E1923" s="1">
        <v>0.2</v>
      </c>
      <c r="F1923">
        <f t="shared" ref="F1923:F1986" si="30">C1923*D1923*(1-E1923)</f>
        <v>240</v>
      </c>
    </row>
    <row r="1924" spans="1:6" ht="13">
      <c r="A1924" s="1">
        <v>10991</v>
      </c>
      <c r="B1924" s="1">
        <v>76</v>
      </c>
      <c r="C1924" s="1">
        <v>18</v>
      </c>
      <c r="D1924" s="1">
        <v>90</v>
      </c>
      <c r="E1924" s="1">
        <v>0.2</v>
      </c>
      <c r="F1924">
        <f t="shared" si="30"/>
        <v>1296</v>
      </c>
    </row>
    <row r="1925" spans="1:6" ht="13">
      <c r="A1925" s="1">
        <v>10992</v>
      </c>
      <c r="B1925" s="1">
        <v>72</v>
      </c>
      <c r="C1925" s="1">
        <v>34.799999999999997</v>
      </c>
      <c r="D1925" s="1">
        <v>2</v>
      </c>
      <c r="E1925" s="1">
        <v>0</v>
      </c>
      <c r="F1925">
        <f t="shared" si="30"/>
        <v>69.599999999999994</v>
      </c>
    </row>
    <row r="1926" spans="1:6" ht="13">
      <c r="A1926" s="1">
        <v>10993</v>
      </c>
      <c r="B1926" s="1">
        <v>29</v>
      </c>
      <c r="C1926" s="1">
        <v>123.79</v>
      </c>
      <c r="D1926" s="1">
        <v>50</v>
      </c>
      <c r="E1926" s="1">
        <v>0.25</v>
      </c>
      <c r="F1926">
        <f t="shared" si="30"/>
        <v>4642.125</v>
      </c>
    </row>
    <row r="1927" spans="1:6" ht="13">
      <c r="A1927" s="1">
        <v>10993</v>
      </c>
      <c r="B1927" s="1">
        <v>41</v>
      </c>
      <c r="C1927" s="1">
        <v>9.65</v>
      </c>
      <c r="D1927" s="1">
        <v>35</v>
      </c>
      <c r="E1927" s="1">
        <v>0.25</v>
      </c>
      <c r="F1927">
        <f t="shared" si="30"/>
        <v>253.3125</v>
      </c>
    </row>
    <row r="1928" spans="1:6" ht="13">
      <c r="A1928" s="1">
        <v>10994</v>
      </c>
      <c r="B1928" s="1">
        <v>59</v>
      </c>
      <c r="C1928" s="1">
        <v>55</v>
      </c>
      <c r="D1928" s="1">
        <v>18</v>
      </c>
      <c r="E1928" s="1">
        <v>0.05</v>
      </c>
      <c r="F1928">
        <f t="shared" si="30"/>
        <v>940.5</v>
      </c>
    </row>
    <row r="1929" spans="1:6" ht="13">
      <c r="A1929" s="1">
        <v>10995</v>
      </c>
      <c r="B1929" s="1">
        <v>51</v>
      </c>
      <c r="C1929" s="1">
        <v>53</v>
      </c>
      <c r="D1929" s="1">
        <v>20</v>
      </c>
      <c r="E1929" s="1">
        <v>0</v>
      </c>
      <c r="F1929">
        <f t="shared" si="30"/>
        <v>1060</v>
      </c>
    </row>
    <row r="1930" spans="1:6" ht="13">
      <c r="A1930" s="1">
        <v>10995</v>
      </c>
      <c r="B1930" s="1">
        <v>60</v>
      </c>
      <c r="C1930" s="1">
        <v>34</v>
      </c>
      <c r="D1930" s="1">
        <v>4</v>
      </c>
      <c r="E1930" s="1">
        <v>0</v>
      </c>
      <c r="F1930">
        <f t="shared" si="30"/>
        <v>136</v>
      </c>
    </row>
    <row r="1931" spans="1:6" ht="13">
      <c r="A1931" s="1">
        <v>10996</v>
      </c>
      <c r="B1931" s="1">
        <v>42</v>
      </c>
      <c r="C1931" s="1">
        <v>14</v>
      </c>
      <c r="D1931" s="1">
        <v>40</v>
      </c>
      <c r="E1931" s="1">
        <v>0</v>
      </c>
      <c r="F1931">
        <f t="shared" si="30"/>
        <v>560</v>
      </c>
    </row>
    <row r="1932" spans="1:6" ht="13">
      <c r="A1932" s="1">
        <v>10997</v>
      </c>
      <c r="B1932" s="1">
        <v>32</v>
      </c>
      <c r="C1932" s="1">
        <v>32</v>
      </c>
      <c r="D1932" s="1">
        <v>50</v>
      </c>
      <c r="E1932" s="1">
        <v>0</v>
      </c>
      <c r="F1932">
        <f t="shared" si="30"/>
        <v>1600</v>
      </c>
    </row>
    <row r="1933" spans="1:6" ht="13">
      <c r="A1933" s="1">
        <v>10997</v>
      </c>
      <c r="B1933" s="1">
        <v>46</v>
      </c>
      <c r="C1933" s="1">
        <v>12</v>
      </c>
      <c r="D1933" s="1">
        <v>20</v>
      </c>
      <c r="E1933" s="1">
        <v>0.25</v>
      </c>
      <c r="F1933">
        <f t="shared" si="30"/>
        <v>180</v>
      </c>
    </row>
    <row r="1934" spans="1:6" ht="13">
      <c r="A1934" s="1">
        <v>10997</v>
      </c>
      <c r="B1934" s="1">
        <v>52</v>
      </c>
      <c r="C1934" s="1">
        <v>7</v>
      </c>
      <c r="D1934" s="1">
        <v>20</v>
      </c>
      <c r="E1934" s="1">
        <v>0.25</v>
      </c>
      <c r="F1934">
        <f t="shared" si="30"/>
        <v>105</v>
      </c>
    </row>
    <row r="1935" spans="1:6" ht="13">
      <c r="A1935" s="1">
        <v>10998</v>
      </c>
      <c r="B1935" s="1">
        <v>24</v>
      </c>
      <c r="C1935" s="1">
        <v>4.5</v>
      </c>
      <c r="D1935" s="1">
        <v>12</v>
      </c>
      <c r="E1935" s="1">
        <v>0</v>
      </c>
      <c r="F1935">
        <f t="shared" si="30"/>
        <v>54</v>
      </c>
    </row>
    <row r="1936" spans="1:6" ht="13">
      <c r="A1936" s="1">
        <v>10998</v>
      </c>
      <c r="B1936" s="1">
        <v>61</v>
      </c>
      <c r="C1936" s="1">
        <v>28.5</v>
      </c>
      <c r="D1936" s="1">
        <v>7</v>
      </c>
      <c r="E1936" s="1">
        <v>0</v>
      </c>
      <c r="F1936">
        <f t="shared" si="30"/>
        <v>199.5</v>
      </c>
    </row>
    <row r="1937" spans="1:6" ht="13">
      <c r="A1937" s="1">
        <v>10998</v>
      </c>
      <c r="B1937" s="1">
        <v>74</v>
      </c>
      <c r="C1937" s="1">
        <v>10</v>
      </c>
      <c r="D1937" s="1">
        <v>20</v>
      </c>
      <c r="E1937" s="1">
        <v>0</v>
      </c>
      <c r="F1937">
        <f t="shared" si="30"/>
        <v>200</v>
      </c>
    </row>
    <row r="1938" spans="1:6" ht="13">
      <c r="A1938" s="1">
        <v>10998</v>
      </c>
      <c r="B1938" s="1">
        <v>75</v>
      </c>
      <c r="C1938" s="1">
        <v>7.75</v>
      </c>
      <c r="D1938" s="1">
        <v>30</v>
      </c>
      <c r="E1938" s="1">
        <v>0</v>
      </c>
      <c r="F1938">
        <f t="shared" si="30"/>
        <v>232.5</v>
      </c>
    </row>
    <row r="1939" spans="1:6" ht="13">
      <c r="A1939" s="1">
        <v>10999</v>
      </c>
      <c r="B1939" s="1">
        <v>41</v>
      </c>
      <c r="C1939" s="1">
        <v>9.65</v>
      </c>
      <c r="D1939" s="1">
        <v>20</v>
      </c>
      <c r="E1939" s="1">
        <v>0.05</v>
      </c>
      <c r="F1939">
        <f t="shared" si="30"/>
        <v>183.35</v>
      </c>
    </row>
    <row r="1940" spans="1:6" ht="13">
      <c r="A1940" s="1">
        <v>10999</v>
      </c>
      <c r="B1940" s="1">
        <v>51</v>
      </c>
      <c r="C1940" s="1">
        <v>53</v>
      </c>
      <c r="D1940" s="1">
        <v>15</v>
      </c>
      <c r="E1940" s="1">
        <v>0.05</v>
      </c>
      <c r="F1940">
        <f t="shared" si="30"/>
        <v>755.25</v>
      </c>
    </row>
    <row r="1941" spans="1:6" ht="13">
      <c r="A1941" s="1">
        <v>10999</v>
      </c>
      <c r="B1941" s="1">
        <v>77</v>
      </c>
      <c r="C1941" s="1">
        <v>13</v>
      </c>
      <c r="D1941" s="1">
        <v>21</v>
      </c>
      <c r="E1941" s="1">
        <v>0.05</v>
      </c>
      <c r="F1941">
        <f t="shared" si="30"/>
        <v>259.34999999999997</v>
      </c>
    </row>
    <row r="1942" spans="1:6" ht="13">
      <c r="A1942" s="1">
        <v>11000</v>
      </c>
      <c r="B1942" s="1">
        <v>4</v>
      </c>
      <c r="C1942" s="1">
        <v>22</v>
      </c>
      <c r="D1942" s="1">
        <v>25</v>
      </c>
      <c r="E1942" s="1">
        <v>0.25</v>
      </c>
      <c r="F1942">
        <f t="shared" si="30"/>
        <v>412.5</v>
      </c>
    </row>
    <row r="1943" spans="1:6" ht="13">
      <c r="A1943" s="1">
        <v>11000</v>
      </c>
      <c r="B1943" s="1">
        <v>24</v>
      </c>
      <c r="C1943" s="1">
        <v>4.5</v>
      </c>
      <c r="D1943" s="1">
        <v>30</v>
      </c>
      <c r="E1943" s="1">
        <v>0.25</v>
      </c>
      <c r="F1943">
        <f t="shared" si="30"/>
        <v>101.25</v>
      </c>
    </row>
    <row r="1944" spans="1:6" ht="13">
      <c r="A1944" s="1">
        <v>11000</v>
      </c>
      <c r="B1944" s="1">
        <v>77</v>
      </c>
      <c r="C1944" s="1">
        <v>13</v>
      </c>
      <c r="D1944" s="1">
        <v>30</v>
      </c>
      <c r="E1944" s="1">
        <v>0</v>
      </c>
      <c r="F1944">
        <f t="shared" si="30"/>
        <v>390</v>
      </c>
    </row>
    <row r="1945" spans="1:6" ht="13">
      <c r="A1945" s="1">
        <v>11001</v>
      </c>
      <c r="B1945" s="1">
        <v>7</v>
      </c>
      <c r="C1945" s="1">
        <v>30</v>
      </c>
      <c r="D1945" s="1">
        <v>60</v>
      </c>
      <c r="E1945" s="1">
        <v>0</v>
      </c>
      <c r="F1945">
        <f t="shared" si="30"/>
        <v>1800</v>
      </c>
    </row>
    <row r="1946" spans="1:6" ht="13">
      <c r="A1946" s="1">
        <v>11001</v>
      </c>
      <c r="B1946" s="1">
        <v>22</v>
      </c>
      <c r="C1946" s="1">
        <v>21</v>
      </c>
      <c r="D1946" s="1">
        <v>25</v>
      </c>
      <c r="E1946" s="1">
        <v>0</v>
      </c>
      <c r="F1946">
        <f t="shared" si="30"/>
        <v>525</v>
      </c>
    </row>
    <row r="1947" spans="1:6" ht="13">
      <c r="A1947" s="1">
        <v>11001</v>
      </c>
      <c r="B1947" s="1">
        <v>46</v>
      </c>
      <c r="C1947" s="1">
        <v>12</v>
      </c>
      <c r="D1947" s="1">
        <v>25</v>
      </c>
      <c r="E1947" s="1">
        <v>0</v>
      </c>
      <c r="F1947">
        <f t="shared" si="30"/>
        <v>300</v>
      </c>
    </row>
    <row r="1948" spans="1:6" ht="13">
      <c r="A1948" s="1">
        <v>11001</v>
      </c>
      <c r="B1948" s="1">
        <v>55</v>
      </c>
      <c r="C1948" s="1">
        <v>24</v>
      </c>
      <c r="D1948" s="1">
        <v>6</v>
      </c>
      <c r="E1948" s="1">
        <v>0</v>
      </c>
      <c r="F1948">
        <f t="shared" si="30"/>
        <v>144</v>
      </c>
    </row>
    <row r="1949" spans="1:6" ht="13">
      <c r="A1949" s="1">
        <v>11002</v>
      </c>
      <c r="B1949" s="1">
        <v>13</v>
      </c>
      <c r="C1949" s="1">
        <v>6</v>
      </c>
      <c r="D1949" s="1">
        <v>56</v>
      </c>
      <c r="E1949" s="1">
        <v>0</v>
      </c>
      <c r="F1949">
        <f t="shared" si="30"/>
        <v>336</v>
      </c>
    </row>
    <row r="1950" spans="1:6" ht="13">
      <c r="A1950" s="1">
        <v>11002</v>
      </c>
      <c r="B1950" s="1">
        <v>35</v>
      </c>
      <c r="C1950" s="1">
        <v>18</v>
      </c>
      <c r="D1950" s="1">
        <v>15</v>
      </c>
      <c r="E1950" s="1">
        <v>0.15</v>
      </c>
      <c r="F1950">
        <f t="shared" si="30"/>
        <v>229.5</v>
      </c>
    </row>
    <row r="1951" spans="1:6" ht="13">
      <c r="A1951" s="1">
        <v>11002</v>
      </c>
      <c r="B1951" s="1">
        <v>42</v>
      </c>
      <c r="C1951" s="1">
        <v>14</v>
      </c>
      <c r="D1951" s="1">
        <v>24</v>
      </c>
      <c r="E1951" s="1">
        <v>0.15</v>
      </c>
      <c r="F1951">
        <f t="shared" si="30"/>
        <v>285.59999999999997</v>
      </c>
    </row>
    <row r="1952" spans="1:6" ht="13">
      <c r="A1952" s="1">
        <v>11002</v>
      </c>
      <c r="B1952" s="1">
        <v>55</v>
      </c>
      <c r="C1952" s="1">
        <v>24</v>
      </c>
      <c r="D1952" s="1">
        <v>40</v>
      </c>
      <c r="E1952" s="1">
        <v>0</v>
      </c>
      <c r="F1952">
        <f t="shared" si="30"/>
        <v>960</v>
      </c>
    </row>
    <row r="1953" spans="1:6" ht="13">
      <c r="A1953" s="1">
        <v>11003</v>
      </c>
      <c r="B1953" s="1">
        <v>1</v>
      </c>
      <c r="C1953" s="1">
        <v>18</v>
      </c>
      <c r="D1953" s="1">
        <v>4</v>
      </c>
      <c r="E1953" s="1">
        <v>0</v>
      </c>
      <c r="F1953">
        <f t="shared" si="30"/>
        <v>72</v>
      </c>
    </row>
    <row r="1954" spans="1:6" ht="13">
      <c r="A1954" s="1">
        <v>11003</v>
      </c>
      <c r="B1954" s="1">
        <v>40</v>
      </c>
      <c r="C1954" s="1">
        <v>18.399999999999999</v>
      </c>
      <c r="D1954" s="1">
        <v>10</v>
      </c>
      <c r="E1954" s="1">
        <v>0</v>
      </c>
      <c r="F1954">
        <f t="shared" si="30"/>
        <v>184</v>
      </c>
    </row>
    <row r="1955" spans="1:6" ht="13">
      <c r="A1955" s="1">
        <v>11003</v>
      </c>
      <c r="B1955" s="1">
        <v>52</v>
      </c>
      <c r="C1955" s="1">
        <v>7</v>
      </c>
      <c r="D1955" s="1">
        <v>10</v>
      </c>
      <c r="E1955" s="1">
        <v>0</v>
      </c>
      <c r="F1955">
        <f t="shared" si="30"/>
        <v>70</v>
      </c>
    </row>
    <row r="1956" spans="1:6" ht="13">
      <c r="A1956" s="1">
        <v>11004</v>
      </c>
      <c r="B1956" s="1">
        <v>26</v>
      </c>
      <c r="C1956" s="1">
        <v>31.23</v>
      </c>
      <c r="D1956" s="1">
        <v>6</v>
      </c>
      <c r="E1956" s="1">
        <v>0</v>
      </c>
      <c r="F1956">
        <f t="shared" si="30"/>
        <v>187.38</v>
      </c>
    </row>
    <row r="1957" spans="1:6" ht="13">
      <c r="A1957" s="1">
        <v>11004</v>
      </c>
      <c r="B1957" s="1">
        <v>76</v>
      </c>
      <c r="C1957" s="1">
        <v>18</v>
      </c>
      <c r="D1957" s="1">
        <v>6</v>
      </c>
      <c r="E1957" s="1">
        <v>0</v>
      </c>
      <c r="F1957">
        <f t="shared" si="30"/>
        <v>108</v>
      </c>
    </row>
    <row r="1958" spans="1:6" ht="13">
      <c r="A1958" s="1">
        <v>11005</v>
      </c>
      <c r="B1958" s="1">
        <v>1</v>
      </c>
      <c r="C1958" s="1">
        <v>18</v>
      </c>
      <c r="D1958" s="1">
        <v>2</v>
      </c>
      <c r="E1958" s="1">
        <v>0</v>
      </c>
      <c r="F1958">
        <f t="shared" si="30"/>
        <v>36</v>
      </c>
    </row>
    <row r="1959" spans="1:6" ht="13">
      <c r="A1959" s="1">
        <v>11005</v>
      </c>
      <c r="B1959" s="1">
        <v>59</v>
      </c>
      <c r="C1959" s="1">
        <v>55</v>
      </c>
      <c r="D1959" s="1">
        <v>10</v>
      </c>
      <c r="E1959" s="1">
        <v>0</v>
      </c>
      <c r="F1959">
        <f t="shared" si="30"/>
        <v>550</v>
      </c>
    </row>
    <row r="1960" spans="1:6" ht="13">
      <c r="A1960" s="1">
        <v>11006</v>
      </c>
      <c r="B1960" s="1">
        <v>1</v>
      </c>
      <c r="C1960" s="1">
        <v>18</v>
      </c>
      <c r="D1960" s="1">
        <v>8</v>
      </c>
      <c r="E1960" s="1">
        <v>0</v>
      </c>
      <c r="F1960">
        <f t="shared" si="30"/>
        <v>144</v>
      </c>
    </row>
    <row r="1961" spans="1:6" ht="13">
      <c r="A1961" s="1">
        <v>11006</v>
      </c>
      <c r="B1961" s="1">
        <v>29</v>
      </c>
      <c r="C1961" s="1">
        <v>123.79</v>
      </c>
      <c r="D1961" s="1">
        <v>2</v>
      </c>
      <c r="E1961" s="1">
        <v>0.25</v>
      </c>
      <c r="F1961">
        <f t="shared" si="30"/>
        <v>185.685</v>
      </c>
    </row>
    <row r="1962" spans="1:6" ht="13">
      <c r="A1962" s="1">
        <v>11007</v>
      </c>
      <c r="B1962" s="1">
        <v>8</v>
      </c>
      <c r="C1962" s="1">
        <v>40</v>
      </c>
      <c r="D1962" s="1">
        <v>30</v>
      </c>
      <c r="E1962" s="1">
        <v>0</v>
      </c>
      <c r="F1962">
        <f t="shared" si="30"/>
        <v>1200</v>
      </c>
    </row>
    <row r="1963" spans="1:6" ht="13">
      <c r="A1963" s="1">
        <v>11007</v>
      </c>
      <c r="B1963" s="1">
        <v>29</v>
      </c>
      <c r="C1963" s="1">
        <v>123.79</v>
      </c>
      <c r="D1963" s="1">
        <v>10</v>
      </c>
      <c r="E1963" s="1">
        <v>0</v>
      </c>
      <c r="F1963">
        <f t="shared" si="30"/>
        <v>1237.9000000000001</v>
      </c>
    </row>
    <row r="1964" spans="1:6" ht="13">
      <c r="A1964" s="1">
        <v>11007</v>
      </c>
      <c r="B1964" s="1">
        <v>42</v>
      </c>
      <c r="C1964" s="1">
        <v>14</v>
      </c>
      <c r="D1964" s="1">
        <v>14</v>
      </c>
      <c r="E1964" s="1">
        <v>0</v>
      </c>
      <c r="F1964">
        <f t="shared" si="30"/>
        <v>196</v>
      </c>
    </row>
    <row r="1965" spans="1:6" ht="13">
      <c r="A1965" s="1">
        <v>11008</v>
      </c>
      <c r="B1965" s="1">
        <v>28</v>
      </c>
      <c r="C1965" s="1">
        <v>45.6</v>
      </c>
      <c r="D1965" s="1">
        <v>70</v>
      </c>
      <c r="E1965" s="1">
        <v>0.05</v>
      </c>
      <c r="F1965">
        <f t="shared" si="30"/>
        <v>3032.3999999999996</v>
      </c>
    </row>
    <row r="1966" spans="1:6" ht="13">
      <c r="A1966" s="1">
        <v>11008</v>
      </c>
      <c r="B1966" s="1">
        <v>34</v>
      </c>
      <c r="C1966" s="1">
        <v>14</v>
      </c>
      <c r="D1966" s="1">
        <v>90</v>
      </c>
      <c r="E1966" s="1">
        <v>0.05</v>
      </c>
      <c r="F1966">
        <f t="shared" si="30"/>
        <v>1197</v>
      </c>
    </row>
    <row r="1967" spans="1:6" ht="13">
      <c r="A1967" s="1">
        <v>11008</v>
      </c>
      <c r="B1967" s="1">
        <v>71</v>
      </c>
      <c r="C1967" s="1">
        <v>21.5</v>
      </c>
      <c r="D1967" s="1">
        <v>21</v>
      </c>
      <c r="E1967" s="1">
        <v>0</v>
      </c>
      <c r="F1967">
        <f t="shared" si="30"/>
        <v>451.5</v>
      </c>
    </row>
    <row r="1968" spans="1:6" ht="13">
      <c r="A1968" s="1">
        <v>11009</v>
      </c>
      <c r="B1968" s="1">
        <v>24</v>
      </c>
      <c r="C1968" s="1">
        <v>4.5</v>
      </c>
      <c r="D1968" s="1">
        <v>12</v>
      </c>
      <c r="E1968" s="1">
        <v>0</v>
      </c>
      <c r="F1968">
        <f t="shared" si="30"/>
        <v>54</v>
      </c>
    </row>
    <row r="1969" spans="1:6" ht="13">
      <c r="A1969" s="1">
        <v>11009</v>
      </c>
      <c r="B1969" s="1">
        <v>36</v>
      </c>
      <c r="C1969" s="1">
        <v>19</v>
      </c>
      <c r="D1969" s="1">
        <v>18</v>
      </c>
      <c r="E1969" s="1">
        <v>0.25</v>
      </c>
      <c r="F1969">
        <f t="shared" si="30"/>
        <v>256.5</v>
      </c>
    </row>
    <row r="1970" spans="1:6" ht="13">
      <c r="A1970" s="1">
        <v>11009</v>
      </c>
      <c r="B1970" s="1">
        <v>60</v>
      </c>
      <c r="C1970" s="1">
        <v>34</v>
      </c>
      <c r="D1970" s="1">
        <v>9</v>
      </c>
      <c r="E1970" s="1">
        <v>0</v>
      </c>
      <c r="F1970">
        <f t="shared" si="30"/>
        <v>306</v>
      </c>
    </row>
    <row r="1971" spans="1:6" ht="13">
      <c r="A1971" s="1">
        <v>11010</v>
      </c>
      <c r="B1971" s="1">
        <v>7</v>
      </c>
      <c r="C1971" s="1">
        <v>30</v>
      </c>
      <c r="D1971" s="1">
        <v>20</v>
      </c>
      <c r="E1971" s="1">
        <v>0</v>
      </c>
      <c r="F1971">
        <f t="shared" si="30"/>
        <v>600</v>
      </c>
    </row>
    <row r="1972" spans="1:6" ht="13">
      <c r="A1972" s="1">
        <v>11010</v>
      </c>
      <c r="B1972" s="1">
        <v>24</v>
      </c>
      <c r="C1972" s="1">
        <v>4.5</v>
      </c>
      <c r="D1972" s="1">
        <v>10</v>
      </c>
      <c r="E1972" s="1">
        <v>0</v>
      </c>
      <c r="F1972">
        <f t="shared" si="30"/>
        <v>45</v>
      </c>
    </row>
    <row r="1973" spans="1:6" ht="13">
      <c r="A1973" s="1">
        <v>11011</v>
      </c>
      <c r="B1973" s="1">
        <v>58</v>
      </c>
      <c r="C1973" s="1">
        <v>13.25</v>
      </c>
      <c r="D1973" s="1">
        <v>40</v>
      </c>
      <c r="E1973" s="1">
        <v>0.05</v>
      </c>
      <c r="F1973">
        <f t="shared" si="30"/>
        <v>503.5</v>
      </c>
    </row>
    <row r="1974" spans="1:6" ht="13">
      <c r="A1974" s="1">
        <v>11011</v>
      </c>
      <c r="B1974" s="1">
        <v>71</v>
      </c>
      <c r="C1974" s="1">
        <v>21.5</v>
      </c>
      <c r="D1974" s="1">
        <v>20</v>
      </c>
      <c r="E1974" s="1">
        <v>0</v>
      </c>
      <c r="F1974">
        <f t="shared" si="30"/>
        <v>430</v>
      </c>
    </row>
    <row r="1975" spans="1:6" ht="13">
      <c r="A1975" s="1">
        <v>11012</v>
      </c>
      <c r="B1975" s="1">
        <v>19</v>
      </c>
      <c r="C1975" s="1">
        <v>9.1999999999999993</v>
      </c>
      <c r="D1975" s="1">
        <v>50</v>
      </c>
      <c r="E1975" s="1">
        <v>0.05</v>
      </c>
      <c r="F1975">
        <f t="shared" si="30"/>
        <v>436.99999999999994</v>
      </c>
    </row>
    <row r="1976" spans="1:6" ht="13">
      <c r="A1976" s="1">
        <v>11012</v>
      </c>
      <c r="B1976" s="1">
        <v>60</v>
      </c>
      <c r="C1976" s="1">
        <v>34</v>
      </c>
      <c r="D1976" s="1">
        <v>36</v>
      </c>
      <c r="E1976" s="1">
        <v>0.05</v>
      </c>
      <c r="F1976">
        <f t="shared" si="30"/>
        <v>1162.8</v>
      </c>
    </row>
    <row r="1977" spans="1:6" ht="13">
      <c r="A1977" s="1">
        <v>11012</v>
      </c>
      <c r="B1977" s="1">
        <v>71</v>
      </c>
      <c r="C1977" s="1">
        <v>21.5</v>
      </c>
      <c r="D1977" s="1">
        <v>60</v>
      </c>
      <c r="E1977" s="1">
        <v>0.05</v>
      </c>
      <c r="F1977">
        <f t="shared" si="30"/>
        <v>1225.5</v>
      </c>
    </row>
    <row r="1978" spans="1:6" ht="13">
      <c r="A1978" s="1">
        <v>11013</v>
      </c>
      <c r="B1978" s="1">
        <v>23</v>
      </c>
      <c r="C1978" s="1">
        <v>9</v>
      </c>
      <c r="D1978" s="1">
        <v>10</v>
      </c>
      <c r="E1978" s="1">
        <v>0</v>
      </c>
      <c r="F1978">
        <f t="shared" si="30"/>
        <v>90</v>
      </c>
    </row>
    <row r="1979" spans="1:6" ht="13">
      <c r="A1979" s="1">
        <v>11013</v>
      </c>
      <c r="B1979" s="1">
        <v>42</v>
      </c>
      <c r="C1979" s="1">
        <v>14</v>
      </c>
      <c r="D1979" s="1">
        <v>4</v>
      </c>
      <c r="E1979" s="1">
        <v>0</v>
      </c>
      <c r="F1979">
        <f t="shared" si="30"/>
        <v>56</v>
      </c>
    </row>
    <row r="1980" spans="1:6" ht="13">
      <c r="A1980" s="1">
        <v>11013</v>
      </c>
      <c r="B1980" s="1">
        <v>45</v>
      </c>
      <c r="C1980" s="1">
        <v>9.5</v>
      </c>
      <c r="D1980" s="1">
        <v>20</v>
      </c>
      <c r="E1980" s="1">
        <v>0</v>
      </c>
      <c r="F1980">
        <f t="shared" si="30"/>
        <v>190</v>
      </c>
    </row>
    <row r="1981" spans="1:6" ht="13">
      <c r="A1981" s="1">
        <v>11013</v>
      </c>
      <c r="B1981" s="1">
        <v>68</v>
      </c>
      <c r="C1981" s="1">
        <v>12.5</v>
      </c>
      <c r="D1981" s="1">
        <v>2</v>
      </c>
      <c r="E1981" s="1">
        <v>0</v>
      </c>
      <c r="F1981">
        <f t="shared" si="30"/>
        <v>25</v>
      </c>
    </row>
    <row r="1982" spans="1:6" ht="13">
      <c r="A1982" s="1">
        <v>11014</v>
      </c>
      <c r="B1982" s="1">
        <v>41</v>
      </c>
      <c r="C1982" s="1">
        <v>9.65</v>
      </c>
      <c r="D1982" s="1">
        <v>28</v>
      </c>
      <c r="E1982" s="1">
        <v>0.1</v>
      </c>
      <c r="F1982">
        <f t="shared" si="30"/>
        <v>243.18</v>
      </c>
    </row>
    <row r="1983" spans="1:6" ht="13">
      <c r="A1983" s="1">
        <v>11015</v>
      </c>
      <c r="B1983" s="1">
        <v>30</v>
      </c>
      <c r="C1983" s="1">
        <v>25.89</v>
      </c>
      <c r="D1983" s="1">
        <v>15</v>
      </c>
      <c r="E1983" s="1">
        <v>0</v>
      </c>
      <c r="F1983">
        <f t="shared" si="30"/>
        <v>388.35</v>
      </c>
    </row>
    <row r="1984" spans="1:6" ht="13">
      <c r="A1984" s="1">
        <v>11015</v>
      </c>
      <c r="B1984" s="1">
        <v>77</v>
      </c>
      <c r="C1984" s="1">
        <v>13</v>
      </c>
      <c r="D1984" s="1">
        <v>18</v>
      </c>
      <c r="E1984" s="1">
        <v>0</v>
      </c>
      <c r="F1984">
        <f t="shared" si="30"/>
        <v>234</v>
      </c>
    </row>
    <row r="1985" spans="1:6" ht="13">
      <c r="A1985" s="1">
        <v>11016</v>
      </c>
      <c r="B1985" s="1">
        <v>31</v>
      </c>
      <c r="C1985" s="1">
        <v>12.5</v>
      </c>
      <c r="D1985" s="1">
        <v>15</v>
      </c>
      <c r="E1985" s="1">
        <v>0</v>
      </c>
      <c r="F1985">
        <f t="shared" si="30"/>
        <v>187.5</v>
      </c>
    </row>
    <row r="1986" spans="1:6" ht="13">
      <c r="A1986" s="1">
        <v>11016</v>
      </c>
      <c r="B1986" s="1">
        <v>36</v>
      </c>
      <c r="C1986" s="1">
        <v>19</v>
      </c>
      <c r="D1986" s="1">
        <v>16</v>
      </c>
      <c r="E1986" s="1">
        <v>0</v>
      </c>
      <c r="F1986">
        <f t="shared" si="30"/>
        <v>304</v>
      </c>
    </row>
    <row r="1987" spans="1:6" ht="13">
      <c r="A1987" s="1">
        <v>11017</v>
      </c>
      <c r="B1987" s="1">
        <v>3</v>
      </c>
      <c r="C1987" s="1">
        <v>10</v>
      </c>
      <c r="D1987" s="1">
        <v>25</v>
      </c>
      <c r="E1987" s="1">
        <v>0</v>
      </c>
      <c r="F1987">
        <f t="shared" ref="F1987:F2050" si="31">C1987*D1987*(1-E1987)</f>
        <v>250</v>
      </c>
    </row>
    <row r="1988" spans="1:6" ht="13">
      <c r="A1988" s="1">
        <v>11017</v>
      </c>
      <c r="B1988" s="1">
        <v>59</v>
      </c>
      <c r="C1988" s="1">
        <v>55</v>
      </c>
      <c r="D1988" s="1">
        <v>110</v>
      </c>
      <c r="E1988" s="1">
        <v>0</v>
      </c>
      <c r="F1988">
        <f t="shared" si="31"/>
        <v>6050</v>
      </c>
    </row>
    <row r="1989" spans="1:6" ht="13">
      <c r="A1989" s="1">
        <v>11017</v>
      </c>
      <c r="B1989" s="1">
        <v>70</v>
      </c>
      <c r="C1989" s="1">
        <v>15</v>
      </c>
      <c r="D1989" s="1">
        <v>30</v>
      </c>
      <c r="E1989" s="1">
        <v>0</v>
      </c>
      <c r="F1989">
        <f t="shared" si="31"/>
        <v>450</v>
      </c>
    </row>
    <row r="1990" spans="1:6" ht="13">
      <c r="A1990" s="1">
        <v>11018</v>
      </c>
      <c r="B1990" s="1">
        <v>12</v>
      </c>
      <c r="C1990" s="1">
        <v>38</v>
      </c>
      <c r="D1990" s="1">
        <v>20</v>
      </c>
      <c r="E1990" s="1">
        <v>0</v>
      </c>
      <c r="F1990">
        <f t="shared" si="31"/>
        <v>760</v>
      </c>
    </row>
    <row r="1991" spans="1:6" ht="13">
      <c r="A1991" s="1">
        <v>11018</v>
      </c>
      <c r="B1991" s="1">
        <v>18</v>
      </c>
      <c r="C1991" s="1">
        <v>62.5</v>
      </c>
      <c r="D1991" s="1">
        <v>10</v>
      </c>
      <c r="E1991" s="1">
        <v>0</v>
      </c>
      <c r="F1991">
        <f t="shared" si="31"/>
        <v>625</v>
      </c>
    </row>
    <row r="1992" spans="1:6" ht="13">
      <c r="A1992" s="1">
        <v>11018</v>
      </c>
      <c r="B1992" s="1">
        <v>56</v>
      </c>
      <c r="C1992" s="1">
        <v>38</v>
      </c>
      <c r="D1992" s="1">
        <v>5</v>
      </c>
      <c r="E1992" s="1">
        <v>0</v>
      </c>
      <c r="F1992">
        <f t="shared" si="31"/>
        <v>190</v>
      </c>
    </row>
    <row r="1993" spans="1:6" ht="13">
      <c r="A1993" s="1">
        <v>11019</v>
      </c>
      <c r="B1993" s="1">
        <v>46</v>
      </c>
      <c r="C1993" s="1">
        <v>12</v>
      </c>
      <c r="D1993" s="1">
        <v>3</v>
      </c>
      <c r="E1993" s="1">
        <v>0</v>
      </c>
      <c r="F1993">
        <f t="shared" si="31"/>
        <v>36</v>
      </c>
    </row>
    <row r="1994" spans="1:6" ht="13">
      <c r="A1994" s="1">
        <v>11019</v>
      </c>
      <c r="B1994" s="1">
        <v>49</v>
      </c>
      <c r="C1994" s="1">
        <v>20</v>
      </c>
      <c r="D1994" s="1">
        <v>2</v>
      </c>
      <c r="E1994" s="1">
        <v>0</v>
      </c>
      <c r="F1994">
        <f t="shared" si="31"/>
        <v>40</v>
      </c>
    </row>
    <row r="1995" spans="1:6" ht="13">
      <c r="A1995" s="1">
        <v>11020</v>
      </c>
      <c r="B1995" s="1">
        <v>10</v>
      </c>
      <c r="C1995" s="1">
        <v>31</v>
      </c>
      <c r="D1995" s="1">
        <v>24</v>
      </c>
      <c r="E1995" s="1">
        <v>0.15</v>
      </c>
      <c r="F1995">
        <f t="shared" si="31"/>
        <v>632.4</v>
      </c>
    </row>
    <row r="1996" spans="1:6" ht="13">
      <c r="A1996" s="1">
        <v>11021</v>
      </c>
      <c r="B1996" s="1">
        <v>2</v>
      </c>
      <c r="C1996" s="1">
        <v>19</v>
      </c>
      <c r="D1996" s="1">
        <v>11</v>
      </c>
      <c r="E1996" s="1">
        <v>0.25</v>
      </c>
      <c r="F1996">
        <f t="shared" si="31"/>
        <v>156.75</v>
      </c>
    </row>
    <row r="1997" spans="1:6" ht="13">
      <c r="A1997" s="1">
        <v>11021</v>
      </c>
      <c r="B1997" s="1">
        <v>20</v>
      </c>
      <c r="C1997" s="1">
        <v>81</v>
      </c>
      <c r="D1997" s="1">
        <v>15</v>
      </c>
      <c r="E1997" s="1">
        <v>0</v>
      </c>
      <c r="F1997">
        <f t="shared" si="31"/>
        <v>1215</v>
      </c>
    </row>
    <row r="1998" spans="1:6" ht="13">
      <c r="A1998" s="1">
        <v>11021</v>
      </c>
      <c r="B1998" s="1">
        <v>26</v>
      </c>
      <c r="C1998" s="1">
        <v>31.23</v>
      </c>
      <c r="D1998" s="1">
        <v>63</v>
      </c>
      <c r="E1998" s="1">
        <v>0</v>
      </c>
      <c r="F1998">
        <f t="shared" si="31"/>
        <v>1967.49</v>
      </c>
    </row>
    <row r="1999" spans="1:6" ht="13">
      <c r="A1999" s="1">
        <v>11021</v>
      </c>
      <c r="B1999" s="1">
        <v>51</v>
      </c>
      <c r="C1999" s="1">
        <v>53</v>
      </c>
      <c r="D1999" s="1">
        <v>44</v>
      </c>
      <c r="E1999" s="1">
        <v>0.25</v>
      </c>
      <c r="F1999">
        <f t="shared" si="31"/>
        <v>1749</v>
      </c>
    </row>
    <row r="2000" spans="1:6" ht="13">
      <c r="A2000" s="1">
        <v>11021</v>
      </c>
      <c r="B2000" s="1">
        <v>72</v>
      </c>
      <c r="C2000" s="1">
        <v>34.799999999999997</v>
      </c>
      <c r="D2000" s="1">
        <v>35</v>
      </c>
      <c r="E2000" s="1">
        <v>0</v>
      </c>
      <c r="F2000">
        <f t="shared" si="31"/>
        <v>1218</v>
      </c>
    </row>
    <row r="2001" spans="1:6" ht="13">
      <c r="A2001" s="1">
        <v>11022</v>
      </c>
      <c r="B2001" s="1">
        <v>19</v>
      </c>
      <c r="C2001" s="1">
        <v>9.1999999999999993</v>
      </c>
      <c r="D2001" s="1">
        <v>35</v>
      </c>
      <c r="E2001" s="1">
        <v>0</v>
      </c>
      <c r="F2001">
        <f t="shared" si="31"/>
        <v>322</v>
      </c>
    </row>
    <row r="2002" spans="1:6" ht="13">
      <c r="A2002" s="1">
        <v>11022</v>
      </c>
      <c r="B2002" s="1">
        <v>69</v>
      </c>
      <c r="C2002" s="1">
        <v>36</v>
      </c>
      <c r="D2002" s="1">
        <v>30</v>
      </c>
      <c r="E2002" s="1">
        <v>0</v>
      </c>
      <c r="F2002">
        <f t="shared" si="31"/>
        <v>1080</v>
      </c>
    </row>
    <row r="2003" spans="1:6" ht="13">
      <c r="A2003" s="1">
        <v>11023</v>
      </c>
      <c r="B2003" s="1">
        <v>7</v>
      </c>
      <c r="C2003" s="1">
        <v>30</v>
      </c>
      <c r="D2003" s="1">
        <v>4</v>
      </c>
      <c r="E2003" s="1">
        <v>0</v>
      </c>
      <c r="F2003">
        <f t="shared" si="31"/>
        <v>120</v>
      </c>
    </row>
    <row r="2004" spans="1:6" ht="13">
      <c r="A2004" s="1">
        <v>11023</v>
      </c>
      <c r="B2004" s="1">
        <v>43</v>
      </c>
      <c r="C2004" s="1">
        <v>46</v>
      </c>
      <c r="D2004" s="1">
        <v>30</v>
      </c>
      <c r="E2004" s="1">
        <v>0</v>
      </c>
      <c r="F2004">
        <f t="shared" si="31"/>
        <v>1380</v>
      </c>
    </row>
    <row r="2005" spans="1:6" ht="13">
      <c r="A2005" s="1">
        <v>11024</v>
      </c>
      <c r="B2005" s="1">
        <v>26</v>
      </c>
      <c r="C2005" s="1">
        <v>31.23</v>
      </c>
      <c r="D2005" s="1">
        <v>12</v>
      </c>
      <c r="E2005" s="1">
        <v>0</v>
      </c>
      <c r="F2005">
        <f t="shared" si="31"/>
        <v>374.76</v>
      </c>
    </row>
    <row r="2006" spans="1:6" ht="13">
      <c r="A2006" s="1">
        <v>11024</v>
      </c>
      <c r="B2006" s="1">
        <v>33</v>
      </c>
      <c r="C2006" s="1">
        <v>2.5</v>
      </c>
      <c r="D2006" s="1">
        <v>30</v>
      </c>
      <c r="E2006" s="1">
        <v>0</v>
      </c>
      <c r="F2006">
        <f t="shared" si="31"/>
        <v>75</v>
      </c>
    </row>
    <row r="2007" spans="1:6" ht="13">
      <c r="A2007" s="1">
        <v>11024</v>
      </c>
      <c r="B2007" s="1">
        <v>65</v>
      </c>
      <c r="C2007" s="1">
        <v>21.05</v>
      </c>
      <c r="D2007" s="1">
        <v>21</v>
      </c>
      <c r="E2007" s="1">
        <v>0</v>
      </c>
      <c r="F2007">
        <f t="shared" si="31"/>
        <v>442.05</v>
      </c>
    </row>
    <row r="2008" spans="1:6" ht="13">
      <c r="A2008" s="1">
        <v>11024</v>
      </c>
      <c r="B2008" s="1">
        <v>71</v>
      </c>
      <c r="C2008" s="1">
        <v>21.5</v>
      </c>
      <c r="D2008" s="1">
        <v>50</v>
      </c>
      <c r="E2008" s="1">
        <v>0</v>
      </c>
      <c r="F2008">
        <f t="shared" si="31"/>
        <v>1075</v>
      </c>
    </row>
    <row r="2009" spans="1:6" ht="13">
      <c r="A2009" s="1">
        <v>11025</v>
      </c>
      <c r="B2009" s="1">
        <v>1</v>
      </c>
      <c r="C2009" s="1">
        <v>18</v>
      </c>
      <c r="D2009" s="1">
        <v>10</v>
      </c>
      <c r="E2009" s="1">
        <v>0.1</v>
      </c>
      <c r="F2009">
        <f t="shared" si="31"/>
        <v>162</v>
      </c>
    </row>
    <row r="2010" spans="1:6" ht="13">
      <c r="A2010" s="1">
        <v>11025</v>
      </c>
      <c r="B2010" s="1">
        <v>13</v>
      </c>
      <c r="C2010" s="1">
        <v>6</v>
      </c>
      <c r="D2010" s="1">
        <v>20</v>
      </c>
      <c r="E2010" s="1">
        <v>0.1</v>
      </c>
      <c r="F2010">
        <f t="shared" si="31"/>
        <v>108</v>
      </c>
    </row>
    <row r="2011" spans="1:6" ht="13">
      <c r="A2011" s="1">
        <v>11026</v>
      </c>
      <c r="B2011" s="1">
        <v>18</v>
      </c>
      <c r="C2011" s="1">
        <v>62.5</v>
      </c>
      <c r="D2011" s="1">
        <v>8</v>
      </c>
      <c r="E2011" s="1">
        <v>0</v>
      </c>
      <c r="F2011">
        <f t="shared" si="31"/>
        <v>500</v>
      </c>
    </row>
    <row r="2012" spans="1:6" ht="13">
      <c r="A2012" s="1">
        <v>11026</v>
      </c>
      <c r="B2012" s="1">
        <v>51</v>
      </c>
      <c r="C2012" s="1">
        <v>53</v>
      </c>
      <c r="D2012" s="1">
        <v>10</v>
      </c>
      <c r="E2012" s="1">
        <v>0</v>
      </c>
      <c r="F2012">
        <f t="shared" si="31"/>
        <v>530</v>
      </c>
    </row>
    <row r="2013" spans="1:6" ht="13">
      <c r="A2013" s="1">
        <v>11027</v>
      </c>
      <c r="B2013" s="1">
        <v>24</v>
      </c>
      <c r="C2013" s="1">
        <v>4.5</v>
      </c>
      <c r="D2013" s="1">
        <v>30</v>
      </c>
      <c r="E2013" s="1">
        <v>0.25</v>
      </c>
      <c r="F2013">
        <f t="shared" si="31"/>
        <v>101.25</v>
      </c>
    </row>
    <row r="2014" spans="1:6" ht="13">
      <c r="A2014" s="1">
        <v>11027</v>
      </c>
      <c r="B2014" s="1">
        <v>62</v>
      </c>
      <c r="C2014" s="1">
        <v>49.3</v>
      </c>
      <c r="D2014" s="1">
        <v>21</v>
      </c>
      <c r="E2014" s="1">
        <v>0.25</v>
      </c>
      <c r="F2014">
        <f t="shared" si="31"/>
        <v>776.47499999999991</v>
      </c>
    </row>
    <row r="2015" spans="1:6" ht="13">
      <c r="A2015" s="1">
        <v>11028</v>
      </c>
      <c r="B2015" s="1">
        <v>55</v>
      </c>
      <c r="C2015" s="1">
        <v>24</v>
      </c>
      <c r="D2015" s="1">
        <v>35</v>
      </c>
      <c r="E2015" s="1">
        <v>0</v>
      </c>
      <c r="F2015">
        <f t="shared" si="31"/>
        <v>840</v>
      </c>
    </row>
    <row r="2016" spans="1:6" ht="13">
      <c r="A2016" s="1">
        <v>11028</v>
      </c>
      <c r="B2016" s="1">
        <v>59</v>
      </c>
      <c r="C2016" s="1">
        <v>55</v>
      </c>
      <c r="D2016" s="1">
        <v>24</v>
      </c>
      <c r="E2016" s="1">
        <v>0</v>
      </c>
      <c r="F2016">
        <f t="shared" si="31"/>
        <v>1320</v>
      </c>
    </row>
    <row r="2017" spans="1:6" ht="13">
      <c r="A2017" s="1">
        <v>11029</v>
      </c>
      <c r="B2017" s="1">
        <v>56</v>
      </c>
      <c r="C2017" s="1">
        <v>38</v>
      </c>
      <c r="D2017" s="1">
        <v>20</v>
      </c>
      <c r="E2017" s="1">
        <v>0</v>
      </c>
      <c r="F2017">
        <f t="shared" si="31"/>
        <v>760</v>
      </c>
    </row>
    <row r="2018" spans="1:6" ht="13">
      <c r="A2018" s="1">
        <v>11029</v>
      </c>
      <c r="B2018" s="1">
        <v>63</v>
      </c>
      <c r="C2018" s="1">
        <v>43.9</v>
      </c>
      <c r="D2018" s="1">
        <v>12</v>
      </c>
      <c r="E2018" s="1">
        <v>0</v>
      </c>
      <c r="F2018">
        <f t="shared" si="31"/>
        <v>526.79999999999995</v>
      </c>
    </row>
    <row r="2019" spans="1:6" ht="13">
      <c r="A2019" s="1">
        <v>11030</v>
      </c>
      <c r="B2019" s="1">
        <v>2</v>
      </c>
      <c r="C2019" s="1">
        <v>19</v>
      </c>
      <c r="D2019" s="1">
        <v>100</v>
      </c>
      <c r="E2019" s="1">
        <v>0.25</v>
      </c>
      <c r="F2019">
        <f t="shared" si="31"/>
        <v>1425</v>
      </c>
    </row>
    <row r="2020" spans="1:6" ht="13">
      <c r="A2020" s="1">
        <v>11030</v>
      </c>
      <c r="B2020" s="1">
        <v>5</v>
      </c>
      <c r="C2020" s="1">
        <v>21.35</v>
      </c>
      <c r="D2020" s="1">
        <v>70</v>
      </c>
      <c r="E2020" s="1">
        <v>0</v>
      </c>
      <c r="F2020">
        <f t="shared" si="31"/>
        <v>1494.5</v>
      </c>
    </row>
    <row r="2021" spans="1:6" ht="13">
      <c r="A2021" s="1">
        <v>11030</v>
      </c>
      <c r="B2021" s="1">
        <v>29</v>
      </c>
      <c r="C2021" s="1">
        <v>123.79</v>
      </c>
      <c r="D2021" s="1">
        <v>60</v>
      </c>
      <c r="E2021" s="1">
        <v>0.25</v>
      </c>
      <c r="F2021">
        <f t="shared" si="31"/>
        <v>5570.55</v>
      </c>
    </row>
    <row r="2022" spans="1:6" ht="13">
      <c r="A2022" s="1">
        <v>11030</v>
      </c>
      <c r="B2022" s="1">
        <v>59</v>
      </c>
      <c r="C2022" s="1">
        <v>55</v>
      </c>
      <c r="D2022" s="1">
        <v>100</v>
      </c>
      <c r="E2022" s="1">
        <v>0.25</v>
      </c>
      <c r="F2022">
        <f t="shared" si="31"/>
        <v>4125</v>
      </c>
    </row>
    <row r="2023" spans="1:6" ht="13">
      <c r="A2023" s="1">
        <v>11031</v>
      </c>
      <c r="B2023" s="1">
        <v>1</v>
      </c>
      <c r="C2023" s="1">
        <v>18</v>
      </c>
      <c r="D2023" s="1">
        <v>45</v>
      </c>
      <c r="E2023" s="1">
        <v>0</v>
      </c>
      <c r="F2023">
        <f t="shared" si="31"/>
        <v>810</v>
      </c>
    </row>
    <row r="2024" spans="1:6" ht="13">
      <c r="A2024" s="1">
        <v>11031</v>
      </c>
      <c r="B2024" s="1">
        <v>13</v>
      </c>
      <c r="C2024" s="1">
        <v>6</v>
      </c>
      <c r="D2024" s="1">
        <v>80</v>
      </c>
      <c r="E2024" s="1">
        <v>0</v>
      </c>
      <c r="F2024">
        <f t="shared" si="31"/>
        <v>480</v>
      </c>
    </row>
    <row r="2025" spans="1:6" ht="13">
      <c r="A2025" s="1">
        <v>11031</v>
      </c>
      <c r="B2025" s="1">
        <v>24</v>
      </c>
      <c r="C2025" s="1">
        <v>4.5</v>
      </c>
      <c r="D2025" s="1">
        <v>21</v>
      </c>
      <c r="E2025" s="1">
        <v>0</v>
      </c>
      <c r="F2025">
        <f t="shared" si="31"/>
        <v>94.5</v>
      </c>
    </row>
    <row r="2026" spans="1:6" ht="13">
      <c r="A2026" s="1">
        <v>11031</v>
      </c>
      <c r="B2026" s="1">
        <v>64</v>
      </c>
      <c r="C2026" s="1">
        <v>33.25</v>
      </c>
      <c r="D2026" s="1">
        <v>20</v>
      </c>
      <c r="E2026" s="1">
        <v>0</v>
      </c>
      <c r="F2026">
        <f t="shared" si="31"/>
        <v>665</v>
      </c>
    </row>
    <row r="2027" spans="1:6" ht="13">
      <c r="A2027" s="1">
        <v>11031</v>
      </c>
      <c r="B2027" s="1">
        <v>71</v>
      </c>
      <c r="C2027" s="1">
        <v>21.5</v>
      </c>
      <c r="D2027" s="1">
        <v>16</v>
      </c>
      <c r="E2027" s="1">
        <v>0</v>
      </c>
      <c r="F2027">
        <f t="shared" si="31"/>
        <v>344</v>
      </c>
    </row>
    <row r="2028" spans="1:6" ht="13">
      <c r="A2028" s="1">
        <v>11032</v>
      </c>
      <c r="B2028" s="1">
        <v>36</v>
      </c>
      <c r="C2028" s="1">
        <v>19</v>
      </c>
      <c r="D2028" s="1">
        <v>35</v>
      </c>
      <c r="E2028" s="1">
        <v>0</v>
      </c>
      <c r="F2028">
        <f t="shared" si="31"/>
        <v>665</v>
      </c>
    </row>
    <row r="2029" spans="1:6" ht="13">
      <c r="A2029" s="1">
        <v>11032</v>
      </c>
      <c r="B2029" s="1">
        <v>38</v>
      </c>
      <c r="C2029" s="1">
        <v>263.5</v>
      </c>
      <c r="D2029" s="1">
        <v>25</v>
      </c>
      <c r="E2029" s="1">
        <v>0</v>
      </c>
      <c r="F2029">
        <f t="shared" si="31"/>
        <v>6587.5</v>
      </c>
    </row>
    <row r="2030" spans="1:6" ht="13">
      <c r="A2030" s="1">
        <v>11032</v>
      </c>
      <c r="B2030" s="1">
        <v>59</v>
      </c>
      <c r="C2030" s="1">
        <v>55</v>
      </c>
      <c r="D2030" s="1">
        <v>30</v>
      </c>
      <c r="E2030" s="1">
        <v>0</v>
      </c>
      <c r="F2030">
        <f t="shared" si="31"/>
        <v>1650</v>
      </c>
    </row>
    <row r="2031" spans="1:6" ht="13">
      <c r="A2031" s="1">
        <v>11033</v>
      </c>
      <c r="B2031" s="1">
        <v>53</v>
      </c>
      <c r="C2031" s="1">
        <v>32.799999999999997</v>
      </c>
      <c r="D2031" s="1">
        <v>70</v>
      </c>
      <c r="E2031" s="1">
        <v>0.1</v>
      </c>
      <c r="F2031">
        <f t="shared" si="31"/>
        <v>2066.4</v>
      </c>
    </row>
    <row r="2032" spans="1:6" ht="13">
      <c r="A2032" s="1">
        <v>11033</v>
      </c>
      <c r="B2032" s="1">
        <v>69</v>
      </c>
      <c r="C2032" s="1">
        <v>36</v>
      </c>
      <c r="D2032" s="1">
        <v>36</v>
      </c>
      <c r="E2032" s="1">
        <v>0.1</v>
      </c>
      <c r="F2032">
        <f t="shared" si="31"/>
        <v>1166.4000000000001</v>
      </c>
    </row>
    <row r="2033" spans="1:6" ht="13">
      <c r="A2033" s="1">
        <v>11034</v>
      </c>
      <c r="B2033" s="1">
        <v>21</v>
      </c>
      <c r="C2033" s="1">
        <v>10</v>
      </c>
      <c r="D2033" s="1">
        <v>15</v>
      </c>
      <c r="E2033" s="1">
        <v>0.1</v>
      </c>
      <c r="F2033">
        <f t="shared" si="31"/>
        <v>135</v>
      </c>
    </row>
    <row r="2034" spans="1:6" ht="13">
      <c r="A2034" s="1">
        <v>11034</v>
      </c>
      <c r="B2034" s="1">
        <v>44</v>
      </c>
      <c r="C2034" s="1">
        <v>19.45</v>
      </c>
      <c r="D2034" s="1">
        <v>12</v>
      </c>
      <c r="E2034" s="1">
        <v>0</v>
      </c>
      <c r="F2034">
        <f t="shared" si="31"/>
        <v>233.39999999999998</v>
      </c>
    </row>
    <row r="2035" spans="1:6" ht="13">
      <c r="A2035" s="1">
        <v>11034</v>
      </c>
      <c r="B2035" s="1">
        <v>61</v>
      </c>
      <c r="C2035" s="1">
        <v>28.5</v>
      </c>
      <c r="D2035" s="1">
        <v>6</v>
      </c>
      <c r="E2035" s="1">
        <v>0</v>
      </c>
      <c r="F2035">
        <f t="shared" si="31"/>
        <v>171</v>
      </c>
    </row>
    <row r="2036" spans="1:6" ht="13">
      <c r="A2036" s="1">
        <v>11035</v>
      </c>
      <c r="B2036" s="1">
        <v>1</v>
      </c>
      <c r="C2036" s="1">
        <v>18</v>
      </c>
      <c r="D2036" s="1">
        <v>10</v>
      </c>
      <c r="E2036" s="1">
        <v>0</v>
      </c>
      <c r="F2036">
        <f t="shared" si="31"/>
        <v>180</v>
      </c>
    </row>
    <row r="2037" spans="1:6" ht="13">
      <c r="A2037" s="1">
        <v>11035</v>
      </c>
      <c r="B2037" s="1">
        <v>35</v>
      </c>
      <c r="C2037" s="1">
        <v>18</v>
      </c>
      <c r="D2037" s="1">
        <v>60</v>
      </c>
      <c r="E2037" s="1">
        <v>0</v>
      </c>
      <c r="F2037">
        <f t="shared" si="31"/>
        <v>1080</v>
      </c>
    </row>
    <row r="2038" spans="1:6" ht="13">
      <c r="A2038" s="1">
        <v>11035</v>
      </c>
      <c r="B2038" s="1">
        <v>42</v>
      </c>
      <c r="C2038" s="1">
        <v>14</v>
      </c>
      <c r="D2038" s="1">
        <v>30</v>
      </c>
      <c r="E2038" s="1">
        <v>0</v>
      </c>
      <c r="F2038">
        <f t="shared" si="31"/>
        <v>420</v>
      </c>
    </row>
    <row r="2039" spans="1:6" ht="13">
      <c r="A2039" s="1">
        <v>11035</v>
      </c>
      <c r="B2039" s="1">
        <v>54</v>
      </c>
      <c r="C2039" s="1">
        <v>7.45</v>
      </c>
      <c r="D2039" s="1">
        <v>10</v>
      </c>
      <c r="E2039" s="1">
        <v>0</v>
      </c>
      <c r="F2039">
        <f t="shared" si="31"/>
        <v>74.5</v>
      </c>
    </row>
    <row r="2040" spans="1:6" ht="13">
      <c r="A2040" s="1">
        <v>11036</v>
      </c>
      <c r="B2040" s="1">
        <v>13</v>
      </c>
      <c r="C2040" s="1">
        <v>6</v>
      </c>
      <c r="D2040" s="1">
        <v>7</v>
      </c>
      <c r="E2040" s="1">
        <v>0</v>
      </c>
      <c r="F2040">
        <f t="shared" si="31"/>
        <v>42</v>
      </c>
    </row>
    <row r="2041" spans="1:6" ht="13">
      <c r="A2041" s="1">
        <v>11036</v>
      </c>
      <c r="B2041" s="1">
        <v>59</v>
      </c>
      <c r="C2041" s="1">
        <v>55</v>
      </c>
      <c r="D2041" s="1">
        <v>30</v>
      </c>
      <c r="E2041" s="1">
        <v>0</v>
      </c>
      <c r="F2041">
        <f t="shared" si="31"/>
        <v>1650</v>
      </c>
    </row>
    <row r="2042" spans="1:6" ht="13">
      <c r="A2042" s="1">
        <v>11037</v>
      </c>
      <c r="B2042" s="1">
        <v>70</v>
      </c>
      <c r="C2042" s="1">
        <v>15</v>
      </c>
      <c r="D2042" s="1">
        <v>4</v>
      </c>
      <c r="E2042" s="1">
        <v>0</v>
      </c>
      <c r="F2042">
        <f t="shared" si="31"/>
        <v>60</v>
      </c>
    </row>
    <row r="2043" spans="1:6" ht="13">
      <c r="A2043" s="1">
        <v>11038</v>
      </c>
      <c r="B2043" s="1">
        <v>40</v>
      </c>
      <c r="C2043" s="1">
        <v>18.399999999999999</v>
      </c>
      <c r="D2043" s="1">
        <v>5</v>
      </c>
      <c r="E2043" s="1">
        <v>0.2</v>
      </c>
      <c r="F2043">
        <f t="shared" si="31"/>
        <v>73.600000000000009</v>
      </c>
    </row>
    <row r="2044" spans="1:6" ht="13">
      <c r="A2044" s="1">
        <v>11038</v>
      </c>
      <c r="B2044" s="1">
        <v>52</v>
      </c>
      <c r="C2044" s="1">
        <v>7</v>
      </c>
      <c r="D2044" s="1">
        <v>2</v>
      </c>
      <c r="E2044" s="1">
        <v>0</v>
      </c>
      <c r="F2044">
        <f t="shared" si="31"/>
        <v>14</v>
      </c>
    </row>
    <row r="2045" spans="1:6" ht="13">
      <c r="A2045" s="1">
        <v>11038</v>
      </c>
      <c r="B2045" s="1">
        <v>71</v>
      </c>
      <c r="C2045" s="1">
        <v>21.5</v>
      </c>
      <c r="D2045" s="1">
        <v>30</v>
      </c>
      <c r="E2045" s="1">
        <v>0</v>
      </c>
      <c r="F2045">
        <f t="shared" si="31"/>
        <v>645</v>
      </c>
    </row>
    <row r="2046" spans="1:6" ht="13">
      <c r="A2046" s="1">
        <v>11039</v>
      </c>
      <c r="B2046" s="1">
        <v>28</v>
      </c>
      <c r="C2046" s="1">
        <v>45.6</v>
      </c>
      <c r="D2046" s="1">
        <v>20</v>
      </c>
      <c r="E2046" s="1">
        <v>0</v>
      </c>
      <c r="F2046">
        <f t="shared" si="31"/>
        <v>912</v>
      </c>
    </row>
    <row r="2047" spans="1:6" ht="13">
      <c r="A2047" s="1">
        <v>11039</v>
      </c>
      <c r="B2047" s="1">
        <v>35</v>
      </c>
      <c r="C2047" s="1">
        <v>18</v>
      </c>
      <c r="D2047" s="1">
        <v>24</v>
      </c>
      <c r="E2047" s="1">
        <v>0</v>
      </c>
      <c r="F2047">
        <f t="shared" si="31"/>
        <v>432</v>
      </c>
    </row>
    <row r="2048" spans="1:6" ht="13">
      <c r="A2048" s="1">
        <v>11039</v>
      </c>
      <c r="B2048" s="1">
        <v>49</v>
      </c>
      <c r="C2048" s="1">
        <v>20</v>
      </c>
      <c r="D2048" s="1">
        <v>60</v>
      </c>
      <c r="E2048" s="1">
        <v>0</v>
      </c>
      <c r="F2048">
        <f t="shared" si="31"/>
        <v>1200</v>
      </c>
    </row>
    <row r="2049" spans="1:6" ht="13">
      <c r="A2049" s="1">
        <v>11039</v>
      </c>
      <c r="B2049" s="1">
        <v>57</v>
      </c>
      <c r="C2049" s="1">
        <v>19.5</v>
      </c>
      <c r="D2049" s="1">
        <v>28</v>
      </c>
      <c r="E2049" s="1">
        <v>0</v>
      </c>
      <c r="F2049">
        <f t="shared" si="31"/>
        <v>546</v>
      </c>
    </row>
    <row r="2050" spans="1:6" ht="13">
      <c r="A2050" s="1">
        <v>11040</v>
      </c>
      <c r="B2050" s="1">
        <v>21</v>
      </c>
      <c r="C2050" s="1">
        <v>10</v>
      </c>
      <c r="D2050" s="1">
        <v>20</v>
      </c>
      <c r="E2050" s="1">
        <v>0</v>
      </c>
      <c r="F2050">
        <f t="shared" si="31"/>
        <v>200</v>
      </c>
    </row>
    <row r="2051" spans="1:6" ht="13">
      <c r="A2051" s="1">
        <v>11041</v>
      </c>
      <c r="B2051" s="1">
        <v>2</v>
      </c>
      <c r="C2051" s="1">
        <v>19</v>
      </c>
      <c r="D2051" s="1">
        <v>30</v>
      </c>
      <c r="E2051" s="1">
        <v>0.2</v>
      </c>
      <c r="F2051">
        <f t="shared" ref="F2051:F2114" si="32">C2051*D2051*(1-E2051)</f>
        <v>456</v>
      </c>
    </row>
    <row r="2052" spans="1:6" ht="13">
      <c r="A2052" s="1">
        <v>11041</v>
      </c>
      <c r="B2052" s="1">
        <v>63</v>
      </c>
      <c r="C2052" s="1">
        <v>43.9</v>
      </c>
      <c r="D2052" s="1">
        <v>30</v>
      </c>
      <c r="E2052" s="1">
        <v>0</v>
      </c>
      <c r="F2052">
        <f t="shared" si="32"/>
        <v>1317</v>
      </c>
    </row>
    <row r="2053" spans="1:6" ht="13">
      <c r="A2053" s="1">
        <v>11042</v>
      </c>
      <c r="B2053" s="1">
        <v>44</v>
      </c>
      <c r="C2053" s="1">
        <v>19.45</v>
      </c>
      <c r="D2053" s="1">
        <v>15</v>
      </c>
      <c r="E2053" s="1">
        <v>0</v>
      </c>
      <c r="F2053">
        <f t="shared" si="32"/>
        <v>291.75</v>
      </c>
    </row>
    <row r="2054" spans="1:6" ht="13">
      <c r="A2054" s="1">
        <v>11042</v>
      </c>
      <c r="B2054" s="1">
        <v>61</v>
      </c>
      <c r="C2054" s="1">
        <v>28.5</v>
      </c>
      <c r="D2054" s="1">
        <v>4</v>
      </c>
      <c r="E2054" s="1">
        <v>0</v>
      </c>
      <c r="F2054">
        <f t="shared" si="32"/>
        <v>114</v>
      </c>
    </row>
    <row r="2055" spans="1:6" ht="13">
      <c r="A2055" s="1">
        <v>11043</v>
      </c>
      <c r="B2055" s="1">
        <v>11</v>
      </c>
      <c r="C2055" s="1">
        <v>21</v>
      </c>
      <c r="D2055" s="1">
        <v>10</v>
      </c>
      <c r="E2055" s="1">
        <v>0</v>
      </c>
      <c r="F2055">
        <f t="shared" si="32"/>
        <v>210</v>
      </c>
    </row>
    <row r="2056" spans="1:6" ht="13">
      <c r="A2056" s="1">
        <v>11044</v>
      </c>
      <c r="B2056" s="1">
        <v>62</v>
      </c>
      <c r="C2056" s="1">
        <v>49.3</v>
      </c>
      <c r="D2056" s="1">
        <v>12</v>
      </c>
      <c r="E2056" s="1">
        <v>0</v>
      </c>
      <c r="F2056">
        <f t="shared" si="32"/>
        <v>591.59999999999991</v>
      </c>
    </row>
    <row r="2057" spans="1:6" ht="13">
      <c r="A2057" s="1">
        <v>11045</v>
      </c>
      <c r="B2057" s="1">
        <v>33</v>
      </c>
      <c r="C2057" s="1">
        <v>2.5</v>
      </c>
      <c r="D2057" s="1">
        <v>15</v>
      </c>
      <c r="E2057" s="1">
        <v>0</v>
      </c>
      <c r="F2057">
        <f t="shared" si="32"/>
        <v>37.5</v>
      </c>
    </row>
    <row r="2058" spans="1:6" ht="13">
      <c r="A2058" s="1">
        <v>11045</v>
      </c>
      <c r="B2058" s="1">
        <v>51</v>
      </c>
      <c r="C2058" s="1">
        <v>53</v>
      </c>
      <c r="D2058" s="1">
        <v>24</v>
      </c>
      <c r="E2058" s="1">
        <v>0</v>
      </c>
      <c r="F2058">
        <f t="shared" si="32"/>
        <v>1272</v>
      </c>
    </row>
    <row r="2059" spans="1:6" ht="13">
      <c r="A2059" s="1">
        <v>11046</v>
      </c>
      <c r="B2059" s="1">
        <v>12</v>
      </c>
      <c r="C2059" s="1">
        <v>38</v>
      </c>
      <c r="D2059" s="1">
        <v>20</v>
      </c>
      <c r="E2059" s="1">
        <v>0.05</v>
      </c>
      <c r="F2059">
        <f t="shared" si="32"/>
        <v>722</v>
      </c>
    </row>
    <row r="2060" spans="1:6" ht="13">
      <c r="A2060" s="1">
        <v>11046</v>
      </c>
      <c r="B2060" s="1">
        <v>32</v>
      </c>
      <c r="C2060" s="1">
        <v>32</v>
      </c>
      <c r="D2060" s="1">
        <v>15</v>
      </c>
      <c r="E2060" s="1">
        <v>0.05</v>
      </c>
      <c r="F2060">
        <f t="shared" si="32"/>
        <v>456</v>
      </c>
    </row>
    <row r="2061" spans="1:6" ht="13">
      <c r="A2061" s="1">
        <v>11046</v>
      </c>
      <c r="B2061" s="1">
        <v>35</v>
      </c>
      <c r="C2061" s="1">
        <v>18</v>
      </c>
      <c r="D2061" s="1">
        <v>18</v>
      </c>
      <c r="E2061" s="1">
        <v>0.05</v>
      </c>
      <c r="F2061">
        <f t="shared" si="32"/>
        <v>307.8</v>
      </c>
    </row>
    <row r="2062" spans="1:6" ht="13">
      <c r="A2062" s="1">
        <v>11047</v>
      </c>
      <c r="B2062" s="1">
        <v>1</v>
      </c>
      <c r="C2062" s="1">
        <v>18</v>
      </c>
      <c r="D2062" s="1">
        <v>25</v>
      </c>
      <c r="E2062" s="1">
        <v>0.25</v>
      </c>
      <c r="F2062">
        <f t="shared" si="32"/>
        <v>337.5</v>
      </c>
    </row>
    <row r="2063" spans="1:6" ht="13">
      <c r="A2063" s="1">
        <v>11047</v>
      </c>
      <c r="B2063" s="1">
        <v>5</v>
      </c>
      <c r="C2063" s="1">
        <v>21.35</v>
      </c>
      <c r="D2063" s="1">
        <v>30</v>
      </c>
      <c r="E2063" s="1">
        <v>0.25</v>
      </c>
      <c r="F2063">
        <f t="shared" si="32"/>
        <v>480.375</v>
      </c>
    </row>
    <row r="2064" spans="1:6" ht="13">
      <c r="A2064" s="1">
        <v>11048</v>
      </c>
      <c r="B2064" s="1">
        <v>68</v>
      </c>
      <c r="C2064" s="1">
        <v>12.5</v>
      </c>
      <c r="D2064" s="1">
        <v>42</v>
      </c>
      <c r="E2064" s="1">
        <v>0</v>
      </c>
      <c r="F2064">
        <f t="shared" si="32"/>
        <v>525</v>
      </c>
    </row>
    <row r="2065" spans="1:6" ht="13">
      <c r="A2065" s="1">
        <v>11049</v>
      </c>
      <c r="B2065" s="1">
        <v>2</v>
      </c>
      <c r="C2065" s="1">
        <v>19</v>
      </c>
      <c r="D2065" s="1">
        <v>10</v>
      </c>
      <c r="E2065" s="1">
        <v>0.2</v>
      </c>
      <c r="F2065">
        <f t="shared" si="32"/>
        <v>152</v>
      </c>
    </row>
    <row r="2066" spans="1:6" ht="13">
      <c r="A2066" s="1">
        <v>11049</v>
      </c>
      <c r="B2066" s="1">
        <v>12</v>
      </c>
      <c r="C2066" s="1">
        <v>38</v>
      </c>
      <c r="D2066" s="1">
        <v>4</v>
      </c>
      <c r="E2066" s="1">
        <v>0.2</v>
      </c>
      <c r="F2066">
        <f t="shared" si="32"/>
        <v>121.60000000000001</v>
      </c>
    </row>
    <row r="2067" spans="1:6" ht="13">
      <c r="A2067" s="1">
        <v>11050</v>
      </c>
      <c r="B2067" s="1">
        <v>76</v>
      </c>
      <c r="C2067" s="1">
        <v>18</v>
      </c>
      <c r="D2067" s="1">
        <v>50</v>
      </c>
      <c r="E2067" s="1">
        <v>0.1</v>
      </c>
      <c r="F2067">
        <f t="shared" si="32"/>
        <v>810</v>
      </c>
    </row>
    <row r="2068" spans="1:6" ht="13">
      <c r="A2068" s="1">
        <v>11051</v>
      </c>
      <c r="B2068" s="1">
        <v>24</v>
      </c>
      <c r="C2068" s="1">
        <v>4.5</v>
      </c>
      <c r="D2068" s="1">
        <v>10</v>
      </c>
      <c r="E2068" s="1">
        <v>0.2</v>
      </c>
      <c r="F2068">
        <f t="shared" si="32"/>
        <v>36</v>
      </c>
    </row>
    <row r="2069" spans="1:6" ht="13">
      <c r="A2069" s="1">
        <v>11052</v>
      </c>
      <c r="B2069" s="1">
        <v>43</v>
      </c>
      <c r="C2069" s="1">
        <v>46</v>
      </c>
      <c r="D2069" s="1">
        <v>30</v>
      </c>
      <c r="E2069" s="1">
        <v>0.2</v>
      </c>
      <c r="F2069">
        <f t="shared" si="32"/>
        <v>1104</v>
      </c>
    </row>
    <row r="2070" spans="1:6" ht="13">
      <c r="A2070" s="1">
        <v>11052</v>
      </c>
      <c r="B2070" s="1">
        <v>61</v>
      </c>
      <c r="C2070" s="1">
        <v>28.5</v>
      </c>
      <c r="D2070" s="1">
        <v>10</v>
      </c>
      <c r="E2070" s="1">
        <v>0.2</v>
      </c>
      <c r="F2070">
        <f t="shared" si="32"/>
        <v>228</v>
      </c>
    </row>
    <row r="2071" spans="1:6" ht="13">
      <c r="A2071" s="1">
        <v>11053</v>
      </c>
      <c r="B2071" s="1">
        <v>18</v>
      </c>
      <c r="C2071" s="1">
        <v>62.5</v>
      </c>
      <c r="D2071" s="1">
        <v>35</v>
      </c>
      <c r="E2071" s="1">
        <v>0.2</v>
      </c>
      <c r="F2071">
        <f t="shared" si="32"/>
        <v>1750</v>
      </c>
    </row>
    <row r="2072" spans="1:6" ht="13">
      <c r="A2072" s="1">
        <v>11053</v>
      </c>
      <c r="B2072" s="1">
        <v>32</v>
      </c>
      <c r="C2072" s="1">
        <v>32</v>
      </c>
      <c r="D2072" s="1">
        <v>20</v>
      </c>
      <c r="E2072" s="1">
        <v>0</v>
      </c>
      <c r="F2072">
        <f t="shared" si="32"/>
        <v>640</v>
      </c>
    </row>
    <row r="2073" spans="1:6" ht="13">
      <c r="A2073" s="1">
        <v>11053</v>
      </c>
      <c r="B2073" s="1">
        <v>64</v>
      </c>
      <c r="C2073" s="1">
        <v>33.25</v>
      </c>
      <c r="D2073" s="1">
        <v>25</v>
      </c>
      <c r="E2073" s="1">
        <v>0.2</v>
      </c>
      <c r="F2073">
        <f t="shared" si="32"/>
        <v>665</v>
      </c>
    </row>
    <row r="2074" spans="1:6" ht="13">
      <c r="A2074" s="1">
        <v>11054</v>
      </c>
      <c r="B2074" s="1">
        <v>33</v>
      </c>
      <c r="C2074" s="1">
        <v>2.5</v>
      </c>
      <c r="D2074" s="1">
        <v>10</v>
      </c>
      <c r="E2074" s="1">
        <v>0</v>
      </c>
      <c r="F2074">
        <f t="shared" si="32"/>
        <v>25</v>
      </c>
    </row>
    <row r="2075" spans="1:6" ht="13">
      <c r="A2075" s="1">
        <v>11054</v>
      </c>
      <c r="B2075" s="1">
        <v>67</v>
      </c>
      <c r="C2075" s="1">
        <v>14</v>
      </c>
      <c r="D2075" s="1">
        <v>20</v>
      </c>
      <c r="E2075" s="1">
        <v>0</v>
      </c>
      <c r="F2075">
        <f t="shared" si="32"/>
        <v>280</v>
      </c>
    </row>
    <row r="2076" spans="1:6" ht="13">
      <c r="A2076" s="1">
        <v>11055</v>
      </c>
      <c r="B2076" s="1">
        <v>24</v>
      </c>
      <c r="C2076" s="1">
        <v>4.5</v>
      </c>
      <c r="D2076" s="1">
        <v>15</v>
      </c>
      <c r="E2076" s="1">
        <v>0</v>
      </c>
      <c r="F2076">
        <f t="shared" si="32"/>
        <v>67.5</v>
      </c>
    </row>
    <row r="2077" spans="1:6" ht="13">
      <c r="A2077" s="1">
        <v>11055</v>
      </c>
      <c r="B2077" s="1">
        <v>25</v>
      </c>
      <c r="C2077" s="1">
        <v>14</v>
      </c>
      <c r="D2077" s="1">
        <v>15</v>
      </c>
      <c r="E2077" s="1">
        <v>0</v>
      </c>
      <c r="F2077">
        <f t="shared" si="32"/>
        <v>210</v>
      </c>
    </row>
    <row r="2078" spans="1:6" ht="13">
      <c r="A2078" s="1">
        <v>11055</v>
      </c>
      <c r="B2078" s="1">
        <v>51</v>
      </c>
      <c r="C2078" s="1">
        <v>53</v>
      </c>
      <c r="D2078" s="1">
        <v>20</v>
      </c>
      <c r="E2078" s="1">
        <v>0</v>
      </c>
      <c r="F2078">
        <f t="shared" si="32"/>
        <v>1060</v>
      </c>
    </row>
    <row r="2079" spans="1:6" ht="13">
      <c r="A2079" s="1">
        <v>11055</v>
      </c>
      <c r="B2079" s="1">
        <v>57</v>
      </c>
      <c r="C2079" s="1">
        <v>19.5</v>
      </c>
      <c r="D2079" s="1">
        <v>20</v>
      </c>
      <c r="E2079" s="1">
        <v>0</v>
      </c>
      <c r="F2079">
        <f t="shared" si="32"/>
        <v>390</v>
      </c>
    </row>
    <row r="2080" spans="1:6" ht="13">
      <c r="A2080" s="1">
        <v>11056</v>
      </c>
      <c r="B2080" s="1">
        <v>7</v>
      </c>
      <c r="C2080" s="1">
        <v>30</v>
      </c>
      <c r="D2080" s="1">
        <v>40</v>
      </c>
      <c r="E2080" s="1">
        <v>0</v>
      </c>
      <c r="F2080">
        <f t="shared" si="32"/>
        <v>1200</v>
      </c>
    </row>
    <row r="2081" spans="1:6" ht="13">
      <c r="A2081" s="1">
        <v>11056</v>
      </c>
      <c r="B2081" s="1">
        <v>55</v>
      </c>
      <c r="C2081" s="1">
        <v>24</v>
      </c>
      <c r="D2081" s="1">
        <v>35</v>
      </c>
      <c r="E2081" s="1">
        <v>0</v>
      </c>
      <c r="F2081">
        <f t="shared" si="32"/>
        <v>840</v>
      </c>
    </row>
    <row r="2082" spans="1:6" ht="13">
      <c r="A2082" s="1">
        <v>11056</v>
      </c>
      <c r="B2082" s="1">
        <v>60</v>
      </c>
      <c r="C2082" s="1">
        <v>34</v>
      </c>
      <c r="D2082" s="1">
        <v>50</v>
      </c>
      <c r="E2082" s="1">
        <v>0</v>
      </c>
      <c r="F2082">
        <f t="shared" si="32"/>
        <v>1700</v>
      </c>
    </row>
    <row r="2083" spans="1:6" ht="13">
      <c r="A2083" s="1">
        <v>11057</v>
      </c>
      <c r="B2083" s="1">
        <v>70</v>
      </c>
      <c r="C2083" s="1">
        <v>15</v>
      </c>
      <c r="D2083" s="1">
        <v>3</v>
      </c>
      <c r="E2083" s="1">
        <v>0</v>
      </c>
      <c r="F2083">
        <f t="shared" si="32"/>
        <v>45</v>
      </c>
    </row>
    <row r="2084" spans="1:6" ht="13">
      <c r="A2084" s="1">
        <v>11058</v>
      </c>
      <c r="B2084" s="1">
        <v>21</v>
      </c>
      <c r="C2084" s="1">
        <v>10</v>
      </c>
      <c r="D2084" s="1">
        <v>3</v>
      </c>
      <c r="E2084" s="1">
        <v>0</v>
      </c>
      <c r="F2084">
        <f t="shared" si="32"/>
        <v>30</v>
      </c>
    </row>
    <row r="2085" spans="1:6" ht="13">
      <c r="A2085" s="1">
        <v>11058</v>
      </c>
      <c r="B2085" s="1">
        <v>60</v>
      </c>
      <c r="C2085" s="1">
        <v>34</v>
      </c>
      <c r="D2085" s="1">
        <v>21</v>
      </c>
      <c r="E2085" s="1">
        <v>0</v>
      </c>
      <c r="F2085">
        <f t="shared" si="32"/>
        <v>714</v>
      </c>
    </row>
    <row r="2086" spans="1:6" ht="13">
      <c r="A2086" s="1">
        <v>11058</v>
      </c>
      <c r="B2086" s="1">
        <v>61</v>
      </c>
      <c r="C2086" s="1">
        <v>28.5</v>
      </c>
      <c r="D2086" s="1">
        <v>4</v>
      </c>
      <c r="E2086" s="1">
        <v>0</v>
      </c>
      <c r="F2086">
        <f t="shared" si="32"/>
        <v>114</v>
      </c>
    </row>
    <row r="2087" spans="1:6" ht="13">
      <c r="A2087" s="1">
        <v>11059</v>
      </c>
      <c r="B2087" s="1">
        <v>13</v>
      </c>
      <c r="C2087" s="1">
        <v>6</v>
      </c>
      <c r="D2087" s="1">
        <v>30</v>
      </c>
      <c r="E2087" s="1">
        <v>0</v>
      </c>
      <c r="F2087">
        <f t="shared" si="32"/>
        <v>180</v>
      </c>
    </row>
    <row r="2088" spans="1:6" ht="13">
      <c r="A2088" s="1">
        <v>11059</v>
      </c>
      <c r="B2088" s="1">
        <v>17</v>
      </c>
      <c r="C2088" s="1">
        <v>39</v>
      </c>
      <c r="D2088" s="1">
        <v>12</v>
      </c>
      <c r="E2088" s="1">
        <v>0</v>
      </c>
      <c r="F2088">
        <f t="shared" si="32"/>
        <v>468</v>
      </c>
    </row>
    <row r="2089" spans="1:6" ht="13">
      <c r="A2089" s="1">
        <v>11059</v>
      </c>
      <c r="B2089" s="1">
        <v>60</v>
      </c>
      <c r="C2089" s="1">
        <v>34</v>
      </c>
      <c r="D2089" s="1">
        <v>35</v>
      </c>
      <c r="E2089" s="1">
        <v>0</v>
      </c>
      <c r="F2089">
        <f t="shared" si="32"/>
        <v>1190</v>
      </c>
    </row>
    <row r="2090" spans="1:6" ht="13">
      <c r="A2090" s="1">
        <v>11060</v>
      </c>
      <c r="B2090" s="1">
        <v>60</v>
      </c>
      <c r="C2090" s="1">
        <v>34</v>
      </c>
      <c r="D2090" s="1">
        <v>4</v>
      </c>
      <c r="E2090" s="1">
        <v>0</v>
      </c>
      <c r="F2090">
        <f t="shared" si="32"/>
        <v>136</v>
      </c>
    </row>
    <row r="2091" spans="1:6" ht="13">
      <c r="A2091" s="1">
        <v>11060</v>
      </c>
      <c r="B2091" s="1">
        <v>77</v>
      </c>
      <c r="C2091" s="1">
        <v>13</v>
      </c>
      <c r="D2091" s="1">
        <v>10</v>
      </c>
      <c r="E2091" s="1">
        <v>0</v>
      </c>
      <c r="F2091">
        <f t="shared" si="32"/>
        <v>130</v>
      </c>
    </row>
    <row r="2092" spans="1:6" ht="13">
      <c r="A2092" s="1">
        <v>11061</v>
      </c>
      <c r="B2092" s="1">
        <v>60</v>
      </c>
      <c r="C2092" s="1">
        <v>34</v>
      </c>
      <c r="D2092" s="1">
        <v>15</v>
      </c>
      <c r="E2092" s="1">
        <v>0</v>
      </c>
      <c r="F2092">
        <f t="shared" si="32"/>
        <v>510</v>
      </c>
    </row>
    <row r="2093" spans="1:6" ht="13">
      <c r="A2093" s="1">
        <v>11062</v>
      </c>
      <c r="B2093" s="1">
        <v>53</v>
      </c>
      <c r="C2093" s="1">
        <v>32.799999999999997</v>
      </c>
      <c r="D2093" s="1">
        <v>10</v>
      </c>
      <c r="E2093" s="1">
        <v>0.2</v>
      </c>
      <c r="F2093">
        <f t="shared" si="32"/>
        <v>262.40000000000003</v>
      </c>
    </row>
    <row r="2094" spans="1:6" ht="13">
      <c r="A2094" s="1">
        <v>11062</v>
      </c>
      <c r="B2094" s="1">
        <v>70</v>
      </c>
      <c r="C2094" s="1">
        <v>15</v>
      </c>
      <c r="D2094" s="1">
        <v>12</v>
      </c>
      <c r="E2094" s="1">
        <v>0.2</v>
      </c>
      <c r="F2094">
        <f t="shared" si="32"/>
        <v>144</v>
      </c>
    </row>
    <row r="2095" spans="1:6" ht="13">
      <c r="A2095" s="1">
        <v>11063</v>
      </c>
      <c r="B2095" s="1">
        <v>34</v>
      </c>
      <c r="C2095" s="1">
        <v>14</v>
      </c>
      <c r="D2095" s="1">
        <v>30</v>
      </c>
      <c r="E2095" s="1">
        <v>0</v>
      </c>
      <c r="F2095">
        <f t="shared" si="32"/>
        <v>420</v>
      </c>
    </row>
    <row r="2096" spans="1:6" ht="13">
      <c r="A2096" s="1">
        <v>11063</v>
      </c>
      <c r="B2096" s="1">
        <v>40</v>
      </c>
      <c r="C2096" s="1">
        <v>18.399999999999999</v>
      </c>
      <c r="D2096" s="1">
        <v>40</v>
      </c>
      <c r="E2096" s="1">
        <v>0.1</v>
      </c>
      <c r="F2096">
        <f t="shared" si="32"/>
        <v>662.4</v>
      </c>
    </row>
    <row r="2097" spans="1:6" ht="13">
      <c r="A2097" s="1">
        <v>11063</v>
      </c>
      <c r="B2097" s="1">
        <v>41</v>
      </c>
      <c r="C2097" s="1">
        <v>9.65</v>
      </c>
      <c r="D2097" s="1">
        <v>30</v>
      </c>
      <c r="E2097" s="1">
        <v>0.1</v>
      </c>
      <c r="F2097">
        <f t="shared" si="32"/>
        <v>260.55</v>
      </c>
    </row>
    <row r="2098" spans="1:6" ht="13">
      <c r="A2098" s="1">
        <v>11064</v>
      </c>
      <c r="B2098" s="1">
        <v>17</v>
      </c>
      <c r="C2098" s="1">
        <v>39</v>
      </c>
      <c r="D2098" s="1">
        <v>77</v>
      </c>
      <c r="E2098" s="1">
        <v>0.1</v>
      </c>
      <c r="F2098">
        <f t="shared" si="32"/>
        <v>2702.7000000000003</v>
      </c>
    </row>
    <row r="2099" spans="1:6" ht="13">
      <c r="A2099" s="1">
        <v>11064</v>
      </c>
      <c r="B2099" s="1">
        <v>41</v>
      </c>
      <c r="C2099" s="1">
        <v>9.65</v>
      </c>
      <c r="D2099" s="1">
        <v>12</v>
      </c>
      <c r="E2099" s="1">
        <v>0</v>
      </c>
      <c r="F2099">
        <f t="shared" si="32"/>
        <v>115.80000000000001</v>
      </c>
    </row>
    <row r="2100" spans="1:6" ht="13">
      <c r="A2100" s="1">
        <v>11064</v>
      </c>
      <c r="B2100" s="1">
        <v>53</v>
      </c>
      <c r="C2100" s="1">
        <v>32.799999999999997</v>
      </c>
      <c r="D2100" s="1">
        <v>25</v>
      </c>
      <c r="E2100" s="1">
        <v>0.1</v>
      </c>
      <c r="F2100">
        <f t="shared" si="32"/>
        <v>737.99999999999989</v>
      </c>
    </row>
    <row r="2101" spans="1:6" ht="13">
      <c r="A2101" s="1">
        <v>11064</v>
      </c>
      <c r="B2101" s="1">
        <v>55</v>
      </c>
      <c r="C2101" s="1">
        <v>24</v>
      </c>
      <c r="D2101" s="1">
        <v>4</v>
      </c>
      <c r="E2101" s="1">
        <v>0.1</v>
      </c>
      <c r="F2101">
        <f t="shared" si="32"/>
        <v>86.4</v>
      </c>
    </row>
    <row r="2102" spans="1:6" ht="13">
      <c r="A2102" s="1">
        <v>11064</v>
      </c>
      <c r="B2102" s="1">
        <v>68</v>
      </c>
      <c r="C2102" s="1">
        <v>12.5</v>
      </c>
      <c r="D2102" s="1">
        <v>55</v>
      </c>
      <c r="E2102" s="1">
        <v>0</v>
      </c>
      <c r="F2102">
        <f t="shared" si="32"/>
        <v>687.5</v>
      </c>
    </row>
    <row r="2103" spans="1:6" ht="13">
      <c r="A2103" s="1">
        <v>11065</v>
      </c>
      <c r="B2103" s="1">
        <v>30</v>
      </c>
      <c r="C2103" s="1">
        <v>25.89</v>
      </c>
      <c r="D2103" s="1">
        <v>4</v>
      </c>
      <c r="E2103" s="1">
        <v>0.25</v>
      </c>
      <c r="F2103">
        <f t="shared" si="32"/>
        <v>77.67</v>
      </c>
    </row>
    <row r="2104" spans="1:6" ht="13">
      <c r="A2104" s="1">
        <v>11065</v>
      </c>
      <c r="B2104" s="1">
        <v>54</v>
      </c>
      <c r="C2104" s="1">
        <v>7.45</v>
      </c>
      <c r="D2104" s="1">
        <v>20</v>
      </c>
      <c r="E2104" s="1">
        <v>0.25</v>
      </c>
      <c r="F2104">
        <f t="shared" si="32"/>
        <v>111.75</v>
      </c>
    </row>
    <row r="2105" spans="1:6" ht="13">
      <c r="A2105" s="1">
        <v>11066</v>
      </c>
      <c r="B2105" s="1">
        <v>16</v>
      </c>
      <c r="C2105" s="1">
        <v>17.45</v>
      </c>
      <c r="D2105" s="1">
        <v>3</v>
      </c>
      <c r="E2105" s="1">
        <v>0</v>
      </c>
      <c r="F2105">
        <f t="shared" si="32"/>
        <v>52.349999999999994</v>
      </c>
    </row>
    <row r="2106" spans="1:6" ht="13">
      <c r="A2106" s="1">
        <v>11066</v>
      </c>
      <c r="B2106" s="1">
        <v>19</v>
      </c>
      <c r="C2106" s="1">
        <v>9.1999999999999993</v>
      </c>
      <c r="D2106" s="1">
        <v>42</v>
      </c>
      <c r="E2106" s="1">
        <v>0</v>
      </c>
      <c r="F2106">
        <f t="shared" si="32"/>
        <v>386.4</v>
      </c>
    </row>
    <row r="2107" spans="1:6" ht="13">
      <c r="A2107" s="1">
        <v>11066</v>
      </c>
      <c r="B2107" s="1">
        <v>34</v>
      </c>
      <c r="C2107" s="1">
        <v>14</v>
      </c>
      <c r="D2107" s="1">
        <v>35</v>
      </c>
      <c r="E2107" s="1">
        <v>0</v>
      </c>
      <c r="F2107">
        <f t="shared" si="32"/>
        <v>490</v>
      </c>
    </row>
    <row r="2108" spans="1:6" ht="13">
      <c r="A2108" s="1">
        <v>11067</v>
      </c>
      <c r="B2108" s="1">
        <v>41</v>
      </c>
      <c r="C2108" s="1">
        <v>9.65</v>
      </c>
      <c r="D2108" s="1">
        <v>9</v>
      </c>
      <c r="E2108" s="1">
        <v>0</v>
      </c>
      <c r="F2108">
        <f t="shared" si="32"/>
        <v>86.850000000000009</v>
      </c>
    </row>
    <row r="2109" spans="1:6" ht="13">
      <c r="A2109" s="1">
        <v>11068</v>
      </c>
      <c r="B2109" s="1">
        <v>28</v>
      </c>
      <c r="C2109" s="1">
        <v>45.6</v>
      </c>
      <c r="D2109" s="1">
        <v>8</v>
      </c>
      <c r="E2109" s="1">
        <v>0.15</v>
      </c>
      <c r="F2109">
        <f t="shared" si="32"/>
        <v>310.08</v>
      </c>
    </row>
    <row r="2110" spans="1:6" ht="13">
      <c r="A2110" s="1">
        <v>11068</v>
      </c>
      <c r="B2110" s="1">
        <v>43</v>
      </c>
      <c r="C2110" s="1">
        <v>46</v>
      </c>
      <c r="D2110" s="1">
        <v>36</v>
      </c>
      <c r="E2110" s="1">
        <v>0.15</v>
      </c>
      <c r="F2110">
        <f t="shared" si="32"/>
        <v>1407.6</v>
      </c>
    </row>
    <row r="2111" spans="1:6" ht="13">
      <c r="A2111" s="1">
        <v>11068</v>
      </c>
      <c r="B2111" s="1">
        <v>77</v>
      </c>
      <c r="C2111" s="1">
        <v>13</v>
      </c>
      <c r="D2111" s="1">
        <v>28</v>
      </c>
      <c r="E2111" s="1">
        <v>0.15</v>
      </c>
      <c r="F2111">
        <f t="shared" si="32"/>
        <v>309.39999999999998</v>
      </c>
    </row>
    <row r="2112" spans="1:6" ht="13">
      <c r="A2112" s="1">
        <v>11069</v>
      </c>
      <c r="B2112" s="1">
        <v>39</v>
      </c>
      <c r="C2112" s="1">
        <v>18</v>
      </c>
      <c r="D2112" s="1">
        <v>20</v>
      </c>
      <c r="E2112" s="1">
        <v>0</v>
      </c>
      <c r="F2112">
        <f t="shared" si="32"/>
        <v>360</v>
      </c>
    </row>
    <row r="2113" spans="1:6" ht="13">
      <c r="A2113" s="1">
        <v>11070</v>
      </c>
      <c r="B2113" s="1">
        <v>1</v>
      </c>
      <c r="C2113" s="1">
        <v>18</v>
      </c>
      <c r="D2113" s="1">
        <v>40</v>
      </c>
      <c r="E2113" s="1">
        <v>0.15</v>
      </c>
      <c r="F2113">
        <f t="shared" si="32"/>
        <v>612</v>
      </c>
    </row>
    <row r="2114" spans="1:6" ht="13">
      <c r="A2114" s="1">
        <v>11070</v>
      </c>
      <c r="B2114" s="1">
        <v>2</v>
      </c>
      <c r="C2114" s="1">
        <v>19</v>
      </c>
      <c r="D2114" s="1">
        <v>20</v>
      </c>
      <c r="E2114" s="1">
        <v>0.15</v>
      </c>
      <c r="F2114">
        <f t="shared" si="32"/>
        <v>323</v>
      </c>
    </row>
    <row r="2115" spans="1:6" ht="13">
      <c r="A2115" s="1">
        <v>11070</v>
      </c>
      <c r="B2115" s="1">
        <v>16</v>
      </c>
      <c r="C2115" s="1">
        <v>17.45</v>
      </c>
      <c r="D2115" s="1">
        <v>30</v>
      </c>
      <c r="E2115" s="1">
        <v>0.15</v>
      </c>
      <c r="F2115">
        <f t="shared" ref="F2115:F2156" si="33">C2115*D2115*(1-E2115)</f>
        <v>444.97499999999997</v>
      </c>
    </row>
    <row r="2116" spans="1:6" ht="13">
      <c r="A2116" s="1">
        <v>11070</v>
      </c>
      <c r="B2116" s="1">
        <v>31</v>
      </c>
      <c r="C2116" s="1">
        <v>12.5</v>
      </c>
      <c r="D2116" s="1">
        <v>20</v>
      </c>
      <c r="E2116" s="1">
        <v>0</v>
      </c>
      <c r="F2116">
        <f t="shared" si="33"/>
        <v>250</v>
      </c>
    </row>
    <row r="2117" spans="1:6" ht="13">
      <c r="A2117" s="1">
        <v>11071</v>
      </c>
      <c r="B2117" s="1">
        <v>7</v>
      </c>
      <c r="C2117" s="1">
        <v>30</v>
      </c>
      <c r="D2117" s="1">
        <v>15</v>
      </c>
      <c r="E2117" s="1">
        <v>0.05</v>
      </c>
      <c r="F2117">
        <f t="shared" si="33"/>
        <v>427.5</v>
      </c>
    </row>
    <row r="2118" spans="1:6" ht="13">
      <c r="A2118" s="1">
        <v>11071</v>
      </c>
      <c r="B2118" s="1">
        <v>13</v>
      </c>
      <c r="C2118" s="1">
        <v>6</v>
      </c>
      <c r="D2118" s="1">
        <v>10</v>
      </c>
      <c r="E2118" s="1">
        <v>0.05</v>
      </c>
      <c r="F2118">
        <f t="shared" si="33"/>
        <v>57</v>
      </c>
    </row>
    <row r="2119" spans="1:6" ht="13">
      <c r="A2119" s="1">
        <v>11072</v>
      </c>
      <c r="B2119" s="1">
        <v>2</v>
      </c>
      <c r="C2119" s="1">
        <v>19</v>
      </c>
      <c r="D2119" s="1">
        <v>8</v>
      </c>
      <c r="E2119" s="1">
        <v>0</v>
      </c>
      <c r="F2119">
        <f t="shared" si="33"/>
        <v>152</v>
      </c>
    </row>
    <row r="2120" spans="1:6" ht="13">
      <c r="A2120" s="1">
        <v>11072</v>
      </c>
      <c r="B2120" s="1">
        <v>41</v>
      </c>
      <c r="C2120" s="1">
        <v>9.65</v>
      </c>
      <c r="D2120" s="1">
        <v>40</v>
      </c>
      <c r="E2120" s="1">
        <v>0</v>
      </c>
      <c r="F2120">
        <f t="shared" si="33"/>
        <v>386</v>
      </c>
    </row>
    <row r="2121" spans="1:6" ht="13">
      <c r="A2121" s="1">
        <v>11072</v>
      </c>
      <c r="B2121" s="1">
        <v>50</v>
      </c>
      <c r="C2121" s="1">
        <v>16.25</v>
      </c>
      <c r="D2121" s="1">
        <v>22</v>
      </c>
      <c r="E2121" s="1">
        <v>0</v>
      </c>
      <c r="F2121">
        <f t="shared" si="33"/>
        <v>357.5</v>
      </c>
    </row>
    <row r="2122" spans="1:6" ht="13">
      <c r="A2122" s="1">
        <v>11072</v>
      </c>
      <c r="B2122" s="1">
        <v>64</v>
      </c>
      <c r="C2122" s="1">
        <v>33.25</v>
      </c>
      <c r="D2122" s="1">
        <v>130</v>
      </c>
      <c r="E2122" s="1">
        <v>0</v>
      </c>
      <c r="F2122">
        <f t="shared" si="33"/>
        <v>4322.5</v>
      </c>
    </row>
    <row r="2123" spans="1:6" ht="13">
      <c r="A2123" s="1">
        <v>11073</v>
      </c>
      <c r="B2123" s="1">
        <v>11</v>
      </c>
      <c r="C2123" s="1">
        <v>21</v>
      </c>
      <c r="D2123" s="1">
        <v>10</v>
      </c>
      <c r="E2123" s="1">
        <v>0</v>
      </c>
      <c r="F2123">
        <f t="shared" si="33"/>
        <v>210</v>
      </c>
    </row>
    <row r="2124" spans="1:6" ht="13">
      <c r="A2124" s="1">
        <v>11073</v>
      </c>
      <c r="B2124" s="1">
        <v>24</v>
      </c>
      <c r="C2124" s="1">
        <v>4.5</v>
      </c>
      <c r="D2124" s="1">
        <v>20</v>
      </c>
      <c r="E2124" s="1">
        <v>0</v>
      </c>
      <c r="F2124">
        <f t="shared" si="33"/>
        <v>90</v>
      </c>
    </row>
    <row r="2125" spans="1:6" ht="13">
      <c r="A2125" s="1">
        <v>11074</v>
      </c>
      <c r="B2125" s="1">
        <v>16</v>
      </c>
      <c r="C2125" s="1">
        <v>17.45</v>
      </c>
      <c r="D2125" s="1">
        <v>14</v>
      </c>
      <c r="E2125" s="1">
        <v>0.05</v>
      </c>
      <c r="F2125">
        <f t="shared" si="33"/>
        <v>232.08499999999998</v>
      </c>
    </row>
    <row r="2126" spans="1:6" ht="13">
      <c r="A2126" s="1">
        <v>11075</v>
      </c>
      <c r="B2126" s="1">
        <v>2</v>
      </c>
      <c r="C2126" s="1">
        <v>19</v>
      </c>
      <c r="D2126" s="1">
        <v>10</v>
      </c>
      <c r="E2126" s="1">
        <v>0.15</v>
      </c>
      <c r="F2126">
        <f t="shared" si="33"/>
        <v>161.5</v>
      </c>
    </row>
    <row r="2127" spans="1:6" ht="13">
      <c r="A2127" s="1">
        <v>11075</v>
      </c>
      <c r="B2127" s="1">
        <v>46</v>
      </c>
      <c r="C2127" s="1">
        <v>12</v>
      </c>
      <c r="D2127" s="1">
        <v>30</v>
      </c>
      <c r="E2127" s="1">
        <v>0.15</v>
      </c>
      <c r="F2127">
        <f t="shared" si="33"/>
        <v>306</v>
      </c>
    </row>
    <row r="2128" spans="1:6" ht="13">
      <c r="A2128" s="1">
        <v>11075</v>
      </c>
      <c r="B2128" s="1">
        <v>76</v>
      </c>
      <c r="C2128" s="1">
        <v>18</v>
      </c>
      <c r="D2128" s="1">
        <v>2</v>
      </c>
      <c r="E2128" s="1">
        <v>0.15</v>
      </c>
      <c r="F2128">
        <f t="shared" si="33"/>
        <v>30.599999999999998</v>
      </c>
    </row>
    <row r="2129" spans="1:6" ht="13">
      <c r="A2129" s="1">
        <v>11076</v>
      </c>
      <c r="B2129" s="1">
        <v>6</v>
      </c>
      <c r="C2129" s="1">
        <v>25</v>
      </c>
      <c r="D2129" s="1">
        <v>20</v>
      </c>
      <c r="E2129" s="1">
        <v>0.25</v>
      </c>
      <c r="F2129">
        <f t="shared" si="33"/>
        <v>375</v>
      </c>
    </row>
    <row r="2130" spans="1:6" ht="13">
      <c r="A2130" s="1">
        <v>11076</v>
      </c>
      <c r="B2130" s="1">
        <v>14</v>
      </c>
      <c r="C2130" s="1">
        <v>23.25</v>
      </c>
      <c r="D2130" s="1">
        <v>20</v>
      </c>
      <c r="E2130" s="1">
        <v>0.25</v>
      </c>
      <c r="F2130">
        <f t="shared" si="33"/>
        <v>348.75</v>
      </c>
    </row>
    <row r="2131" spans="1:6" ht="13">
      <c r="A2131" s="1">
        <v>11076</v>
      </c>
      <c r="B2131" s="1">
        <v>19</v>
      </c>
      <c r="C2131" s="1">
        <v>9.1999999999999993</v>
      </c>
      <c r="D2131" s="1">
        <v>10</v>
      </c>
      <c r="E2131" s="1">
        <v>0.25</v>
      </c>
      <c r="F2131">
        <f t="shared" si="33"/>
        <v>69</v>
      </c>
    </row>
    <row r="2132" spans="1:6" ht="13">
      <c r="A2132" s="1">
        <v>11077</v>
      </c>
      <c r="B2132" s="1">
        <v>2</v>
      </c>
      <c r="C2132" s="1">
        <v>19</v>
      </c>
      <c r="D2132" s="1">
        <v>24</v>
      </c>
      <c r="E2132" s="1">
        <v>0.2</v>
      </c>
      <c r="F2132">
        <f t="shared" si="33"/>
        <v>364.8</v>
      </c>
    </row>
    <row r="2133" spans="1:6" ht="13">
      <c r="A2133" s="1">
        <v>11077</v>
      </c>
      <c r="B2133" s="1">
        <v>3</v>
      </c>
      <c r="C2133" s="1">
        <v>10</v>
      </c>
      <c r="D2133" s="1">
        <v>4</v>
      </c>
      <c r="E2133" s="1">
        <v>0</v>
      </c>
      <c r="F2133">
        <f t="shared" si="33"/>
        <v>40</v>
      </c>
    </row>
    <row r="2134" spans="1:6" ht="13">
      <c r="A2134" s="1">
        <v>11077</v>
      </c>
      <c r="B2134" s="1">
        <v>4</v>
      </c>
      <c r="C2134" s="1">
        <v>22</v>
      </c>
      <c r="D2134" s="1">
        <v>1</v>
      </c>
      <c r="E2134" s="1">
        <v>0</v>
      </c>
      <c r="F2134">
        <f t="shared" si="33"/>
        <v>22</v>
      </c>
    </row>
    <row r="2135" spans="1:6" ht="13">
      <c r="A2135" s="1">
        <v>11077</v>
      </c>
      <c r="B2135" s="1">
        <v>6</v>
      </c>
      <c r="C2135" s="1">
        <v>25</v>
      </c>
      <c r="D2135" s="1">
        <v>1</v>
      </c>
      <c r="E2135" s="1">
        <v>0.02</v>
      </c>
      <c r="F2135">
        <f t="shared" si="33"/>
        <v>24.5</v>
      </c>
    </row>
    <row r="2136" spans="1:6" ht="13">
      <c r="A2136" s="1">
        <v>11077</v>
      </c>
      <c r="B2136" s="1">
        <v>7</v>
      </c>
      <c r="C2136" s="1">
        <v>30</v>
      </c>
      <c r="D2136" s="1">
        <v>1</v>
      </c>
      <c r="E2136" s="1">
        <v>0.05</v>
      </c>
      <c r="F2136">
        <f t="shared" si="33"/>
        <v>28.5</v>
      </c>
    </row>
    <row r="2137" spans="1:6" ht="13">
      <c r="A2137" s="1">
        <v>11077</v>
      </c>
      <c r="B2137" s="1">
        <v>8</v>
      </c>
      <c r="C2137" s="1">
        <v>40</v>
      </c>
      <c r="D2137" s="1">
        <v>2</v>
      </c>
      <c r="E2137" s="1">
        <v>0.1</v>
      </c>
      <c r="F2137">
        <f t="shared" si="33"/>
        <v>72</v>
      </c>
    </row>
    <row r="2138" spans="1:6" ht="13">
      <c r="A2138" s="1">
        <v>11077</v>
      </c>
      <c r="B2138" s="1">
        <v>10</v>
      </c>
      <c r="C2138" s="1">
        <v>31</v>
      </c>
      <c r="D2138" s="1">
        <v>1</v>
      </c>
      <c r="E2138" s="1">
        <v>0</v>
      </c>
      <c r="F2138">
        <f t="shared" si="33"/>
        <v>31</v>
      </c>
    </row>
    <row r="2139" spans="1:6" ht="13">
      <c r="A2139" s="1">
        <v>11077</v>
      </c>
      <c r="B2139" s="1">
        <v>12</v>
      </c>
      <c r="C2139" s="1">
        <v>38</v>
      </c>
      <c r="D2139" s="1">
        <v>2</v>
      </c>
      <c r="E2139" s="1">
        <v>0.05</v>
      </c>
      <c r="F2139">
        <f t="shared" si="33"/>
        <v>72.2</v>
      </c>
    </row>
    <row r="2140" spans="1:6" ht="13">
      <c r="A2140" s="1">
        <v>11077</v>
      </c>
      <c r="B2140" s="1">
        <v>13</v>
      </c>
      <c r="C2140" s="1">
        <v>6</v>
      </c>
      <c r="D2140" s="1">
        <v>4</v>
      </c>
      <c r="E2140" s="1">
        <v>0</v>
      </c>
      <c r="F2140">
        <f t="shared" si="33"/>
        <v>24</v>
      </c>
    </row>
    <row r="2141" spans="1:6" ht="13">
      <c r="A2141" s="1">
        <v>11077</v>
      </c>
      <c r="B2141" s="1">
        <v>14</v>
      </c>
      <c r="C2141" s="1">
        <v>23.25</v>
      </c>
      <c r="D2141" s="1">
        <v>1</v>
      </c>
      <c r="E2141" s="1">
        <v>0.03</v>
      </c>
      <c r="F2141">
        <f t="shared" si="33"/>
        <v>22.552499999999998</v>
      </c>
    </row>
    <row r="2142" spans="1:6" ht="13">
      <c r="A2142" s="1">
        <v>11077</v>
      </c>
      <c r="B2142" s="1">
        <v>16</v>
      </c>
      <c r="C2142" s="1">
        <v>17.45</v>
      </c>
      <c r="D2142" s="1">
        <v>2</v>
      </c>
      <c r="E2142" s="1">
        <v>0.03</v>
      </c>
      <c r="F2142">
        <f t="shared" si="33"/>
        <v>33.852999999999994</v>
      </c>
    </row>
    <row r="2143" spans="1:6" ht="13">
      <c r="A2143" s="1">
        <v>11077</v>
      </c>
      <c r="B2143" s="1">
        <v>20</v>
      </c>
      <c r="C2143" s="1">
        <v>81</v>
      </c>
      <c r="D2143" s="1">
        <v>1</v>
      </c>
      <c r="E2143" s="1">
        <v>0.04</v>
      </c>
      <c r="F2143">
        <f t="shared" si="33"/>
        <v>77.759999999999991</v>
      </c>
    </row>
    <row r="2144" spans="1:6" ht="13">
      <c r="A2144" s="1">
        <v>11077</v>
      </c>
      <c r="B2144" s="1">
        <v>23</v>
      </c>
      <c r="C2144" s="1">
        <v>9</v>
      </c>
      <c r="D2144" s="1">
        <v>2</v>
      </c>
      <c r="E2144" s="1">
        <v>0</v>
      </c>
      <c r="F2144">
        <f t="shared" si="33"/>
        <v>18</v>
      </c>
    </row>
    <row r="2145" spans="1:6" ht="13">
      <c r="A2145" s="1">
        <v>11077</v>
      </c>
      <c r="B2145" s="1">
        <v>32</v>
      </c>
      <c r="C2145" s="1">
        <v>32</v>
      </c>
      <c r="D2145" s="1">
        <v>1</v>
      </c>
      <c r="E2145" s="1">
        <v>0</v>
      </c>
      <c r="F2145">
        <f t="shared" si="33"/>
        <v>32</v>
      </c>
    </row>
    <row r="2146" spans="1:6" ht="13">
      <c r="A2146" s="1">
        <v>11077</v>
      </c>
      <c r="B2146" s="1">
        <v>39</v>
      </c>
      <c r="C2146" s="1">
        <v>18</v>
      </c>
      <c r="D2146" s="1">
        <v>2</v>
      </c>
      <c r="E2146" s="1">
        <v>0.05</v>
      </c>
      <c r="F2146">
        <f t="shared" si="33"/>
        <v>34.199999999999996</v>
      </c>
    </row>
    <row r="2147" spans="1:6" ht="13">
      <c r="A2147" s="1">
        <v>11077</v>
      </c>
      <c r="B2147" s="1">
        <v>41</v>
      </c>
      <c r="C2147" s="1">
        <v>9.65</v>
      </c>
      <c r="D2147" s="1">
        <v>3</v>
      </c>
      <c r="E2147" s="1">
        <v>0</v>
      </c>
      <c r="F2147">
        <f t="shared" si="33"/>
        <v>28.950000000000003</v>
      </c>
    </row>
    <row r="2148" spans="1:6" ht="13">
      <c r="A2148" s="1">
        <v>11077</v>
      </c>
      <c r="B2148" s="1">
        <v>46</v>
      </c>
      <c r="C2148" s="1">
        <v>12</v>
      </c>
      <c r="D2148" s="1">
        <v>3</v>
      </c>
      <c r="E2148" s="1">
        <v>0.02</v>
      </c>
      <c r="F2148">
        <f t="shared" si="33"/>
        <v>35.28</v>
      </c>
    </row>
    <row r="2149" spans="1:6" ht="13">
      <c r="A2149" s="1">
        <v>11077</v>
      </c>
      <c r="B2149" s="1">
        <v>52</v>
      </c>
      <c r="C2149" s="1">
        <v>7</v>
      </c>
      <c r="D2149" s="1">
        <v>2</v>
      </c>
      <c r="E2149" s="1">
        <v>0</v>
      </c>
      <c r="F2149">
        <f t="shared" si="33"/>
        <v>14</v>
      </c>
    </row>
    <row r="2150" spans="1:6" ht="13">
      <c r="A2150" s="1">
        <v>11077</v>
      </c>
      <c r="B2150" s="1">
        <v>55</v>
      </c>
      <c r="C2150" s="1">
        <v>24</v>
      </c>
      <c r="D2150" s="1">
        <v>2</v>
      </c>
      <c r="E2150" s="1">
        <v>0</v>
      </c>
      <c r="F2150">
        <f t="shared" si="33"/>
        <v>48</v>
      </c>
    </row>
    <row r="2151" spans="1:6" ht="13">
      <c r="A2151" s="1">
        <v>11077</v>
      </c>
      <c r="B2151" s="1">
        <v>60</v>
      </c>
      <c r="C2151" s="1">
        <v>34</v>
      </c>
      <c r="D2151" s="1">
        <v>2</v>
      </c>
      <c r="E2151" s="1">
        <v>0.06</v>
      </c>
      <c r="F2151">
        <f t="shared" si="33"/>
        <v>63.919999999999995</v>
      </c>
    </row>
    <row r="2152" spans="1:6" ht="13">
      <c r="A2152" s="1">
        <v>11077</v>
      </c>
      <c r="B2152" s="1">
        <v>64</v>
      </c>
      <c r="C2152" s="1">
        <v>33.25</v>
      </c>
      <c r="D2152" s="1">
        <v>2</v>
      </c>
      <c r="E2152" s="1">
        <v>0.03</v>
      </c>
      <c r="F2152">
        <f t="shared" si="33"/>
        <v>64.504999999999995</v>
      </c>
    </row>
    <row r="2153" spans="1:6" ht="13">
      <c r="A2153" s="1">
        <v>11077</v>
      </c>
      <c r="B2153" s="1">
        <v>66</v>
      </c>
      <c r="C2153" s="1">
        <v>17</v>
      </c>
      <c r="D2153" s="1">
        <v>1</v>
      </c>
      <c r="E2153" s="1">
        <v>0</v>
      </c>
      <c r="F2153">
        <f t="shared" si="33"/>
        <v>17</v>
      </c>
    </row>
    <row r="2154" spans="1:6" ht="13">
      <c r="A2154" s="1">
        <v>11077</v>
      </c>
      <c r="B2154" s="1">
        <v>73</v>
      </c>
      <c r="C2154" s="1">
        <v>15</v>
      </c>
      <c r="D2154" s="1">
        <v>2</v>
      </c>
      <c r="E2154" s="1">
        <v>0.01</v>
      </c>
      <c r="F2154">
        <f t="shared" si="33"/>
        <v>29.7</v>
      </c>
    </row>
    <row r="2155" spans="1:6" ht="13">
      <c r="A2155" s="1">
        <v>11077</v>
      </c>
      <c r="B2155" s="1">
        <v>75</v>
      </c>
      <c r="C2155" s="1">
        <v>7.75</v>
      </c>
      <c r="D2155" s="1">
        <v>4</v>
      </c>
      <c r="E2155" s="1">
        <v>0</v>
      </c>
      <c r="F2155">
        <f t="shared" si="33"/>
        <v>31</v>
      </c>
    </row>
    <row r="2156" spans="1:6" ht="13">
      <c r="A2156" s="1">
        <v>11077</v>
      </c>
      <c r="B2156" s="1">
        <v>77</v>
      </c>
      <c r="C2156" s="1">
        <v>13</v>
      </c>
      <c r="D2156" s="1">
        <v>2</v>
      </c>
      <c r="E2156" s="1">
        <v>0</v>
      </c>
      <c r="F2156">
        <f t="shared" si="33"/>
        <v>26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K92"/>
  <sheetViews>
    <sheetView workbookViewId="0"/>
  </sheetViews>
  <sheetFormatPr baseColWidth="10" defaultColWidth="12.6640625" defaultRowHeight="15.75" customHeight="1"/>
  <cols>
    <col min="8" max="8" width="12.6640625" style="4"/>
    <col min="10" max="11" width="12.6640625" style="4"/>
  </cols>
  <sheetData>
    <row r="1" spans="1:11" ht="15.75" customHeight="1">
      <c r="A1" s="1" t="s">
        <v>381</v>
      </c>
      <c r="B1" s="1" t="s">
        <v>1</v>
      </c>
      <c r="C1" s="1" t="s">
        <v>2</v>
      </c>
      <c r="D1" s="1" t="s">
        <v>3</v>
      </c>
      <c r="E1" s="1" t="s">
        <v>4</v>
      </c>
      <c r="F1" s="1" t="s">
        <v>5</v>
      </c>
      <c r="G1" s="1" t="s">
        <v>6</v>
      </c>
      <c r="H1" s="3" t="s">
        <v>7</v>
      </c>
      <c r="I1" s="1" t="s">
        <v>8</v>
      </c>
      <c r="J1" s="3" t="s">
        <v>9</v>
      </c>
      <c r="K1" s="3" t="s">
        <v>10</v>
      </c>
    </row>
    <row r="2" spans="1:11" ht="15.75" customHeight="1">
      <c r="A2" s="1" t="s">
        <v>762</v>
      </c>
      <c r="B2" s="1" t="s">
        <v>763</v>
      </c>
      <c r="C2" s="1" t="s">
        <v>846</v>
      </c>
      <c r="D2" s="1" t="s">
        <v>31</v>
      </c>
      <c r="E2" s="1" t="s">
        <v>764</v>
      </c>
      <c r="F2" s="1" t="s">
        <v>92</v>
      </c>
      <c r="H2" s="3">
        <v>12209</v>
      </c>
      <c r="I2" s="1" t="s">
        <v>93</v>
      </c>
      <c r="J2" s="3" t="s">
        <v>847</v>
      </c>
      <c r="K2" s="3" t="s">
        <v>848</v>
      </c>
    </row>
    <row r="3" spans="1:11" ht="15.75" customHeight="1">
      <c r="A3" s="1" t="s">
        <v>570</v>
      </c>
      <c r="B3" s="1" t="s">
        <v>571</v>
      </c>
      <c r="C3" s="1" t="s">
        <v>849</v>
      </c>
      <c r="D3" s="1" t="s">
        <v>153</v>
      </c>
      <c r="E3" s="1" t="s">
        <v>572</v>
      </c>
      <c r="F3" s="1" t="s">
        <v>447</v>
      </c>
      <c r="H3" s="3">
        <v>5021</v>
      </c>
      <c r="I3" s="1" t="s">
        <v>448</v>
      </c>
      <c r="J3" s="3" t="s">
        <v>850</v>
      </c>
      <c r="K3" s="3" t="s">
        <v>851</v>
      </c>
    </row>
    <row r="4" spans="1:11" ht="15.75" customHeight="1">
      <c r="A4" s="1" t="s">
        <v>650</v>
      </c>
      <c r="B4" s="1" t="s">
        <v>651</v>
      </c>
      <c r="C4" s="1" t="s">
        <v>852</v>
      </c>
      <c r="D4" s="1" t="s">
        <v>153</v>
      </c>
      <c r="E4" s="1" t="s">
        <v>652</v>
      </c>
      <c r="F4" s="1" t="s">
        <v>447</v>
      </c>
      <c r="H4" s="3">
        <v>5023</v>
      </c>
      <c r="I4" s="1" t="s">
        <v>448</v>
      </c>
      <c r="J4" s="3" t="s">
        <v>853</v>
      </c>
    </row>
    <row r="5" spans="1:11" ht="15.75" customHeight="1">
      <c r="A5" s="1" t="s">
        <v>632</v>
      </c>
      <c r="B5" s="1" t="s">
        <v>633</v>
      </c>
      <c r="C5" s="1" t="s">
        <v>854</v>
      </c>
      <c r="D5" s="1" t="s">
        <v>31</v>
      </c>
      <c r="E5" s="1" t="s">
        <v>855</v>
      </c>
      <c r="F5" s="1" t="s">
        <v>16</v>
      </c>
      <c r="H5" s="3" t="s">
        <v>856</v>
      </c>
      <c r="I5" s="1" t="s">
        <v>18</v>
      </c>
      <c r="J5" s="3" t="s">
        <v>857</v>
      </c>
      <c r="K5" s="3" t="s">
        <v>858</v>
      </c>
    </row>
    <row r="6" spans="1:11" ht="15.75" customHeight="1">
      <c r="A6" s="1" t="s">
        <v>509</v>
      </c>
      <c r="B6" s="1" t="s">
        <v>510</v>
      </c>
      <c r="C6" s="1" t="s">
        <v>859</v>
      </c>
      <c r="D6" s="1" t="s">
        <v>22</v>
      </c>
      <c r="E6" s="1" t="s">
        <v>511</v>
      </c>
      <c r="F6" s="1" t="s">
        <v>512</v>
      </c>
      <c r="H6" s="3" t="s">
        <v>513</v>
      </c>
      <c r="I6" s="1" t="s">
        <v>79</v>
      </c>
      <c r="J6" s="3" t="s">
        <v>860</v>
      </c>
      <c r="K6" s="3" t="s">
        <v>861</v>
      </c>
    </row>
    <row r="7" spans="1:11" ht="15.75" customHeight="1">
      <c r="A7" s="1" t="s">
        <v>724</v>
      </c>
      <c r="B7" s="1" t="s">
        <v>725</v>
      </c>
      <c r="C7" s="1" t="s">
        <v>862</v>
      </c>
      <c r="D7" s="1" t="s">
        <v>31</v>
      </c>
      <c r="E7" s="1" t="s">
        <v>726</v>
      </c>
      <c r="F7" s="1" t="s">
        <v>727</v>
      </c>
      <c r="H7" s="3">
        <v>68306</v>
      </c>
      <c r="I7" s="1" t="s">
        <v>93</v>
      </c>
      <c r="J7" s="3" t="s">
        <v>863</v>
      </c>
      <c r="K7" s="3" t="s">
        <v>864</v>
      </c>
    </row>
    <row r="8" spans="1:11" ht="15.75" customHeight="1">
      <c r="A8" s="1" t="s">
        <v>467</v>
      </c>
      <c r="B8" s="1" t="s">
        <v>468</v>
      </c>
      <c r="C8" s="1" t="s">
        <v>865</v>
      </c>
      <c r="D8" s="1" t="s">
        <v>39</v>
      </c>
      <c r="E8" s="1" t="s">
        <v>469</v>
      </c>
      <c r="F8" s="1" t="s">
        <v>470</v>
      </c>
      <c r="H8" s="3">
        <v>67000</v>
      </c>
      <c r="I8" s="1" t="s">
        <v>140</v>
      </c>
      <c r="J8" s="3" t="s">
        <v>866</v>
      </c>
      <c r="K8" s="3" t="s">
        <v>867</v>
      </c>
    </row>
    <row r="9" spans="1:11" ht="15.75" customHeight="1">
      <c r="A9" s="1" t="s">
        <v>598</v>
      </c>
      <c r="B9" s="1" t="s">
        <v>599</v>
      </c>
      <c r="C9" s="1" t="s">
        <v>868</v>
      </c>
      <c r="D9" s="1" t="s">
        <v>153</v>
      </c>
      <c r="E9" s="1" t="s">
        <v>600</v>
      </c>
      <c r="F9" s="1" t="s">
        <v>521</v>
      </c>
      <c r="H9" s="3">
        <v>28023</v>
      </c>
      <c r="I9" s="1" t="s">
        <v>50</v>
      </c>
      <c r="J9" s="3" t="s">
        <v>869</v>
      </c>
      <c r="K9" s="3" t="s">
        <v>870</v>
      </c>
    </row>
    <row r="10" spans="1:11" ht="15.75" customHeight="1">
      <c r="A10" s="1" t="s">
        <v>606</v>
      </c>
      <c r="B10" s="1" t="s">
        <v>607</v>
      </c>
      <c r="C10" s="1" t="s">
        <v>871</v>
      </c>
      <c r="D10" s="1" t="s">
        <v>153</v>
      </c>
      <c r="E10" s="1" t="s">
        <v>608</v>
      </c>
      <c r="F10" s="1" t="s">
        <v>609</v>
      </c>
      <c r="H10" s="3">
        <v>13008</v>
      </c>
      <c r="I10" s="1" t="s">
        <v>140</v>
      </c>
      <c r="J10" s="3" t="s">
        <v>872</v>
      </c>
      <c r="K10" s="3" t="s">
        <v>873</v>
      </c>
    </row>
    <row r="11" spans="1:11" ht="15.75" customHeight="1">
      <c r="A11" s="1" t="s">
        <v>679</v>
      </c>
      <c r="B11" s="1" t="s">
        <v>680</v>
      </c>
      <c r="C11" s="1" t="s">
        <v>874</v>
      </c>
      <c r="D11" s="1" t="s">
        <v>164</v>
      </c>
      <c r="E11" s="1" t="s">
        <v>681</v>
      </c>
      <c r="F11" s="1" t="s">
        <v>682</v>
      </c>
      <c r="G11" s="1" t="s">
        <v>683</v>
      </c>
      <c r="H11" s="3" t="s">
        <v>684</v>
      </c>
      <c r="I11" s="1" t="s">
        <v>192</v>
      </c>
      <c r="J11" s="3" t="s">
        <v>875</v>
      </c>
      <c r="K11" s="3" t="s">
        <v>876</v>
      </c>
    </row>
    <row r="12" spans="1:11" ht="15.75" customHeight="1">
      <c r="A12" s="1" t="s">
        <v>535</v>
      </c>
      <c r="B12" s="1" t="s">
        <v>536</v>
      </c>
      <c r="C12" s="1" t="s">
        <v>877</v>
      </c>
      <c r="D12" s="1" t="s">
        <v>31</v>
      </c>
      <c r="E12" s="1" t="s">
        <v>537</v>
      </c>
      <c r="F12" s="1" t="s">
        <v>16</v>
      </c>
      <c r="H12" s="3" t="s">
        <v>538</v>
      </c>
      <c r="I12" s="1" t="s">
        <v>18</v>
      </c>
      <c r="J12" s="3" t="s">
        <v>878</v>
      </c>
    </row>
    <row r="13" spans="1:11" ht="15.75" customHeight="1">
      <c r="A13" s="1" t="s">
        <v>732</v>
      </c>
      <c r="B13" s="1" t="s">
        <v>733</v>
      </c>
      <c r="C13" s="1" t="s">
        <v>879</v>
      </c>
      <c r="D13" s="1" t="s">
        <v>75</v>
      </c>
      <c r="E13" s="1" t="s">
        <v>734</v>
      </c>
      <c r="F13" s="1" t="s">
        <v>697</v>
      </c>
      <c r="H13" s="3">
        <v>1010</v>
      </c>
      <c r="I13" s="1" t="s">
        <v>698</v>
      </c>
      <c r="J13" s="3" t="s">
        <v>880</v>
      </c>
      <c r="K13" s="3" t="s">
        <v>881</v>
      </c>
    </row>
    <row r="14" spans="1:11" ht="15.75" customHeight="1">
      <c r="A14" s="1" t="s">
        <v>444</v>
      </c>
      <c r="B14" s="1" t="s">
        <v>445</v>
      </c>
      <c r="C14" s="1" t="s">
        <v>882</v>
      </c>
      <c r="D14" s="1" t="s">
        <v>39</v>
      </c>
      <c r="E14" s="1" t="s">
        <v>446</v>
      </c>
      <c r="F14" s="1" t="s">
        <v>447</v>
      </c>
      <c r="H14" s="3">
        <v>5022</v>
      </c>
      <c r="I14" s="1" t="s">
        <v>448</v>
      </c>
      <c r="J14" s="3" t="s">
        <v>883</v>
      </c>
      <c r="K14" s="3" t="s">
        <v>884</v>
      </c>
    </row>
    <row r="15" spans="1:11" ht="15.75" customHeight="1">
      <c r="A15" s="1" t="s">
        <v>418</v>
      </c>
      <c r="B15" s="1" t="s">
        <v>419</v>
      </c>
      <c r="C15" s="1" t="s">
        <v>885</v>
      </c>
      <c r="D15" s="1" t="s">
        <v>153</v>
      </c>
      <c r="E15" s="1" t="s">
        <v>886</v>
      </c>
      <c r="F15" s="1" t="s">
        <v>421</v>
      </c>
      <c r="H15" s="3">
        <v>3012</v>
      </c>
      <c r="I15" s="1" t="s">
        <v>422</v>
      </c>
      <c r="J15" s="3" t="s">
        <v>887</v>
      </c>
    </row>
    <row r="16" spans="1:11" ht="15.75" customHeight="1">
      <c r="A16" s="1" t="s">
        <v>539</v>
      </c>
      <c r="B16" s="1" t="s">
        <v>540</v>
      </c>
      <c r="C16" s="1" t="s">
        <v>888</v>
      </c>
      <c r="D16" s="1" t="s">
        <v>889</v>
      </c>
      <c r="E16" s="1" t="s">
        <v>541</v>
      </c>
      <c r="F16" s="1" t="s">
        <v>85</v>
      </c>
      <c r="G16" s="1" t="s">
        <v>431</v>
      </c>
      <c r="H16" s="3" t="s">
        <v>542</v>
      </c>
      <c r="I16" s="1" t="s">
        <v>86</v>
      </c>
      <c r="J16" s="3" t="s">
        <v>890</v>
      </c>
    </row>
    <row r="17" spans="1:11" ht="15.75" customHeight="1">
      <c r="A17" s="1" t="s">
        <v>708</v>
      </c>
      <c r="B17" s="1" t="s">
        <v>709</v>
      </c>
      <c r="C17" s="1" t="s">
        <v>891</v>
      </c>
      <c r="D17" s="1" t="s">
        <v>31</v>
      </c>
      <c r="E17" s="1" t="s">
        <v>710</v>
      </c>
      <c r="F17" s="1" t="s">
        <v>16</v>
      </c>
      <c r="H17" s="3" t="s">
        <v>711</v>
      </c>
      <c r="I17" s="1" t="s">
        <v>18</v>
      </c>
      <c r="J17" s="3" t="s">
        <v>892</v>
      </c>
      <c r="K17" s="3" t="s">
        <v>893</v>
      </c>
    </row>
    <row r="18" spans="1:11" ht="15.75" customHeight="1">
      <c r="A18" s="1" t="s">
        <v>642</v>
      </c>
      <c r="B18" s="1" t="s">
        <v>643</v>
      </c>
      <c r="C18" s="1" t="s">
        <v>894</v>
      </c>
      <c r="D18" s="1" t="s">
        <v>22</v>
      </c>
      <c r="E18" s="1" t="s">
        <v>644</v>
      </c>
      <c r="F18" s="1" t="s">
        <v>645</v>
      </c>
      <c r="H18" s="3">
        <v>52066</v>
      </c>
      <c r="I18" s="1" t="s">
        <v>93</v>
      </c>
      <c r="J18" s="3" t="s">
        <v>895</v>
      </c>
      <c r="K18" s="3" t="s">
        <v>896</v>
      </c>
    </row>
    <row r="19" spans="1:11" ht="15.75" customHeight="1">
      <c r="A19" s="1" t="s">
        <v>576</v>
      </c>
      <c r="B19" s="1" t="s">
        <v>577</v>
      </c>
      <c r="C19" s="1" t="s">
        <v>897</v>
      </c>
      <c r="D19" s="1" t="s">
        <v>153</v>
      </c>
      <c r="E19" s="1" t="s">
        <v>578</v>
      </c>
      <c r="F19" s="1" t="s">
        <v>579</v>
      </c>
      <c r="H19" s="3">
        <v>44000</v>
      </c>
      <c r="I19" s="1" t="s">
        <v>140</v>
      </c>
      <c r="J19" s="3" t="s">
        <v>898</v>
      </c>
      <c r="K19" s="3" t="s">
        <v>899</v>
      </c>
    </row>
    <row r="20" spans="1:11" ht="15.75" customHeight="1">
      <c r="A20" s="1" t="s">
        <v>646</v>
      </c>
      <c r="B20" s="1" t="s">
        <v>647</v>
      </c>
      <c r="C20" s="1" t="s">
        <v>900</v>
      </c>
      <c r="D20" s="1" t="s">
        <v>75</v>
      </c>
      <c r="E20" s="1" t="s">
        <v>648</v>
      </c>
      <c r="F20" s="1" t="s">
        <v>16</v>
      </c>
      <c r="H20" s="3" t="s">
        <v>649</v>
      </c>
      <c r="I20" s="1" t="s">
        <v>18</v>
      </c>
      <c r="J20" s="3" t="s">
        <v>901</v>
      </c>
      <c r="K20" s="3" t="s">
        <v>902</v>
      </c>
    </row>
    <row r="21" spans="1:11" ht="15.75" customHeight="1">
      <c r="A21" s="1" t="s">
        <v>439</v>
      </c>
      <c r="B21" s="1" t="s">
        <v>440</v>
      </c>
      <c r="C21" s="1" t="s">
        <v>903</v>
      </c>
      <c r="D21" s="1" t="s">
        <v>90</v>
      </c>
      <c r="E21" s="1" t="s">
        <v>441</v>
      </c>
      <c r="F21" s="1" t="s">
        <v>442</v>
      </c>
      <c r="H21" s="3">
        <v>8010</v>
      </c>
      <c r="I21" s="1" t="s">
        <v>443</v>
      </c>
      <c r="J21" s="3" t="s">
        <v>904</v>
      </c>
      <c r="K21" s="3" t="s">
        <v>905</v>
      </c>
    </row>
    <row r="22" spans="1:11" ht="15.75" customHeight="1">
      <c r="A22" s="1" t="s">
        <v>620</v>
      </c>
      <c r="B22" s="1" t="s">
        <v>621</v>
      </c>
      <c r="C22" s="1" t="s">
        <v>906</v>
      </c>
      <c r="D22" s="1" t="s">
        <v>907</v>
      </c>
      <c r="E22" s="1" t="s">
        <v>622</v>
      </c>
      <c r="F22" s="1" t="s">
        <v>85</v>
      </c>
      <c r="G22" s="1" t="s">
        <v>431</v>
      </c>
      <c r="H22" s="3" t="s">
        <v>623</v>
      </c>
      <c r="I22" s="1" t="s">
        <v>86</v>
      </c>
      <c r="J22" s="3" t="s">
        <v>908</v>
      </c>
    </row>
    <row r="23" spans="1:11" ht="15.75" customHeight="1">
      <c r="A23" s="1" t="s">
        <v>909</v>
      </c>
      <c r="B23" s="1" t="s">
        <v>910</v>
      </c>
      <c r="C23" s="1" t="s">
        <v>911</v>
      </c>
      <c r="D23" s="1" t="s">
        <v>164</v>
      </c>
      <c r="E23" s="1" t="s">
        <v>912</v>
      </c>
      <c r="F23" s="1" t="s">
        <v>521</v>
      </c>
      <c r="H23" s="3">
        <v>28034</v>
      </c>
      <c r="I23" s="1" t="s">
        <v>50</v>
      </c>
      <c r="J23" s="3" t="s">
        <v>913</v>
      </c>
      <c r="K23" s="3" t="s">
        <v>914</v>
      </c>
    </row>
    <row r="24" spans="1:11" ht="15.75" customHeight="1">
      <c r="A24" s="1" t="s">
        <v>690</v>
      </c>
      <c r="B24" s="1" t="s">
        <v>691</v>
      </c>
      <c r="C24" s="1" t="s">
        <v>915</v>
      </c>
      <c r="D24" s="1" t="s">
        <v>916</v>
      </c>
      <c r="E24" s="1" t="s">
        <v>692</v>
      </c>
      <c r="F24" s="1" t="s">
        <v>693</v>
      </c>
      <c r="H24" s="3">
        <v>59000</v>
      </c>
      <c r="I24" s="1" t="s">
        <v>140</v>
      </c>
      <c r="J24" s="3" t="s">
        <v>917</v>
      </c>
      <c r="K24" s="3" t="s">
        <v>918</v>
      </c>
    </row>
    <row r="25" spans="1:11" ht="15.75" customHeight="1">
      <c r="A25" s="1" t="s">
        <v>462</v>
      </c>
      <c r="B25" s="1" t="s">
        <v>463</v>
      </c>
      <c r="C25" s="1" t="s">
        <v>919</v>
      </c>
      <c r="D25" s="1" t="s">
        <v>153</v>
      </c>
      <c r="E25" s="1" t="s">
        <v>464</v>
      </c>
      <c r="F25" s="1" t="s">
        <v>465</v>
      </c>
      <c r="H25" s="3" t="s">
        <v>466</v>
      </c>
      <c r="I25" s="1" t="s">
        <v>79</v>
      </c>
      <c r="J25" s="3" t="s">
        <v>920</v>
      </c>
    </row>
    <row r="26" spans="1:11" ht="15.75" customHeight="1">
      <c r="A26" s="1" t="s">
        <v>475</v>
      </c>
      <c r="B26" s="1" t="s">
        <v>476</v>
      </c>
      <c r="C26" s="1" t="s">
        <v>921</v>
      </c>
      <c r="D26" s="1" t="s">
        <v>39</v>
      </c>
      <c r="E26" s="1" t="s">
        <v>477</v>
      </c>
      <c r="F26" s="1" t="s">
        <v>478</v>
      </c>
      <c r="H26" s="3">
        <v>80805</v>
      </c>
      <c r="I26" s="1" t="s">
        <v>93</v>
      </c>
      <c r="J26" s="3" t="s">
        <v>922</v>
      </c>
      <c r="K26" s="3" t="s">
        <v>923</v>
      </c>
    </row>
    <row r="27" spans="1:11" ht="15.75" customHeight="1">
      <c r="A27" s="1" t="s">
        <v>765</v>
      </c>
      <c r="B27" s="1" t="s">
        <v>766</v>
      </c>
      <c r="C27" s="1" t="s">
        <v>924</v>
      </c>
      <c r="D27" s="1" t="s">
        <v>39</v>
      </c>
      <c r="E27" s="1" t="s">
        <v>767</v>
      </c>
      <c r="F27" s="1" t="s">
        <v>579</v>
      </c>
      <c r="H27" s="3">
        <v>44000</v>
      </c>
      <c r="I27" s="1" t="s">
        <v>140</v>
      </c>
      <c r="J27" s="3" t="s">
        <v>925</v>
      </c>
      <c r="K27" s="3" t="s">
        <v>926</v>
      </c>
    </row>
    <row r="28" spans="1:11" ht="15.75" customHeight="1">
      <c r="A28" s="1" t="s">
        <v>699</v>
      </c>
      <c r="B28" s="1" t="s">
        <v>700</v>
      </c>
      <c r="C28" s="1" t="s">
        <v>927</v>
      </c>
      <c r="D28" s="1" t="s">
        <v>31</v>
      </c>
      <c r="E28" s="1" t="s">
        <v>701</v>
      </c>
      <c r="F28" s="1" t="s">
        <v>702</v>
      </c>
      <c r="H28" s="3">
        <v>10100</v>
      </c>
      <c r="I28" s="1" t="s">
        <v>113</v>
      </c>
      <c r="J28" s="3" t="s">
        <v>928</v>
      </c>
      <c r="K28" s="3" t="s">
        <v>929</v>
      </c>
    </row>
    <row r="29" spans="1:11" ht="15.75" customHeight="1">
      <c r="A29" s="1" t="s">
        <v>601</v>
      </c>
      <c r="B29" s="1" t="s">
        <v>602</v>
      </c>
      <c r="C29" s="1" t="s">
        <v>930</v>
      </c>
      <c r="D29" s="1" t="s">
        <v>90</v>
      </c>
      <c r="E29" s="1" t="s">
        <v>603</v>
      </c>
      <c r="F29" s="1" t="s">
        <v>604</v>
      </c>
      <c r="H29" s="3">
        <v>1675</v>
      </c>
      <c r="I29" s="1" t="s">
        <v>605</v>
      </c>
      <c r="J29" s="3" t="s">
        <v>931</v>
      </c>
      <c r="K29" s="3" t="s">
        <v>932</v>
      </c>
    </row>
    <row r="30" spans="1:11" ht="15.75" customHeight="1">
      <c r="A30" s="1" t="s">
        <v>653</v>
      </c>
      <c r="B30" s="1" t="s">
        <v>933</v>
      </c>
      <c r="C30" s="1" t="s">
        <v>934</v>
      </c>
      <c r="D30" s="1" t="s">
        <v>39</v>
      </c>
      <c r="E30" s="1" t="s">
        <v>655</v>
      </c>
      <c r="F30" s="1" t="s">
        <v>656</v>
      </c>
      <c r="H30" s="3">
        <v>8022</v>
      </c>
      <c r="I30" s="1" t="s">
        <v>50</v>
      </c>
      <c r="J30" s="3" t="s">
        <v>935</v>
      </c>
      <c r="K30" s="3" t="s">
        <v>936</v>
      </c>
    </row>
    <row r="31" spans="1:11" ht="15.75" customHeight="1">
      <c r="A31" s="1" t="s">
        <v>557</v>
      </c>
      <c r="B31" s="1" t="s">
        <v>558</v>
      </c>
      <c r="C31" s="1" t="s">
        <v>937</v>
      </c>
      <c r="D31" s="1" t="s">
        <v>90</v>
      </c>
      <c r="E31" s="1" t="s">
        <v>559</v>
      </c>
      <c r="F31" s="1" t="s">
        <v>560</v>
      </c>
      <c r="H31" s="3">
        <v>41101</v>
      </c>
      <c r="I31" s="1" t="s">
        <v>50</v>
      </c>
      <c r="J31" s="3" t="s">
        <v>938</v>
      </c>
    </row>
    <row r="32" spans="1:11" ht="15.75" customHeight="1">
      <c r="A32" s="1" t="s">
        <v>703</v>
      </c>
      <c r="B32" s="1" t="s">
        <v>704</v>
      </c>
      <c r="C32" s="1" t="s">
        <v>939</v>
      </c>
      <c r="D32" s="1" t="s">
        <v>889</v>
      </c>
      <c r="E32" s="1" t="s">
        <v>705</v>
      </c>
      <c r="F32" s="1" t="s">
        <v>706</v>
      </c>
      <c r="G32" s="1" t="s">
        <v>431</v>
      </c>
      <c r="H32" s="3" t="s">
        <v>707</v>
      </c>
      <c r="I32" s="1" t="s">
        <v>86</v>
      </c>
      <c r="J32" s="3" t="s">
        <v>940</v>
      </c>
    </row>
    <row r="33" spans="1:11" ht="15.75" customHeight="1">
      <c r="A33" s="1" t="s">
        <v>735</v>
      </c>
      <c r="B33" s="1" t="s">
        <v>736</v>
      </c>
      <c r="C33" s="1" t="s">
        <v>941</v>
      </c>
      <c r="D33" s="1" t="s">
        <v>39</v>
      </c>
      <c r="E33" s="1" t="s">
        <v>737</v>
      </c>
      <c r="F33" s="1" t="s">
        <v>738</v>
      </c>
      <c r="G33" s="1" t="s">
        <v>128</v>
      </c>
      <c r="H33" s="3">
        <v>97403</v>
      </c>
      <c r="I33" s="1" t="s">
        <v>26</v>
      </c>
      <c r="J33" s="3" t="s">
        <v>942</v>
      </c>
    </row>
    <row r="34" spans="1:11" ht="15.75" customHeight="1">
      <c r="A34" s="1" t="s">
        <v>479</v>
      </c>
      <c r="B34" s="1" t="s">
        <v>480</v>
      </c>
      <c r="C34" s="1" t="s">
        <v>943</v>
      </c>
      <c r="D34" s="1" t="s">
        <v>153</v>
      </c>
      <c r="E34" s="1" t="s">
        <v>481</v>
      </c>
      <c r="F34" s="1" t="s">
        <v>482</v>
      </c>
      <c r="G34" s="1" t="s">
        <v>483</v>
      </c>
      <c r="H34" s="3">
        <v>1081</v>
      </c>
      <c r="I34" s="1" t="s">
        <v>438</v>
      </c>
      <c r="J34" s="3" t="s">
        <v>944</v>
      </c>
      <c r="K34" s="3" t="s">
        <v>945</v>
      </c>
    </row>
    <row r="35" spans="1:11" ht="15.75" customHeight="1">
      <c r="A35" s="1" t="s">
        <v>402</v>
      </c>
      <c r="B35" s="1" t="s">
        <v>403</v>
      </c>
      <c r="C35" s="1" t="s">
        <v>946</v>
      </c>
      <c r="D35" s="1" t="s">
        <v>164</v>
      </c>
      <c r="E35" s="1" t="s">
        <v>404</v>
      </c>
      <c r="F35" s="1" t="s">
        <v>405</v>
      </c>
      <c r="G35" s="1" t="s">
        <v>406</v>
      </c>
      <c r="H35" s="3" t="s">
        <v>407</v>
      </c>
      <c r="I35" s="1" t="s">
        <v>86</v>
      </c>
      <c r="J35" s="3" t="s">
        <v>947</v>
      </c>
      <c r="K35" s="3" t="s">
        <v>948</v>
      </c>
    </row>
    <row r="36" spans="1:11" ht="15.75" customHeight="1">
      <c r="A36" s="1" t="s">
        <v>433</v>
      </c>
      <c r="B36" s="1" t="s">
        <v>434</v>
      </c>
      <c r="C36" s="1" t="s">
        <v>949</v>
      </c>
      <c r="D36" s="1" t="s">
        <v>31</v>
      </c>
      <c r="E36" s="1" t="s">
        <v>435</v>
      </c>
      <c r="F36" s="1" t="s">
        <v>436</v>
      </c>
      <c r="G36" s="1" t="s">
        <v>437</v>
      </c>
      <c r="H36" s="3">
        <v>5022</v>
      </c>
      <c r="I36" s="1" t="s">
        <v>438</v>
      </c>
      <c r="J36" s="3" t="s">
        <v>950</v>
      </c>
      <c r="K36" s="3" t="s">
        <v>951</v>
      </c>
    </row>
    <row r="37" spans="1:11" ht="15.75" customHeight="1">
      <c r="A37" s="1" t="s">
        <v>671</v>
      </c>
      <c r="B37" s="1" t="s">
        <v>672</v>
      </c>
      <c r="C37" s="1" t="s">
        <v>952</v>
      </c>
      <c r="D37" s="1" t="s">
        <v>31</v>
      </c>
      <c r="E37" s="1" t="s">
        <v>673</v>
      </c>
      <c r="F37" s="1" t="s">
        <v>674</v>
      </c>
      <c r="G37" s="1" t="s">
        <v>128</v>
      </c>
      <c r="H37" s="3">
        <v>97827</v>
      </c>
      <c r="I37" s="1" t="s">
        <v>26</v>
      </c>
      <c r="J37" s="3" t="s">
        <v>953</v>
      </c>
      <c r="K37" s="3" t="s">
        <v>954</v>
      </c>
    </row>
    <row r="38" spans="1:11" ht="15.75" customHeight="1">
      <c r="A38" s="1" t="s">
        <v>547</v>
      </c>
      <c r="B38" s="1" t="s">
        <v>548</v>
      </c>
      <c r="C38" s="1" t="s">
        <v>955</v>
      </c>
      <c r="D38" s="1" t="s">
        <v>889</v>
      </c>
      <c r="E38" s="1" t="s">
        <v>549</v>
      </c>
      <c r="F38" s="1" t="s">
        <v>550</v>
      </c>
      <c r="G38" s="1" t="s">
        <v>551</v>
      </c>
      <c r="I38" s="1" t="s">
        <v>552</v>
      </c>
      <c r="J38" s="3" t="s">
        <v>956</v>
      </c>
      <c r="K38" s="3" t="s">
        <v>957</v>
      </c>
    </row>
    <row r="39" spans="1:11" ht="15.75" customHeight="1">
      <c r="A39" s="1" t="s">
        <v>580</v>
      </c>
      <c r="B39" s="1" t="s">
        <v>581</v>
      </c>
      <c r="C39" s="1" t="s">
        <v>958</v>
      </c>
      <c r="D39" s="1" t="s">
        <v>39</v>
      </c>
      <c r="E39" s="1" t="s">
        <v>582</v>
      </c>
      <c r="F39" s="1" t="s">
        <v>583</v>
      </c>
      <c r="G39" s="1" t="s">
        <v>584</v>
      </c>
      <c r="H39" s="3" t="s">
        <v>585</v>
      </c>
      <c r="I39" s="1" t="s">
        <v>18</v>
      </c>
      <c r="J39" s="3" t="s">
        <v>959</v>
      </c>
    </row>
    <row r="40" spans="1:11" ht="15.75" customHeight="1">
      <c r="A40" s="1" t="s">
        <v>589</v>
      </c>
      <c r="B40" s="1" t="s">
        <v>590</v>
      </c>
      <c r="C40" s="1" t="s">
        <v>960</v>
      </c>
      <c r="D40" s="1" t="s">
        <v>889</v>
      </c>
      <c r="E40" s="1" t="s">
        <v>591</v>
      </c>
      <c r="F40" s="1" t="s">
        <v>592</v>
      </c>
      <c r="H40" s="3">
        <v>14776</v>
      </c>
      <c r="I40" s="1" t="s">
        <v>93</v>
      </c>
      <c r="J40" s="3" t="s">
        <v>961</v>
      </c>
    </row>
    <row r="41" spans="1:11" ht="15.75" customHeight="1">
      <c r="A41" s="1" t="s">
        <v>772</v>
      </c>
      <c r="B41" s="1" t="s">
        <v>773</v>
      </c>
      <c r="C41" s="1" t="s">
        <v>962</v>
      </c>
      <c r="D41" s="1" t="s">
        <v>31</v>
      </c>
      <c r="E41" s="1" t="s">
        <v>774</v>
      </c>
      <c r="F41" s="1" t="s">
        <v>775</v>
      </c>
      <c r="H41" s="3">
        <v>78000</v>
      </c>
      <c r="I41" s="1" t="s">
        <v>140</v>
      </c>
      <c r="J41" s="3" t="s">
        <v>963</v>
      </c>
      <c r="K41" s="3" t="s">
        <v>964</v>
      </c>
    </row>
    <row r="42" spans="1:11" ht="15.75" customHeight="1">
      <c r="A42" s="1" t="s">
        <v>624</v>
      </c>
      <c r="B42" s="1" t="s">
        <v>625</v>
      </c>
      <c r="C42" s="1" t="s">
        <v>965</v>
      </c>
      <c r="D42" s="1" t="s">
        <v>90</v>
      </c>
      <c r="E42" s="1" t="s">
        <v>626</v>
      </c>
      <c r="F42" s="1" t="s">
        <v>627</v>
      </c>
      <c r="H42" s="3">
        <v>31000</v>
      </c>
      <c r="I42" s="1" t="s">
        <v>140</v>
      </c>
      <c r="J42" s="3" t="s">
        <v>966</v>
      </c>
      <c r="K42" s="3" t="s">
        <v>967</v>
      </c>
    </row>
    <row r="43" spans="1:11" ht="15.75" customHeight="1">
      <c r="A43" s="1" t="s">
        <v>719</v>
      </c>
      <c r="B43" s="1" t="s">
        <v>720</v>
      </c>
      <c r="C43" s="1" t="s">
        <v>968</v>
      </c>
      <c r="D43" s="1" t="s">
        <v>907</v>
      </c>
      <c r="E43" s="1" t="s">
        <v>969</v>
      </c>
      <c r="F43" s="1" t="s">
        <v>722</v>
      </c>
      <c r="G43" s="1" t="s">
        <v>683</v>
      </c>
      <c r="H43" s="3" t="s">
        <v>723</v>
      </c>
      <c r="I43" s="1" t="s">
        <v>192</v>
      </c>
      <c r="J43" s="3" t="s">
        <v>970</v>
      </c>
      <c r="K43" s="3" t="s">
        <v>971</v>
      </c>
    </row>
    <row r="44" spans="1:11" ht="15.75" customHeight="1">
      <c r="A44" s="1" t="s">
        <v>715</v>
      </c>
      <c r="B44" s="1" t="s">
        <v>716</v>
      </c>
      <c r="C44" s="1" t="s">
        <v>972</v>
      </c>
      <c r="D44" s="1" t="s">
        <v>39</v>
      </c>
      <c r="E44" s="1" t="s">
        <v>717</v>
      </c>
      <c r="F44" s="1" t="s">
        <v>718</v>
      </c>
      <c r="G44" s="1" t="s">
        <v>488</v>
      </c>
      <c r="H44" s="3">
        <v>99362</v>
      </c>
      <c r="I44" s="1" t="s">
        <v>26</v>
      </c>
      <c r="J44" s="3" t="s">
        <v>973</v>
      </c>
      <c r="K44" s="3" t="s">
        <v>974</v>
      </c>
    </row>
    <row r="45" spans="1:11" ht="15.75" customHeight="1">
      <c r="A45" s="1" t="s">
        <v>514</v>
      </c>
      <c r="B45" s="1" t="s">
        <v>515</v>
      </c>
      <c r="C45" s="1" t="s">
        <v>975</v>
      </c>
      <c r="D45" s="1" t="s">
        <v>31</v>
      </c>
      <c r="E45" s="1" t="s">
        <v>516</v>
      </c>
      <c r="F45" s="1" t="s">
        <v>517</v>
      </c>
      <c r="H45" s="3">
        <v>60528</v>
      </c>
      <c r="I45" s="1" t="s">
        <v>93</v>
      </c>
      <c r="J45" s="3" t="s">
        <v>976</v>
      </c>
      <c r="K45" s="3" t="s">
        <v>977</v>
      </c>
    </row>
    <row r="46" spans="1:11" ht="15.75" customHeight="1">
      <c r="A46" s="1" t="s">
        <v>748</v>
      </c>
      <c r="B46" s="1" t="s">
        <v>749</v>
      </c>
      <c r="C46" s="1" t="s">
        <v>978</v>
      </c>
      <c r="D46" s="1" t="s">
        <v>153</v>
      </c>
      <c r="E46" s="1" t="s">
        <v>750</v>
      </c>
      <c r="F46" s="1" t="s">
        <v>751</v>
      </c>
      <c r="G46" s="1" t="s">
        <v>752</v>
      </c>
      <c r="H46" s="3">
        <v>94117</v>
      </c>
      <c r="I46" s="1" t="s">
        <v>26</v>
      </c>
      <c r="J46" s="3" t="s">
        <v>979</v>
      </c>
    </row>
    <row r="47" spans="1:11" ht="15.75" customHeight="1">
      <c r="A47" s="1" t="s">
        <v>522</v>
      </c>
      <c r="B47" s="1" t="s">
        <v>523</v>
      </c>
      <c r="C47" s="1" t="s">
        <v>980</v>
      </c>
      <c r="D47" s="1" t="s">
        <v>164</v>
      </c>
      <c r="E47" s="1" t="s">
        <v>524</v>
      </c>
      <c r="F47" s="1" t="s">
        <v>525</v>
      </c>
      <c r="G47" s="1" t="s">
        <v>526</v>
      </c>
      <c r="H47" s="3">
        <v>3508</v>
      </c>
      <c r="I47" s="1" t="s">
        <v>438</v>
      </c>
      <c r="J47" s="3" t="s">
        <v>981</v>
      </c>
      <c r="K47" s="3" t="s">
        <v>982</v>
      </c>
    </row>
    <row r="48" spans="1:11" ht="15.75" customHeight="1">
      <c r="A48" s="1" t="s">
        <v>685</v>
      </c>
      <c r="B48" s="1" t="s">
        <v>686</v>
      </c>
      <c r="C48" s="1" t="s">
        <v>983</v>
      </c>
      <c r="D48" s="1" t="s">
        <v>153</v>
      </c>
      <c r="E48" s="1" t="s">
        <v>687</v>
      </c>
      <c r="F48" s="1" t="s">
        <v>688</v>
      </c>
      <c r="G48" s="1" t="s">
        <v>689</v>
      </c>
      <c r="H48" s="3">
        <v>4980</v>
      </c>
      <c r="I48" s="1" t="s">
        <v>438</v>
      </c>
      <c r="J48" s="3" t="s">
        <v>984</v>
      </c>
      <c r="K48" s="3" t="s">
        <v>985</v>
      </c>
    </row>
    <row r="49" spans="1:11" ht="15.75" customHeight="1">
      <c r="A49" s="1" t="s">
        <v>566</v>
      </c>
      <c r="B49" s="1" t="s">
        <v>567</v>
      </c>
      <c r="C49" s="1" t="s">
        <v>986</v>
      </c>
      <c r="D49" s="1" t="s">
        <v>90</v>
      </c>
      <c r="E49" s="1" t="s">
        <v>568</v>
      </c>
      <c r="F49" s="1" t="s">
        <v>569</v>
      </c>
      <c r="G49" s="1" t="s">
        <v>128</v>
      </c>
      <c r="H49" s="3">
        <v>97219</v>
      </c>
      <c r="I49" s="1" t="s">
        <v>26</v>
      </c>
      <c r="J49" s="3" t="s">
        <v>987</v>
      </c>
      <c r="K49" s="3" t="s">
        <v>988</v>
      </c>
    </row>
    <row r="50" spans="1:11" ht="15.75" customHeight="1">
      <c r="A50" s="1" t="s">
        <v>498</v>
      </c>
      <c r="B50" s="1" t="s">
        <v>499</v>
      </c>
      <c r="C50" s="1" t="s">
        <v>989</v>
      </c>
      <c r="D50" s="1" t="s">
        <v>39</v>
      </c>
      <c r="E50" s="1" t="s">
        <v>500</v>
      </c>
      <c r="F50" s="1" t="s">
        <v>501</v>
      </c>
      <c r="H50" s="3">
        <v>24100</v>
      </c>
      <c r="I50" s="1" t="s">
        <v>113</v>
      </c>
      <c r="J50" s="3" t="s">
        <v>990</v>
      </c>
      <c r="K50" s="3" t="s">
        <v>991</v>
      </c>
    </row>
    <row r="51" spans="1:11" ht="15.75" customHeight="1">
      <c r="A51" s="1" t="s">
        <v>739</v>
      </c>
      <c r="B51" s="1" t="s">
        <v>740</v>
      </c>
      <c r="C51" s="1" t="s">
        <v>992</v>
      </c>
      <c r="D51" s="1" t="s">
        <v>75</v>
      </c>
      <c r="E51" s="1" t="s">
        <v>741</v>
      </c>
      <c r="F51" s="1" t="s">
        <v>742</v>
      </c>
      <c r="H51" s="3" t="s">
        <v>743</v>
      </c>
      <c r="I51" s="1" t="s">
        <v>417</v>
      </c>
      <c r="J51" s="3" t="s">
        <v>993</v>
      </c>
      <c r="K51" s="3" t="s">
        <v>994</v>
      </c>
    </row>
    <row r="52" spans="1:11" ht="15.75" customHeight="1">
      <c r="A52" s="1" t="s">
        <v>610</v>
      </c>
      <c r="B52" s="1" t="s">
        <v>611</v>
      </c>
      <c r="C52" s="1" t="s">
        <v>995</v>
      </c>
      <c r="D52" s="1" t="s">
        <v>907</v>
      </c>
      <c r="E52" s="1" t="s">
        <v>612</v>
      </c>
      <c r="F52" s="1" t="s">
        <v>189</v>
      </c>
      <c r="G52" s="1" t="s">
        <v>190</v>
      </c>
      <c r="H52" s="3" t="s">
        <v>191</v>
      </c>
      <c r="I52" s="1" t="s">
        <v>192</v>
      </c>
      <c r="J52" s="3" t="s">
        <v>996</v>
      </c>
      <c r="K52" s="3" t="s">
        <v>997</v>
      </c>
    </row>
    <row r="53" spans="1:11" ht="15.75" customHeight="1">
      <c r="A53" s="1" t="s">
        <v>505</v>
      </c>
      <c r="B53" s="1" t="s">
        <v>506</v>
      </c>
      <c r="C53" s="1" t="s">
        <v>998</v>
      </c>
      <c r="D53" s="1" t="s">
        <v>907</v>
      </c>
      <c r="E53" s="1" t="s">
        <v>507</v>
      </c>
      <c r="F53" s="1" t="s">
        <v>508</v>
      </c>
      <c r="H53" s="3">
        <v>4179</v>
      </c>
      <c r="I53" s="1" t="s">
        <v>93</v>
      </c>
      <c r="J53" s="3" t="s">
        <v>999</v>
      </c>
    </row>
    <row r="54" spans="1:11" ht="13">
      <c r="A54" s="1" t="s">
        <v>728</v>
      </c>
      <c r="B54" s="1" t="s">
        <v>729</v>
      </c>
      <c r="C54" s="1" t="s">
        <v>1000</v>
      </c>
      <c r="D54" s="1" t="s">
        <v>889</v>
      </c>
      <c r="E54" s="1" t="s">
        <v>730</v>
      </c>
      <c r="F54" s="1" t="s">
        <v>16</v>
      </c>
      <c r="H54" s="3" t="s">
        <v>731</v>
      </c>
      <c r="I54" s="1" t="s">
        <v>18</v>
      </c>
      <c r="J54" s="3" t="s">
        <v>1001</v>
      </c>
      <c r="K54" s="3" t="s">
        <v>1002</v>
      </c>
    </row>
    <row r="55" spans="1:11" ht="13">
      <c r="A55" s="1" t="s">
        <v>694</v>
      </c>
      <c r="B55" s="1" t="s">
        <v>695</v>
      </c>
      <c r="C55" s="1" t="s">
        <v>1003</v>
      </c>
      <c r="D55" s="1" t="s">
        <v>75</v>
      </c>
      <c r="E55" s="1" t="s">
        <v>696</v>
      </c>
      <c r="F55" s="1" t="s">
        <v>697</v>
      </c>
      <c r="H55" s="3">
        <v>1010</v>
      </c>
      <c r="I55" s="1" t="s">
        <v>698</v>
      </c>
      <c r="J55" s="3" t="s">
        <v>1004</v>
      </c>
      <c r="K55" s="3" t="s">
        <v>1005</v>
      </c>
    </row>
    <row r="56" spans="1:11" ht="13">
      <c r="A56" s="1" t="s">
        <v>561</v>
      </c>
      <c r="B56" s="1" t="s">
        <v>562</v>
      </c>
      <c r="C56" s="1" t="s">
        <v>1006</v>
      </c>
      <c r="D56" s="1" t="s">
        <v>31</v>
      </c>
      <c r="E56" s="1" t="s">
        <v>563</v>
      </c>
      <c r="F56" s="1" t="s">
        <v>564</v>
      </c>
      <c r="G56" s="1" t="s">
        <v>565</v>
      </c>
      <c r="H56" s="3">
        <v>99508</v>
      </c>
      <c r="I56" s="1" t="s">
        <v>26</v>
      </c>
      <c r="J56" s="3" t="s">
        <v>1007</v>
      </c>
      <c r="K56" s="3" t="s">
        <v>1008</v>
      </c>
    </row>
    <row r="57" spans="1:11" ht="13">
      <c r="A57" s="1" t="s">
        <v>449</v>
      </c>
      <c r="B57" s="1" t="s">
        <v>450</v>
      </c>
      <c r="C57" s="1" t="s">
        <v>1009</v>
      </c>
      <c r="D57" s="1" t="s">
        <v>153</v>
      </c>
      <c r="E57" s="1" t="s">
        <v>451</v>
      </c>
      <c r="F57" s="1" t="s">
        <v>452</v>
      </c>
      <c r="H57" s="3">
        <v>50739</v>
      </c>
      <c r="I57" s="1" t="s">
        <v>93</v>
      </c>
      <c r="J57" s="3" t="s">
        <v>1010</v>
      </c>
      <c r="K57" s="3" t="s">
        <v>1011</v>
      </c>
    </row>
    <row r="58" spans="1:11" ht="13">
      <c r="A58" s="1" t="s">
        <v>1012</v>
      </c>
      <c r="B58" s="1" t="s">
        <v>1013</v>
      </c>
      <c r="C58" s="1" t="s">
        <v>1014</v>
      </c>
      <c r="D58" s="1" t="s">
        <v>153</v>
      </c>
      <c r="E58" s="1" t="s">
        <v>1015</v>
      </c>
      <c r="F58" s="1" t="s">
        <v>139</v>
      </c>
      <c r="H58" s="3">
        <v>75012</v>
      </c>
      <c r="I58" s="1" t="s">
        <v>140</v>
      </c>
      <c r="J58" s="3" t="s">
        <v>1016</v>
      </c>
      <c r="K58" s="3" t="s">
        <v>1017</v>
      </c>
    </row>
    <row r="59" spans="1:11" ht="13">
      <c r="A59" s="1" t="s">
        <v>586</v>
      </c>
      <c r="B59" s="1" t="s">
        <v>587</v>
      </c>
      <c r="C59" s="1" t="s">
        <v>1018</v>
      </c>
      <c r="D59" s="1" t="s">
        <v>31</v>
      </c>
      <c r="E59" s="1" t="s">
        <v>588</v>
      </c>
      <c r="F59" s="1" t="s">
        <v>447</v>
      </c>
      <c r="H59" s="3">
        <v>5033</v>
      </c>
      <c r="I59" s="1" t="s">
        <v>448</v>
      </c>
      <c r="J59" s="3" t="s">
        <v>1019</v>
      </c>
      <c r="K59" s="3" t="s">
        <v>1020</v>
      </c>
    </row>
    <row r="60" spans="1:11" ht="13">
      <c r="A60" s="1" t="s">
        <v>628</v>
      </c>
      <c r="B60" s="1" t="s">
        <v>629</v>
      </c>
      <c r="C60" s="1" t="s">
        <v>1021</v>
      </c>
      <c r="D60" s="1" t="s">
        <v>90</v>
      </c>
      <c r="E60" s="1" t="s">
        <v>630</v>
      </c>
      <c r="F60" s="1" t="s">
        <v>631</v>
      </c>
      <c r="H60" s="3">
        <v>5020</v>
      </c>
      <c r="I60" s="1" t="s">
        <v>443</v>
      </c>
      <c r="J60" s="3" t="s">
        <v>1022</v>
      </c>
      <c r="K60" s="3" t="s">
        <v>1023</v>
      </c>
    </row>
    <row r="61" spans="1:11" ht="13">
      <c r="A61" s="1" t="s">
        <v>613</v>
      </c>
      <c r="B61" s="1" t="s">
        <v>614</v>
      </c>
      <c r="C61" s="1" t="s">
        <v>1024</v>
      </c>
      <c r="D61" s="1" t="s">
        <v>31</v>
      </c>
      <c r="E61" s="1" t="s">
        <v>615</v>
      </c>
      <c r="F61" s="1" t="s">
        <v>604</v>
      </c>
      <c r="H61" s="3">
        <v>1756</v>
      </c>
      <c r="I61" s="1" t="s">
        <v>605</v>
      </c>
      <c r="J61" s="3" t="s">
        <v>1025</v>
      </c>
    </row>
    <row r="62" spans="1:11" ht="13">
      <c r="A62" s="1" t="s">
        <v>453</v>
      </c>
      <c r="B62" s="1" t="s">
        <v>454</v>
      </c>
      <c r="C62" s="1" t="s">
        <v>1026</v>
      </c>
      <c r="D62" s="1" t="s">
        <v>164</v>
      </c>
      <c r="E62" s="1" t="s">
        <v>455</v>
      </c>
      <c r="F62" s="1" t="s">
        <v>405</v>
      </c>
      <c r="G62" s="1" t="s">
        <v>406</v>
      </c>
      <c r="H62" s="3" t="s">
        <v>456</v>
      </c>
      <c r="I62" s="1" t="s">
        <v>86</v>
      </c>
      <c r="J62" s="3" t="s">
        <v>1027</v>
      </c>
      <c r="K62" s="3" t="s">
        <v>1028</v>
      </c>
    </row>
    <row r="63" spans="1:11" ht="13">
      <c r="A63" s="1" t="s">
        <v>661</v>
      </c>
      <c r="B63" s="1" t="s">
        <v>662</v>
      </c>
      <c r="C63" s="1" t="s">
        <v>1029</v>
      </c>
      <c r="D63" s="1" t="s">
        <v>907</v>
      </c>
      <c r="E63" s="1" t="s">
        <v>663</v>
      </c>
      <c r="F63" s="1" t="s">
        <v>85</v>
      </c>
      <c r="G63" s="1" t="s">
        <v>431</v>
      </c>
      <c r="H63" s="3" t="s">
        <v>664</v>
      </c>
      <c r="I63" s="1" t="s">
        <v>86</v>
      </c>
      <c r="J63" s="3" t="s">
        <v>1030</v>
      </c>
    </row>
    <row r="64" spans="1:11" ht="13">
      <c r="A64" s="1" t="s">
        <v>494</v>
      </c>
      <c r="B64" s="1" t="s">
        <v>495</v>
      </c>
      <c r="C64" s="1" t="s">
        <v>1031</v>
      </c>
      <c r="D64" s="1" t="s">
        <v>164</v>
      </c>
      <c r="E64" s="1" t="s">
        <v>496</v>
      </c>
      <c r="F64" s="1" t="s">
        <v>497</v>
      </c>
      <c r="H64" s="3">
        <v>1307</v>
      </c>
      <c r="I64" s="1" t="s">
        <v>93</v>
      </c>
      <c r="J64" s="3" t="s">
        <v>1032</v>
      </c>
    </row>
    <row r="65" spans="1:11" ht="13">
      <c r="A65" s="1" t="s">
        <v>712</v>
      </c>
      <c r="B65" s="1" t="s">
        <v>713</v>
      </c>
      <c r="C65" s="1" t="s">
        <v>1033</v>
      </c>
      <c r="D65" s="1" t="s">
        <v>31</v>
      </c>
      <c r="E65" s="1" t="s">
        <v>714</v>
      </c>
      <c r="F65" s="1" t="s">
        <v>697</v>
      </c>
      <c r="H65" s="3">
        <v>1010</v>
      </c>
      <c r="I65" s="1" t="s">
        <v>698</v>
      </c>
      <c r="J65" s="3" t="s">
        <v>1034</v>
      </c>
      <c r="K65" s="3" t="s">
        <v>1035</v>
      </c>
    </row>
    <row r="66" spans="1:11" ht="13">
      <c r="A66" s="1" t="s">
        <v>457</v>
      </c>
      <c r="B66" s="1" t="s">
        <v>458</v>
      </c>
      <c r="C66" s="1" t="s">
        <v>1036</v>
      </c>
      <c r="D66" s="1" t="s">
        <v>1037</v>
      </c>
      <c r="E66" s="1" t="s">
        <v>459</v>
      </c>
      <c r="F66" s="1" t="s">
        <v>460</v>
      </c>
      <c r="G66" s="1" t="s">
        <v>461</v>
      </c>
      <c r="H66" s="3">
        <v>87110</v>
      </c>
      <c r="I66" s="1" t="s">
        <v>26</v>
      </c>
      <c r="J66" s="3" t="s">
        <v>1038</v>
      </c>
      <c r="K66" s="3" t="s">
        <v>1039</v>
      </c>
    </row>
    <row r="67" spans="1:11" ht="13">
      <c r="A67" s="1" t="s">
        <v>531</v>
      </c>
      <c r="B67" s="1" t="s">
        <v>532</v>
      </c>
      <c r="C67" s="1" t="s">
        <v>1040</v>
      </c>
      <c r="D67" s="1" t="s">
        <v>889</v>
      </c>
      <c r="E67" s="1" t="s">
        <v>533</v>
      </c>
      <c r="F67" s="1" t="s">
        <v>534</v>
      </c>
      <c r="H67" s="3">
        <v>42100</v>
      </c>
      <c r="I67" s="1" t="s">
        <v>113</v>
      </c>
      <c r="J67" s="3" t="s">
        <v>1041</v>
      </c>
      <c r="K67" s="3" t="s">
        <v>1042</v>
      </c>
    </row>
    <row r="68" spans="1:11" ht="13">
      <c r="A68" s="1" t="s">
        <v>527</v>
      </c>
      <c r="B68" s="1" t="s">
        <v>528</v>
      </c>
      <c r="C68" s="1" t="s">
        <v>1043</v>
      </c>
      <c r="D68" s="1" t="s">
        <v>916</v>
      </c>
      <c r="E68" s="1" t="s">
        <v>529</v>
      </c>
      <c r="F68" s="1" t="s">
        <v>405</v>
      </c>
      <c r="G68" s="1" t="s">
        <v>406</v>
      </c>
      <c r="H68" s="3" t="s">
        <v>530</v>
      </c>
      <c r="I68" s="1" t="s">
        <v>86</v>
      </c>
      <c r="J68" s="3" t="s">
        <v>1044</v>
      </c>
    </row>
    <row r="69" spans="1:11" ht="13">
      <c r="A69" s="1" t="s">
        <v>423</v>
      </c>
      <c r="B69" s="1" t="s">
        <v>424</v>
      </c>
      <c r="C69" s="1" t="s">
        <v>1045</v>
      </c>
      <c r="D69" s="1" t="s">
        <v>90</v>
      </c>
      <c r="E69" s="1" t="s">
        <v>1046</v>
      </c>
      <c r="F69" s="1" t="s">
        <v>426</v>
      </c>
      <c r="H69" s="3">
        <v>1203</v>
      </c>
      <c r="I69" s="1" t="s">
        <v>422</v>
      </c>
      <c r="J69" s="3" t="s">
        <v>1047</v>
      </c>
    </row>
    <row r="70" spans="1:11" ht="13">
      <c r="A70" s="1" t="s">
        <v>518</v>
      </c>
      <c r="B70" s="1" t="s">
        <v>519</v>
      </c>
      <c r="C70" s="1" t="s">
        <v>1048</v>
      </c>
      <c r="D70" s="1" t="s">
        <v>164</v>
      </c>
      <c r="E70" s="1" t="s">
        <v>520</v>
      </c>
      <c r="F70" s="1" t="s">
        <v>521</v>
      </c>
      <c r="H70" s="3">
        <v>28001</v>
      </c>
      <c r="I70" s="1" t="s">
        <v>50</v>
      </c>
      <c r="J70" s="3" t="s">
        <v>1049</v>
      </c>
      <c r="K70" s="3" t="s">
        <v>1050</v>
      </c>
    </row>
    <row r="71" spans="1:11" ht="13">
      <c r="A71" s="1" t="s">
        <v>675</v>
      </c>
      <c r="B71" s="1" t="s">
        <v>676</v>
      </c>
      <c r="C71" s="1" t="s">
        <v>1051</v>
      </c>
      <c r="D71" s="1" t="s">
        <v>153</v>
      </c>
      <c r="E71" s="1" t="s">
        <v>677</v>
      </c>
      <c r="F71" s="1" t="s">
        <v>678</v>
      </c>
      <c r="H71" s="3">
        <v>4110</v>
      </c>
      <c r="I71" s="1" t="s">
        <v>121</v>
      </c>
      <c r="J71" s="3" t="s">
        <v>1052</v>
      </c>
      <c r="K71" s="3" t="s">
        <v>1053</v>
      </c>
    </row>
    <row r="72" spans="1:11" ht="13">
      <c r="A72" s="1" t="s">
        <v>593</v>
      </c>
      <c r="B72" s="1" t="s">
        <v>594</v>
      </c>
      <c r="C72" s="1" t="s">
        <v>1054</v>
      </c>
      <c r="D72" s="1" t="s">
        <v>31</v>
      </c>
      <c r="E72" s="1" t="s">
        <v>595</v>
      </c>
      <c r="F72" s="1" t="s">
        <v>596</v>
      </c>
      <c r="G72" s="1" t="s">
        <v>597</v>
      </c>
      <c r="H72" s="3">
        <v>83720</v>
      </c>
      <c r="I72" s="1" t="s">
        <v>26</v>
      </c>
      <c r="J72" s="3" t="s">
        <v>1055</v>
      </c>
    </row>
    <row r="73" spans="1:11" ht="13">
      <c r="A73" s="1" t="s">
        <v>638</v>
      </c>
      <c r="B73" s="1" t="s">
        <v>639</v>
      </c>
      <c r="C73" s="1" t="s">
        <v>1056</v>
      </c>
      <c r="D73" s="1" t="s">
        <v>90</v>
      </c>
      <c r="E73" s="1" t="s">
        <v>640</v>
      </c>
      <c r="F73" s="1" t="s">
        <v>16</v>
      </c>
      <c r="H73" s="3" t="s">
        <v>641</v>
      </c>
      <c r="I73" s="1" t="s">
        <v>18</v>
      </c>
      <c r="J73" s="3" t="s">
        <v>1057</v>
      </c>
      <c r="K73" s="3" t="s">
        <v>1058</v>
      </c>
    </row>
    <row r="74" spans="1:11" ht="13">
      <c r="A74" s="1" t="s">
        <v>616</v>
      </c>
      <c r="B74" s="1" t="s">
        <v>617</v>
      </c>
      <c r="C74" s="1" t="s">
        <v>1059</v>
      </c>
      <c r="D74" s="1" t="s">
        <v>153</v>
      </c>
      <c r="E74" s="1" t="s">
        <v>618</v>
      </c>
      <c r="F74" s="1" t="s">
        <v>619</v>
      </c>
      <c r="H74" s="3">
        <v>1734</v>
      </c>
      <c r="I74" s="1" t="s">
        <v>161</v>
      </c>
      <c r="J74" s="3" t="s">
        <v>1060</v>
      </c>
      <c r="K74" s="3" t="s">
        <v>1061</v>
      </c>
    </row>
    <row r="75" spans="1:11" ht="13">
      <c r="A75" s="1" t="s">
        <v>769</v>
      </c>
      <c r="B75" s="1" t="s">
        <v>770</v>
      </c>
      <c r="C75" s="1" t="s">
        <v>1062</v>
      </c>
      <c r="D75" s="1" t="s">
        <v>39</v>
      </c>
      <c r="E75" s="1" t="s">
        <v>771</v>
      </c>
      <c r="F75" s="1" t="s">
        <v>139</v>
      </c>
      <c r="H75" s="3">
        <v>75016</v>
      </c>
      <c r="I75" s="1" t="s">
        <v>140</v>
      </c>
      <c r="J75" s="3" t="s">
        <v>1063</v>
      </c>
      <c r="K75" s="3" t="s">
        <v>1064</v>
      </c>
    </row>
    <row r="76" spans="1:11" ht="13">
      <c r="A76" s="1" t="s">
        <v>489</v>
      </c>
      <c r="B76" s="1" t="s">
        <v>490</v>
      </c>
      <c r="C76" s="1" t="s">
        <v>1065</v>
      </c>
      <c r="D76" s="1" t="s">
        <v>90</v>
      </c>
      <c r="E76" s="1" t="s">
        <v>491</v>
      </c>
      <c r="F76" s="1" t="s">
        <v>492</v>
      </c>
      <c r="G76" s="1" t="s">
        <v>493</v>
      </c>
      <c r="H76" s="3">
        <v>82520</v>
      </c>
      <c r="I76" s="1" t="s">
        <v>26</v>
      </c>
      <c r="J76" s="3" t="s">
        <v>1066</v>
      </c>
      <c r="K76" s="3" t="s">
        <v>1067</v>
      </c>
    </row>
    <row r="77" spans="1:11" ht="13">
      <c r="A77" s="1" t="s">
        <v>412</v>
      </c>
      <c r="B77" s="1" t="s">
        <v>413</v>
      </c>
      <c r="C77" s="1" t="s">
        <v>1068</v>
      </c>
      <c r="D77" s="1" t="s">
        <v>164</v>
      </c>
      <c r="E77" s="1" t="s">
        <v>414</v>
      </c>
      <c r="F77" s="1" t="s">
        <v>415</v>
      </c>
      <c r="H77" s="3" t="s">
        <v>416</v>
      </c>
      <c r="I77" s="1" t="s">
        <v>417</v>
      </c>
      <c r="J77" s="3" t="s">
        <v>1069</v>
      </c>
      <c r="K77" s="3" t="s">
        <v>1070</v>
      </c>
    </row>
    <row r="78" spans="1:11" ht="13">
      <c r="A78" s="1" t="s">
        <v>573</v>
      </c>
      <c r="B78" s="1" t="s">
        <v>574</v>
      </c>
      <c r="C78" s="1" t="s">
        <v>1071</v>
      </c>
      <c r="D78" s="1" t="s">
        <v>39</v>
      </c>
      <c r="E78" s="1" t="s">
        <v>575</v>
      </c>
      <c r="F78" s="1" t="s">
        <v>569</v>
      </c>
      <c r="G78" s="1" t="s">
        <v>128</v>
      </c>
      <c r="H78" s="3">
        <v>97201</v>
      </c>
      <c r="I78" s="1" t="s">
        <v>26</v>
      </c>
      <c r="J78" s="3" t="s">
        <v>1072</v>
      </c>
    </row>
    <row r="79" spans="1:11" ht="13">
      <c r="A79" s="1" t="s">
        <v>757</v>
      </c>
      <c r="B79" s="1" t="s">
        <v>758</v>
      </c>
      <c r="C79" s="1" t="s">
        <v>1073</v>
      </c>
      <c r="D79" s="1" t="s">
        <v>907</v>
      </c>
      <c r="E79" s="1" t="s">
        <v>759</v>
      </c>
      <c r="F79" s="1" t="s">
        <v>760</v>
      </c>
      <c r="G79" s="1" t="s">
        <v>761</v>
      </c>
      <c r="H79" s="3">
        <v>59801</v>
      </c>
      <c r="I79" s="1" t="s">
        <v>26</v>
      </c>
      <c r="J79" s="3" t="s">
        <v>1074</v>
      </c>
      <c r="K79" s="3" t="s">
        <v>1075</v>
      </c>
    </row>
    <row r="80" spans="1:11" ht="13">
      <c r="A80" s="1" t="s">
        <v>398</v>
      </c>
      <c r="B80" s="1" t="s">
        <v>399</v>
      </c>
      <c r="C80" s="1" t="s">
        <v>1076</v>
      </c>
      <c r="D80" s="1" t="s">
        <v>39</v>
      </c>
      <c r="E80" s="1" t="s">
        <v>400</v>
      </c>
      <c r="F80" s="1" t="s">
        <v>401</v>
      </c>
      <c r="H80" s="3">
        <v>44087</v>
      </c>
      <c r="I80" s="1" t="s">
        <v>93</v>
      </c>
      <c r="J80" s="3" t="s">
        <v>1077</v>
      </c>
      <c r="K80" s="3" t="s">
        <v>1078</v>
      </c>
    </row>
    <row r="81" spans="1:11" ht="13">
      <c r="A81" s="1" t="s">
        <v>502</v>
      </c>
      <c r="B81" s="1" t="s">
        <v>503</v>
      </c>
      <c r="C81" s="1" t="s">
        <v>1079</v>
      </c>
      <c r="D81" s="1" t="s">
        <v>153</v>
      </c>
      <c r="E81" s="1" t="s">
        <v>504</v>
      </c>
      <c r="F81" s="1" t="s">
        <v>447</v>
      </c>
      <c r="H81" s="3">
        <v>5033</v>
      </c>
      <c r="I81" s="1" t="s">
        <v>448</v>
      </c>
      <c r="J81" s="3" t="s">
        <v>1080</v>
      </c>
    </row>
    <row r="82" spans="1:11" ht="13">
      <c r="A82" s="1" t="s">
        <v>543</v>
      </c>
      <c r="B82" s="1" t="s">
        <v>544</v>
      </c>
      <c r="C82" s="1" t="s">
        <v>1081</v>
      </c>
      <c r="D82" s="1" t="s">
        <v>31</v>
      </c>
      <c r="E82" s="1" t="s">
        <v>545</v>
      </c>
      <c r="F82" s="1" t="s">
        <v>85</v>
      </c>
      <c r="G82" s="1" t="s">
        <v>431</v>
      </c>
      <c r="H82" s="3" t="s">
        <v>546</v>
      </c>
      <c r="I82" s="1" t="s">
        <v>86</v>
      </c>
      <c r="J82" s="3" t="s">
        <v>1082</v>
      </c>
      <c r="K82" s="3" t="s">
        <v>1083</v>
      </c>
    </row>
    <row r="83" spans="1:11" ht="13">
      <c r="A83" s="1" t="s">
        <v>744</v>
      </c>
      <c r="B83" s="1" t="s">
        <v>745</v>
      </c>
      <c r="C83" s="1" t="s">
        <v>1084</v>
      </c>
      <c r="D83" s="1" t="s">
        <v>889</v>
      </c>
      <c r="E83" s="1" t="s">
        <v>746</v>
      </c>
      <c r="F83" s="1" t="s">
        <v>747</v>
      </c>
      <c r="G83" s="1" t="s">
        <v>488</v>
      </c>
      <c r="H83" s="3">
        <v>98034</v>
      </c>
      <c r="I83" s="1" t="s">
        <v>26</v>
      </c>
      <c r="J83" s="3" t="s">
        <v>1085</v>
      </c>
      <c r="K83" s="3" t="s">
        <v>1086</v>
      </c>
    </row>
    <row r="84" spans="1:11" ht="13">
      <c r="A84" s="1" t="s">
        <v>657</v>
      </c>
      <c r="B84" s="1" t="s">
        <v>658</v>
      </c>
      <c r="C84" s="1" t="s">
        <v>1087</v>
      </c>
      <c r="D84" s="1" t="s">
        <v>90</v>
      </c>
      <c r="E84" s="1" t="s">
        <v>659</v>
      </c>
      <c r="F84" s="1" t="s">
        <v>660</v>
      </c>
      <c r="H84" s="3">
        <v>8200</v>
      </c>
      <c r="I84" s="1" t="s">
        <v>161</v>
      </c>
      <c r="J84" s="3" t="s">
        <v>1088</v>
      </c>
      <c r="K84" s="3" t="s">
        <v>1089</v>
      </c>
    </row>
    <row r="85" spans="1:11" ht="13">
      <c r="A85" s="1" t="s">
        <v>408</v>
      </c>
      <c r="B85" s="1" t="s">
        <v>409</v>
      </c>
      <c r="C85" s="1" t="s">
        <v>1090</v>
      </c>
      <c r="D85" s="1" t="s">
        <v>75</v>
      </c>
      <c r="E85" s="1" t="s">
        <v>410</v>
      </c>
      <c r="F85" s="1" t="s">
        <v>411</v>
      </c>
      <c r="H85" s="3">
        <v>69004</v>
      </c>
      <c r="I85" s="1" t="s">
        <v>140</v>
      </c>
      <c r="J85" s="3" t="s">
        <v>1091</v>
      </c>
      <c r="K85" s="3" t="s">
        <v>1092</v>
      </c>
    </row>
    <row r="86" spans="1:11" ht="13">
      <c r="A86" s="1" t="s">
        <v>394</v>
      </c>
      <c r="B86" s="1" t="s">
        <v>395</v>
      </c>
      <c r="C86" s="1" t="s">
        <v>1093</v>
      </c>
      <c r="D86" s="1" t="s">
        <v>164</v>
      </c>
      <c r="E86" s="1" t="s">
        <v>396</v>
      </c>
      <c r="F86" s="1" t="s">
        <v>397</v>
      </c>
      <c r="H86" s="3">
        <v>51100</v>
      </c>
      <c r="I86" s="1" t="s">
        <v>140</v>
      </c>
      <c r="J86" s="3" t="s">
        <v>1094</v>
      </c>
      <c r="K86" s="3" t="s">
        <v>1095</v>
      </c>
    </row>
    <row r="87" spans="1:11" ht="13">
      <c r="A87" s="1" t="s">
        <v>553</v>
      </c>
      <c r="B87" s="1" t="s">
        <v>554</v>
      </c>
      <c r="C87" s="1" t="s">
        <v>1096</v>
      </c>
      <c r="D87" s="1" t="s">
        <v>31</v>
      </c>
      <c r="E87" s="1" t="s">
        <v>555</v>
      </c>
      <c r="F87" s="1" t="s">
        <v>556</v>
      </c>
      <c r="H87" s="3">
        <v>70563</v>
      </c>
      <c r="I87" s="1" t="s">
        <v>93</v>
      </c>
      <c r="J87" s="3" t="s">
        <v>1097</v>
      </c>
      <c r="K87" s="3" t="s">
        <v>1098</v>
      </c>
    </row>
    <row r="88" spans="1:11" ht="13">
      <c r="A88" s="1" t="s">
        <v>471</v>
      </c>
      <c r="B88" s="1" t="s">
        <v>472</v>
      </c>
      <c r="C88" s="1" t="s">
        <v>1099</v>
      </c>
      <c r="D88" s="1" t="s">
        <v>164</v>
      </c>
      <c r="E88" s="1" t="s">
        <v>473</v>
      </c>
      <c r="F88" s="1" t="s">
        <v>474</v>
      </c>
      <c r="H88" s="3">
        <v>90110</v>
      </c>
      <c r="I88" s="1" t="s">
        <v>176</v>
      </c>
      <c r="J88" s="3" t="s">
        <v>1100</v>
      </c>
      <c r="K88" s="3" t="s">
        <v>1100</v>
      </c>
    </row>
    <row r="89" spans="1:11" ht="13">
      <c r="A89" s="1" t="s">
        <v>427</v>
      </c>
      <c r="B89" s="1" t="s">
        <v>428</v>
      </c>
      <c r="C89" s="1" t="s">
        <v>1101</v>
      </c>
      <c r="D89" s="1" t="s">
        <v>90</v>
      </c>
      <c r="E89" s="1" t="s">
        <v>429</v>
      </c>
      <c r="F89" s="1" t="s">
        <v>430</v>
      </c>
      <c r="G89" s="1" t="s">
        <v>431</v>
      </c>
      <c r="H89" s="3" t="s">
        <v>432</v>
      </c>
      <c r="I89" s="1" t="s">
        <v>86</v>
      </c>
      <c r="J89" s="3" t="s">
        <v>1102</v>
      </c>
    </row>
    <row r="90" spans="1:11" ht="13">
      <c r="A90" s="1" t="s">
        <v>484</v>
      </c>
      <c r="B90" s="1" t="s">
        <v>485</v>
      </c>
      <c r="C90" s="1" t="s">
        <v>1103</v>
      </c>
      <c r="D90" s="1" t="s">
        <v>153</v>
      </c>
      <c r="E90" s="1" t="s">
        <v>1104</v>
      </c>
      <c r="F90" s="1" t="s">
        <v>487</v>
      </c>
      <c r="G90" s="1" t="s">
        <v>488</v>
      </c>
      <c r="H90" s="3">
        <v>98128</v>
      </c>
      <c r="I90" s="1" t="s">
        <v>26</v>
      </c>
      <c r="J90" s="3" t="s">
        <v>1105</v>
      </c>
      <c r="K90" s="3" t="s">
        <v>1106</v>
      </c>
    </row>
    <row r="91" spans="1:11" ht="13">
      <c r="A91" s="1" t="s">
        <v>753</v>
      </c>
      <c r="B91" s="1" t="s">
        <v>754</v>
      </c>
      <c r="C91" s="1" t="s">
        <v>1107</v>
      </c>
      <c r="D91" s="1" t="s">
        <v>1108</v>
      </c>
      <c r="E91" s="1" t="s">
        <v>755</v>
      </c>
      <c r="F91" s="1" t="s">
        <v>756</v>
      </c>
      <c r="H91" s="3">
        <v>21240</v>
      </c>
      <c r="I91" s="1" t="s">
        <v>176</v>
      </c>
      <c r="J91" s="3" t="s">
        <v>1109</v>
      </c>
      <c r="K91" s="3" t="s">
        <v>1109</v>
      </c>
    </row>
    <row r="92" spans="1:11" ht="13">
      <c r="A92" s="1" t="s">
        <v>665</v>
      </c>
      <c r="B92" s="1" t="s">
        <v>1110</v>
      </c>
      <c r="C92" s="1" t="s">
        <v>1111</v>
      </c>
      <c r="D92" s="1" t="s">
        <v>153</v>
      </c>
      <c r="E92" s="1" t="s">
        <v>667</v>
      </c>
      <c r="F92" s="1" t="s">
        <v>668</v>
      </c>
      <c r="H92" s="3" t="s">
        <v>669</v>
      </c>
      <c r="I92" s="1" t="s">
        <v>670</v>
      </c>
      <c r="J92" s="3" t="s">
        <v>1112</v>
      </c>
      <c r="K92" s="3" t="s">
        <v>1112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C9"/>
  <sheetViews>
    <sheetView workbookViewId="0"/>
  </sheetViews>
  <sheetFormatPr baseColWidth="10" defaultColWidth="12.6640625" defaultRowHeight="15.75" customHeight="1"/>
  <sheetData>
    <row r="1" spans="1:3" ht="15.75" customHeight="1">
      <c r="A1" s="1" t="s">
        <v>226</v>
      </c>
      <c r="B1" s="1" t="s">
        <v>1113</v>
      </c>
      <c r="C1" s="1" t="s">
        <v>1114</v>
      </c>
    </row>
    <row r="2" spans="1:3" ht="15.75" customHeight="1">
      <c r="A2" s="1">
        <v>1</v>
      </c>
      <c r="B2" s="1" t="s">
        <v>1115</v>
      </c>
      <c r="C2" s="1" t="s">
        <v>1116</v>
      </c>
    </row>
    <row r="3" spans="1:3" ht="15.75" customHeight="1">
      <c r="A3" s="1">
        <v>2</v>
      </c>
      <c r="B3" s="1" t="s">
        <v>1117</v>
      </c>
      <c r="C3" s="1" t="s">
        <v>1118</v>
      </c>
    </row>
    <row r="4" spans="1:3" ht="15.75" customHeight="1">
      <c r="A4" s="1">
        <v>3</v>
      </c>
      <c r="B4" s="1" t="s">
        <v>1119</v>
      </c>
      <c r="C4" s="1" t="s">
        <v>1120</v>
      </c>
    </row>
    <row r="5" spans="1:3" ht="15.75" customHeight="1">
      <c r="A5" s="1">
        <v>4</v>
      </c>
      <c r="B5" s="1" t="s">
        <v>1121</v>
      </c>
      <c r="C5" s="1" t="s">
        <v>1122</v>
      </c>
    </row>
    <row r="6" spans="1:3" ht="15.75" customHeight="1">
      <c r="A6" s="1">
        <v>5</v>
      </c>
      <c r="B6" s="1" t="s">
        <v>1123</v>
      </c>
      <c r="C6" s="1" t="s">
        <v>1124</v>
      </c>
    </row>
    <row r="7" spans="1:3" ht="15.75" customHeight="1">
      <c r="A7" s="1">
        <v>6</v>
      </c>
      <c r="B7" s="1" t="s">
        <v>1125</v>
      </c>
      <c r="C7" s="1" t="s">
        <v>1126</v>
      </c>
    </row>
    <row r="8" spans="1:3" ht="15.75" customHeight="1">
      <c r="A8" s="1">
        <v>7</v>
      </c>
      <c r="B8" s="1" t="s">
        <v>1127</v>
      </c>
      <c r="C8" s="1" t="s">
        <v>1128</v>
      </c>
    </row>
    <row r="9" spans="1:3" ht="15.75" customHeight="1">
      <c r="A9" s="1">
        <v>8</v>
      </c>
      <c r="B9" s="1" t="s">
        <v>1129</v>
      </c>
      <c r="C9" s="1" t="s">
        <v>1130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7D65B-EDBD-410B-B4A3-A3BBF3B596AF}">
  <dimension ref="A1:O16"/>
  <sheetViews>
    <sheetView showGridLines="0" tabSelected="1" zoomScale="125" workbookViewId="0">
      <selection activeCell="A18" sqref="A18"/>
    </sheetView>
  </sheetViews>
  <sheetFormatPr baseColWidth="10" defaultColWidth="8.83203125" defaultRowHeight="13"/>
  <cols>
    <col min="1" max="1" width="10.5" customWidth="1"/>
  </cols>
  <sheetData>
    <row r="1" spans="1:15" ht="22" thickBot="1">
      <c r="A1" s="23" t="s">
        <v>1588</v>
      </c>
      <c r="B1" s="26" t="s">
        <v>1589</v>
      </c>
      <c r="C1" s="20"/>
      <c r="D1" s="20"/>
      <c r="E1" s="20"/>
      <c r="F1" s="20"/>
      <c r="G1" s="20"/>
      <c r="H1" s="20"/>
      <c r="I1" s="20"/>
      <c r="J1" s="20"/>
      <c r="K1" s="20"/>
      <c r="L1" s="20"/>
      <c r="M1" s="20"/>
      <c r="N1" s="21"/>
      <c r="O1" s="27"/>
    </row>
    <row r="2" spans="1:15" ht="22" thickBot="1">
      <c r="A2" s="23" t="s">
        <v>1590</v>
      </c>
      <c r="B2" s="26" t="s">
        <v>1591</v>
      </c>
      <c r="C2" s="20"/>
      <c r="D2" s="20"/>
      <c r="E2" s="20"/>
      <c r="F2" s="20"/>
      <c r="G2" s="20"/>
      <c r="H2" s="20"/>
      <c r="I2" s="20"/>
      <c r="J2" s="21"/>
      <c r="K2" s="21"/>
      <c r="L2" s="21"/>
      <c r="M2" s="21"/>
      <c r="N2" s="21"/>
      <c r="O2" s="27"/>
    </row>
    <row r="3" spans="1:15" ht="22" thickBot="1">
      <c r="A3" s="23" t="s">
        <v>1604</v>
      </c>
      <c r="B3" s="26" t="s">
        <v>1592</v>
      </c>
      <c r="C3" s="21"/>
      <c r="D3" s="21"/>
      <c r="E3" s="21"/>
      <c r="F3" s="21"/>
      <c r="G3" s="21"/>
      <c r="H3" s="21"/>
      <c r="I3" s="21"/>
      <c r="J3" s="21"/>
      <c r="K3" s="21"/>
      <c r="L3" s="21"/>
      <c r="M3" s="21"/>
      <c r="N3" s="21"/>
      <c r="O3" s="27"/>
    </row>
    <row r="4" spans="1:15" ht="22" thickBot="1">
      <c r="A4" s="23" t="s">
        <v>1605</v>
      </c>
      <c r="B4" s="26" t="s">
        <v>1603</v>
      </c>
      <c r="C4" s="21"/>
      <c r="D4" s="21"/>
      <c r="E4" s="21"/>
      <c r="F4" s="21"/>
      <c r="G4" s="21"/>
      <c r="H4" s="21"/>
      <c r="I4" s="21"/>
      <c r="J4" s="21"/>
      <c r="K4" s="21"/>
      <c r="L4" s="21"/>
      <c r="M4" s="21"/>
      <c r="N4" s="21"/>
      <c r="O4" s="27"/>
    </row>
    <row r="5" spans="1:15" ht="21" customHeight="1" thickBot="1">
      <c r="A5" s="23" t="s">
        <v>1609</v>
      </c>
      <c r="B5" s="26" t="s">
        <v>1606</v>
      </c>
      <c r="C5" s="21"/>
      <c r="D5" s="21"/>
      <c r="E5" s="21"/>
      <c r="F5" s="21"/>
      <c r="G5" s="21"/>
      <c r="H5" s="21"/>
      <c r="I5" s="21"/>
      <c r="J5" s="21"/>
      <c r="K5" s="21"/>
      <c r="L5" s="21"/>
      <c r="M5" s="21"/>
      <c r="N5" s="21"/>
      <c r="O5" s="27"/>
    </row>
    <row r="6" spans="1:15" ht="22" thickBot="1">
      <c r="A6" s="23" t="s">
        <v>1608</v>
      </c>
      <c r="B6" s="26" t="s">
        <v>1593</v>
      </c>
      <c r="C6" s="21"/>
      <c r="D6" s="21"/>
      <c r="E6" s="21"/>
      <c r="F6" s="21"/>
      <c r="G6" s="21"/>
      <c r="H6" s="21"/>
      <c r="I6" s="21"/>
      <c r="J6" s="21"/>
      <c r="K6" s="21"/>
      <c r="L6" s="21"/>
      <c r="M6" s="21"/>
      <c r="N6" s="21"/>
      <c r="O6" s="27"/>
    </row>
    <row r="7" spans="1:15" ht="22" thickBot="1">
      <c r="A7" s="23" t="s">
        <v>1607</v>
      </c>
      <c r="B7" s="26" t="s">
        <v>1594</v>
      </c>
      <c r="C7" s="21"/>
      <c r="D7" s="21"/>
      <c r="E7" s="21"/>
      <c r="F7" s="21"/>
      <c r="G7" s="21"/>
      <c r="H7" s="21"/>
      <c r="I7" s="21"/>
      <c r="J7" s="21"/>
      <c r="K7" s="21"/>
      <c r="L7" s="21"/>
      <c r="M7" s="21"/>
      <c r="N7" s="21"/>
      <c r="O7" s="27"/>
    </row>
    <row r="8" spans="1:15" ht="22" thickBot="1">
      <c r="A8" s="23" t="s">
        <v>1610</v>
      </c>
      <c r="B8" s="26" t="s">
        <v>1595</v>
      </c>
      <c r="C8" s="21"/>
      <c r="D8" s="21"/>
      <c r="E8" s="21"/>
      <c r="F8" s="21"/>
      <c r="G8" s="21"/>
      <c r="H8" s="21"/>
      <c r="I8" s="21"/>
      <c r="J8" s="21"/>
      <c r="K8" s="21"/>
      <c r="L8" s="21"/>
      <c r="M8" s="21"/>
      <c r="N8" s="21"/>
      <c r="O8" s="27"/>
    </row>
    <row r="9" spans="1:15" ht="22" thickBot="1">
      <c r="A9" s="23" t="s">
        <v>1611</v>
      </c>
      <c r="B9" s="26" t="s">
        <v>1596</v>
      </c>
      <c r="C9" s="21"/>
      <c r="D9" s="21"/>
      <c r="E9" s="21"/>
      <c r="F9" s="21"/>
      <c r="G9" s="21"/>
      <c r="H9" s="21"/>
      <c r="I9" s="21"/>
      <c r="J9" s="21"/>
      <c r="K9" s="21"/>
      <c r="L9" s="21"/>
      <c r="M9" s="21"/>
      <c r="N9" s="21"/>
      <c r="O9" s="27"/>
    </row>
    <row r="10" spans="1:15" ht="22" thickBot="1">
      <c r="A10" s="23" t="s">
        <v>1612</v>
      </c>
      <c r="B10" s="26" t="s">
        <v>1597</v>
      </c>
      <c r="C10" s="21"/>
      <c r="D10" s="21"/>
      <c r="E10" s="21"/>
      <c r="F10" s="21"/>
      <c r="G10" s="21"/>
      <c r="H10" s="21"/>
      <c r="I10" s="21"/>
      <c r="J10" s="21"/>
      <c r="K10" s="21"/>
      <c r="L10" s="21"/>
      <c r="M10" s="21"/>
      <c r="N10" s="21"/>
      <c r="O10" s="27"/>
    </row>
    <row r="11" spans="1:15" ht="22" thickBot="1">
      <c r="A11" s="23" t="s">
        <v>1613</v>
      </c>
      <c r="B11" s="26" t="s">
        <v>1598</v>
      </c>
      <c r="C11" s="21"/>
      <c r="D11" s="21"/>
      <c r="E11" s="21"/>
      <c r="F11" s="21"/>
      <c r="G11" s="21"/>
      <c r="H11" s="21"/>
      <c r="I11" s="21"/>
      <c r="J11" s="21"/>
      <c r="K11" s="21"/>
      <c r="L11" s="21"/>
      <c r="M11" s="21"/>
      <c r="N11" s="21"/>
      <c r="O11" s="27"/>
    </row>
    <row r="12" spans="1:15" ht="22" thickBot="1">
      <c r="A12" s="23" t="s">
        <v>1614</v>
      </c>
      <c r="B12" s="26" t="s">
        <v>1599</v>
      </c>
      <c r="C12" s="21"/>
      <c r="D12" s="21"/>
      <c r="E12" s="21"/>
      <c r="F12" s="21"/>
      <c r="G12" s="21"/>
      <c r="H12" s="21"/>
      <c r="I12" s="21"/>
      <c r="J12" s="21"/>
      <c r="K12" s="21"/>
      <c r="L12" s="21"/>
      <c r="M12" s="21"/>
      <c r="N12" s="21"/>
      <c r="O12" s="27"/>
    </row>
    <row r="13" spans="1:15" ht="22" thickBot="1">
      <c r="A13" s="23" t="s">
        <v>1615</v>
      </c>
      <c r="B13" s="26" t="s">
        <v>1600</v>
      </c>
      <c r="C13" s="21"/>
      <c r="D13" s="21"/>
      <c r="E13" s="21"/>
      <c r="F13" s="21"/>
      <c r="G13" s="21"/>
      <c r="H13" s="21"/>
      <c r="I13" s="21"/>
      <c r="J13" s="21"/>
      <c r="K13" s="21"/>
      <c r="L13" s="21"/>
      <c r="M13" s="21"/>
      <c r="N13" s="21"/>
      <c r="O13" s="27"/>
    </row>
    <row r="14" spans="1:15" ht="22" thickBot="1">
      <c r="A14" s="23" t="s">
        <v>1616</v>
      </c>
      <c r="B14" s="26" t="s">
        <v>1601</v>
      </c>
      <c r="C14" s="21"/>
      <c r="D14" s="21"/>
      <c r="E14" s="21"/>
      <c r="F14" s="21"/>
      <c r="G14" s="21"/>
      <c r="H14" s="21"/>
      <c r="I14" s="21"/>
      <c r="J14" s="21"/>
      <c r="K14" s="21"/>
      <c r="L14" s="21"/>
      <c r="M14" s="21"/>
      <c r="N14" s="21"/>
      <c r="O14" s="27"/>
    </row>
    <row r="15" spans="1:15" ht="21">
      <c r="A15" s="24" t="s">
        <v>1617</v>
      </c>
      <c r="B15" s="28" t="s">
        <v>1602</v>
      </c>
      <c r="C15" s="29"/>
      <c r="D15" s="29"/>
      <c r="E15" s="29"/>
      <c r="F15" s="29"/>
      <c r="G15" s="29"/>
      <c r="H15" s="29"/>
      <c r="I15" s="29"/>
      <c r="J15" s="29"/>
      <c r="K15" s="29"/>
      <c r="L15" s="29"/>
      <c r="M15" s="29"/>
      <c r="N15" s="29"/>
      <c r="O15" s="30"/>
    </row>
    <row r="16" spans="1:15" ht="14" thickBot="1">
      <c r="A16" s="25"/>
      <c r="B16" s="31"/>
      <c r="C16" s="31"/>
      <c r="D16" s="31"/>
      <c r="E16" s="31"/>
      <c r="F16" s="31"/>
      <c r="G16" s="31"/>
      <c r="H16" s="31"/>
      <c r="I16" s="31"/>
      <c r="J16" s="31"/>
      <c r="K16" s="31"/>
      <c r="L16" s="31"/>
      <c r="M16" s="31"/>
      <c r="N16" s="31"/>
      <c r="O16" s="3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D97D1-5AEC-4B4B-A9A9-1851BC6F805A}">
  <dimension ref="A1:M90"/>
  <sheetViews>
    <sheetView topLeftCell="A75" workbookViewId="0">
      <selection activeCell="B95" sqref="B95"/>
    </sheetView>
  </sheetViews>
  <sheetFormatPr baseColWidth="10" defaultColWidth="8.83203125" defaultRowHeight="13"/>
  <cols>
    <col min="1" max="1" width="13.6640625" bestFit="1" customWidth="1"/>
    <col min="2" max="2" width="31.5" bestFit="1" customWidth="1"/>
    <col min="3" max="3" width="10.5" bestFit="1" customWidth="1"/>
    <col min="4" max="4" width="13.1640625" bestFit="1" customWidth="1"/>
    <col min="5" max="5" width="14" bestFit="1" customWidth="1"/>
    <col min="6" max="6" width="15.83203125" bestFit="1" customWidth="1"/>
    <col min="7" max="7" width="18.5" bestFit="1" customWidth="1"/>
    <col min="8" max="9" width="14.5" bestFit="1" customWidth="1"/>
    <col min="10" max="10" width="25.33203125" bestFit="1" customWidth="1"/>
    <col min="11" max="11" width="18.83203125" bestFit="1" customWidth="1"/>
    <col min="12" max="12" width="27" bestFit="1" customWidth="1"/>
    <col min="13" max="13" width="23.6640625" bestFit="1" customWidth="1"/>
  </cols>
  <sheetData>
    <row r="1" spans="1:13">
      <c r="A1" t="s">
        <v>381</v>
      </c>
      <c r="B1" t="s">
        <v>1</v>
      </c>
      <c r="C1" t="s">
        <v>8</v>
      </c>
      <c r="D1" t="s">
        <v>5</v>
      </c>
      <c r="E1" t="s">
        <v>1131</v>
      </c>
      <c r="F1" t="s">
        <v>1132</v>
      </c>
      <c r="G1" t="s">
        <v>1133</v>
      </c>
      <c r="H1" t="s">
        <v>1134</v>
      </c>
      <c r="I1" t="s">
        <v>1135</v>
      </c>
      <c r="J1" t="s">
        <v>1136</v>
      </c>
      <c r="K1" t="s">
        <v>1137</v>
      </c>
      <c r="L1" t="s">
        <v>1138</v>
      </c>
      <c r="M1" t="s">
        <v>1139</v>
      </c>
    </row>
    <row r="2" spans="1:13">
      <c r="A2" t="s">
        <v>494</v>
      </c>
      <c r="B2" t="s">
        <v>495</v>
      </c>
      <c r="C2" t="s">
        <v>93</v>
      </c>
      <c r="D2" t="s">
        <v>497</v>
      </c>
      <c r="E2">
        <v>27</v>
      </c>
      <c r="F2">
        <v>103971.06</v>
      </c>
      <c r="G2">
        <v>3850.78</v>
      </c>
      <c r="H2" s="10">
        <v>34582</v>
      </c>
      <c r="I2" s="10">
        <v>35187</v>
      </c>
      <c r="J2">
        <v>605</v>
      </c>
      <c r="K2">
        <v>4</v>
      </c>
      <c r="L2">
        <v>8.5393000000000008</v>
      </c>
      <c r="M2" t="s">
        <v>1140</v>
      </c>
    </row>
    <row r="3" spans="1:13">
      <c r="A3" t="s">
        <v>439</v>
      </c>
      <c r="B3" t="s">
        <v>440</v>
      </c>
      <c r="C3" t="s">
        <v>443</v>
      </c>
      <c r="D3" t="s">
        <v>442</v>
      </c>
      <c r="E3">
        <v>27</v>
      </c>
      <c r="F3">
        <v>88226.08</v>
      </c>
      <c r="G3">
        <v>3267.63</v>
      </c>
      <c r="H3" s="10">
        <v>34563</v>
      </c>
      <c r="I3" s="10">
        <v>35186</v>
      </c>
      <c r="J3">
        <v>623</v>
      </c>
      <c r="K3">
        <v>4</v>
      </c>
      <c r="L3">
        <v>8.5393000000000008</v>
      </c>
      <c r="M3" t="s">
        <v>1140</v>
      </c>
    </row>
    <row r="4" spans="1:13">
      <c r="A4" t="s">
        <v>593</v>
      </c>
      <c r="B4" t="s">
        <v>594</v>
      </c>
      <c r="C4" t="s">
        <v>26</v>
      </c>
      <c r="D4" t="s">
        <v>596</v>
      </c>
      <c r="E4">
        <v>28</v>
      </c>
      <c r="F4">
        <v>85023</v>
      </c>
      <c r="G4">
        <v>3036.54</v>
      </c>
      <c r="H4" s="10">
        <v>34646</v>
      </c>
      <c r="I4" s="10">
        <v>35191</v>
      </c>
      <c r="J4">
        <v>545</v>
      </c>
      <c r="K4">
        <v>4</v>
      </c>
      <c r="L4">
        <v>8.5393000000000008</v>
      </c>
      <c r="M4" t="s">
        <v>1140</v>
      </c>
    </row>
    <row r="5" spans="1:13">
      <c r="A5" t="s">
        <v>457</v>
      </c>
      <c r="B5" t="s">
        <v>458</v>
      </c>
      <c r="C5" t="s">
        <v>26</v>
      </c>
      <c r="D5" t="s">
        <v>460</v>
      </c>
      <c r="E5">
        <v>17</v>
      </c>
      <c r="F5">
        <v>49842.080000000002</v>
      </c>
      <c r="G5">
        <v>2931.89</v>
      </c>
      <c r="H5" s="10">
        <v>34568</v>
      </c>
      <c r="I5" s="10">
        <v>35191</v>
      </c>
      <c r="J5">
        <v>623</v>
      </c>
      <c r="K5">
        <v>4</v>
      </c>
      <c r="L5">
        <v>8.5393000000000008</v>
      </c>
      <c r="M5" t="s">
        <v>1140</v>
      </c>
    </row>
    <row r="6" spans="1:13">
      <c r="A6" t="s">
        <v>547</v>
      </c>
      <c r="B6" t="s">
        <v>548</v>
      </c>
      <c r="C6" t="s">
        <v>552</v>
      </c>
      <c r="D6" t="s">
        <v>550</v>
      </c>
      <c r="E6">
        <v>18</v>
      </c>
      <c r="F6">
        <v>48636.959999999999</v>
      </c>
      <c r="G6">
        <v>2702.05</v>
      </c>
      <c r="H6" s="10">
        <v>34613</v>
      </c>
      <c r="I6" s="10">
        <v>35184</v>
      </c>
      <c r="J6">
        <v>571</v>
      </c>
      <c r="K6">
        <v>4</v>
      </c>
      <c r="L6">
        <v>8.5393000000000008</v>
      </c>
      <c r="M6" t="s">
        <v>1140</v>
      </c>
    </row>
    <row r="7" spans="1:13">
      <c r="A7" t="s">
        <v>402</v>
      </c>
      <c r="B7" t="s">
        <v>403</v>
      </c>
      <c r="C7" t="s">
        <v>86</v>
      </c>
      <c r="D7" t="s">
        <v>405</v>
      </c>
      <c r="E7">
        <v>12</v>
      </c>
      <c r="F7">
        <v>30107.37</v>
      </c>
      <c r="G7">
        <v>2508.9499999999998</v>
      </c>
      <c r="H7" s="10">
        <v>34554</v>
      </c>
      <c r="I7" s="10">
        <v>35181</v>
      </c>
      <c r="J7">
        <v>627</v>
      </c>
      <c r="K7">
        <v>4</v>
      </c>
      <c r="L7">
        <v>8.5393000000000008</v>
      </c>
      <c r="M7" t="s">
        <v>1141</v>
      </c>
    </row>
    <row r="8" spans="1:13">
      <c r="A8" t="s">
        <v>610</v>
      </c>
      <c r="B8" t="s">
        <v>1142</v>
      </c>
      <c r="C8" t="s">
        <v>192</v>
      </c>
      <c r="D8" t="s">
        <v>1143</v>
      </c>
      <c r="E8">
        <v>13</v>
      </c>
      <c r="F8">
        <v>28872.19</v>
      </c>
      <c r="G8">
        <v>2220.94</v>
      </c>
      <c r="H8" s="10">
        <v>34655</v>
      </c>
      <c r="I8" s="10">
        <v>35033</v>
      </c>
      <c r="J8">
        <v>378</v>
      </c>
      <c r="K8">
        <v>4</v>
      </c>
      <c r="L8">
        <v>8.5393000000000008</v>
      </c>
      <c r="M8" t="s">
        <v>1140</v>
      </c>
    </row>
    <row r="9" spans="1:13">
      <c r="A9" t="s">
        <v>462</v>
      </c>
      <c r="B9" t="s">
        <v>1144</v>
      </c>
      <c r="C9" t="s">
        <v>79</v>
      </c>
      <c r="D9" t="s">
        <v>1145</v>
      </c>
      <c r="E9">
        <v>18</v>
      </c>
      <c r="F9">
        <v>28757.56</v>
      </c>
      <c r="G9">
        <v>1597.64</v>
      </c>
      <c r="H9" s="10">
        <v>34570</v>
      </c>
      <c r="I9" s="10">
        <v>35191</v>
      </c>
      <c r="J9">
        <v>621</v>
      </c>
      <c r="K9">
        <v>4</v>
      </c>
      <c r="L9">
        <v>8.5393000000000008</v>
      </c>
      <c r="M9" t="s">
        <v>1140</v>
      </c>
    </row>
    <row r="10" spans="1:13">
      <c r="A10" t="s">
        <v>589</v>
      </c>
      <c r="B10" t="s">
        <v>1146</v>
      </c>
      <c r="C10" t="s">
        <v>93</v>
      </c>
      <c r="D10" t="s">
        <v>592</v>
      </c>
      <c r="E10">
        <v>13</v>
      </c>
      <c r="F10">
        <v>28748.38</v>
      </c>
      <c r="G10">
        <v>2211.41</v>
      </c>
      <c r="H10" s="10">
        <v>34645</v>
      </c>
      <c r="I10" s="10">
        <v>35144</v>
      </c>
      <c r="J10">
        <v>499</v>
      </c>
      <c r="K10">
        <v>4</v>
      </c>
      <c r="L10">
        <v>8.5393000000000008</v>
      </c>
      <c r="M10" t="s">
        <v>1140</v>
      </c>
    </row>
    <row r="11" spans="1:13">
      <c r="A11" t="s">
        <v>509</v>
      </c>
      <c r="B11" t="s">
        <v>1147</v>
      </c>
      <c r="C11" t="s">
        <v>79</v>
      </c>
      <c r="D11" t="s">
        <v>1148</v>
      </c>
      <c r="E11">
        <v>18</v>
      </c>
      <c r="F11">
        <v>24927.58</v>
      </c>
      <c r="G11">
        <v>1384.87</v>
      </c>
      <c r="H11" s="10">
        <v>34589</v>
      </c>
      <c r="I11" s="10">
        <v>35158</v>
      </c>
      <c r="J11">
        <v>569</v>
      </c>
      <c r="K11">
        <v>4</v>
      </c>
      <c r="L11">
        <v>8.5393000000000008</v>
      </c>
      <c r="M11" t="s">
        <v>1140</v>
      </c>
    </row>
    <row r="12" spans="1:13">
      <c r="A12" t="s">
        <v>475</v>
      </c>
      <c r="B12" t="s">
        <v>476</v>
      </c>
      <c r="C12" t="s">
        <v>93</v>
      </c>
      <c r="D12" t="s">
        <v>1149</v>
      </c>
      <c r="E12">
        <v>14</v>
      </c>
      <c r="F12">
        <v>23831.26</v>
      </c>
      <c r="G12">
        <v>1702.23</v>
      </c>
      <c r="H12" s="10">
        <v>34575</v>
      </c>
      <c r="I12" s="10">
        <v>35159</v>
      </c>
      <c r="J12">
        <v>584</v>
      </c>
      <c r="K12">
        <v>4</v>
      </c>
      <c r="L12">
        <v>8.5393000000000008</v>
      </c>
      <c r="M12" t="s">
        <v>1140</v>
      </c>
    </row>
    <row r="13" spans="1:13">
      <c r="A13" t="s">
        <v>661</v>
      </c>
      <c r="B13" t="s">
        <v>662</v>
      </c>
      <c r="C13" t="s">
        <v>86</v>
      </c>
      <c r="D13" t="s">
        <v>1150</v>
      </c>
      <c r="E13">
        <v>12</v>
      </c>
      <c r="F13">
        <v>23690.42</v>
      </c>
      <c r="G13">
        <v>1974.2</v>
      </c>
      <c r="H13" s="10">
        <v>34703</v>
      </c>
      <c r="I13" s="10">
        <v>35173</v>
      </c>
      <c r="J13">
        <v>470</v>
      </c>
      <c r="K13">
        <v>4</v>
      </c>
      <c r="L13">
        <v>8.5393000000000008</v>
      </c>
      <c r="M13" t="s">
        <v>1141</v>
      </c>
    </row>
    <row r="14" spans="1:13">
      <c r="A14" t="s">
        <v>412</v>
      </c>
      <c r="B14" t="s">
        <v>1151</v>
      </c>
      <c r="C14" t="s">
        <v>417</v>
      </c>
      <c r="D14" t="s">
        <v>415</v>
      </c>
      <c r="E14">
        <v>10</v>
      </c>
      <c r="F14">
        <v>21601.68</v>
      </c>
      <c r="G14">
        <v>2160.17</v>
      </c>
      <c r="H14" s="10">
        <v>34555</v>
      </c>
      <c r="I14" s="10">
        <v>35160</v>
      </c>
      <c r="J14">
        <v>605</v>
      </c>
      <c r="K14">
        <v>4</v>
      </c>
      <c r="L14">
        <v>8.5393000000000008</v>
      </c>
      <c r="M14" t="s">
        <v>1141</v>
      </c>
    </row>
    <row r="15" spans="1:13">
      <c r="A15" t="s">
        <v>606</v>
      </c>
      <c r="B15" t="s">
        <v>607</v>
      </c>
      <c r="C15" t="s">
        <v>140</v>
      </c>
      <c r="D15" t="s">
        <v>609</v>
      </c>
      <c r="E15">
        <v>16</v>
      </c>
      <c r="F15">
        <v>21170.5</v>
      </c>
      <c r="G15">
        <v>1323.16</v>
      </c>
      <c r="H15" s="10">
        <v>34654</v>
      </c>
      <c r="I15" s="10">
        <v>35165</v>
      </c>
      <c r="J15">
        <v>511</v>
      </c>
      <c r="K15">
        <v>4</v>
      </c>
      <c r="L15">
        <v>8.5393000000000008</v>
      </c>
      <c r="M15" t="s">
        <v>1140</v>
      </c>
    </row>
    <row r="16" spans="1:13">
      <c r="A16" t="s">
        <v>433</v>
      </c>
      <c r="B16" t="s">
        <v>1152</v>
      </c>
      <c r="C16" t="s">
        <v>438</v>
      </c>
      <c r="D16" t="s">
        <v>1153</v>
      </c>
      <c r="E16">
        <v>17</v>
      </c>
      <c r="F16">
        <v>21041.26</v>
      </c>
      <c r="G16">
        <v>1237.72</v>
      </c>
      <c r="H16" s="10">
        <v>34562</v>
      </c>
      <c r="I16" s="10">
        <v>35179</v>
      </c>
      <c r="J16">
        <v>617</v>
      </c>
      <c r="K16">
        <v>4</v>
      </c>
      <c r="L16">
        <v>8.5393000000000008</v>
      </c>
      <c r="M16" t="s">
        <v>1140</v>
      </c>
    </row>
    <row r="17" spans="1:13">
      <c r="A17" t="s">
        <v>628</v>
      </c>
      <c r="B17" t="s">
        <v>629</v>
      </c>
      <c r="C17" t="s">
        <v>443</v>
      </c>
      <c r="D17" t="s">
        <v>631</v>
      </c>
      <c r="E17">
        <v>9</v>
      </c>
      <c r="F17">
        <v>20073.86</v>
      </c>
      <c r="G17">
        <v>2230.4299999999998</v>
      </c>
      <c r="H17" s="10">
        <v>34682</v>
      </c>
      <c r="I17" s="10">
        <v>35116</v>
      </c>
      <c r="J17">
        <v>434</v>
      </c>
      <c r="K17">
        <v>4</v>
      </c>
      <c r="L17">
        <v>8.5393000000000008</v>
      </c>
      <c r="M17" t="s">
        <v>1141</v>
      </c>
    </row>
    <row r="18" spans="1:13">
      <c r="A18" t="s">
        <v>467</v>
      </c>
      <c r="B18" t="s">
        <v>1154</v>
      </c>
      <c r="C18" t="s">
        <v>140</v>
      </c>
      <c r="D18" t="s">
        <v>470</v>
      </c>
      <c r="E18">
        <v>11</v>
      </c>
      <c r="F18">
        <v>18534.080000000002</v>
      </c>
      <c r="G18">
        <v>1684.92</v>
      </c>
      <c r="H18" s="10">
        <v>34571</v>
      </c>
      <c r="I18" s="10">
        <v>35107</v>
      </c>
      <c r="J18">
        <v>536</v>
      </c>
      <c r="K18">
        <v>4</v>
      </c>
      <c r="L18">
        <v>8.5393000000000008</v>
      </c>
      <c r="M18" t="s">
        <v>1141</v>
      </c>
    </row>
    <row r="19" spans="1:13">
      <c r="A19" t="s">
        <v>679</v>
      </c>
      <c r="B19" t="s">
        <v>680</v>
      </c>
      <c r="C19" t="s">
        <v>192</v>
      </c>
      <c r="D19" t="s">
        <v>682</v>
      </c>
      <c r="E19">
        <v>11</v>
      </c>
      <c r="F19">
        <v>18089.38</v>
      </c>
      <c r="G19">
        <v>1644.49</v>
      </c>
      <c r="H19" s="10">
        <v>34719</v>
      </c>
      <c r="I19" s="10">
        <v>35181</v>
      </c>
      <c r="J19">
        <v>462</v>
      </c>
      <c r="K19">
        <v>4</v>
      </c>
      <c r="L19">
        <v>8.5393000000000008</v>
      </c>
      <c r="M19" t="s">
        <v>1141</v>
      </c>
    </row>
    <row r="20" spans="1:13">
      <c r="A20" t="s">
        <v>735</v>
      </c>
      <c r="B20" t="s">
        <v>736</v>
      </c>
      <c r="C20" t="s">
        <v>26</v>
      </c>
      <c r="D20" t="s">
        <v>738</v>
      </c>
      <c r="E20">
        <v>9</v>
      </c>
      <c r="F20">
        <v>17797.45</v>
      </c>
      <c r="G20">
        <v>1977.49</v>
      </c>
      <c r="H20" s="10">
        <v>34856</v>
      </c>
      <c r="I20" s="10">
        <v>35192</v>
      </c>
      <c r="J20">
        <v>336</v>
      </c>
      <c r="K20">
        <v>4</v>
      </c>
      <c r="L20">
        <v>8.5393000000000008</v>
      </c>
      <c r="M20" t="s">
        <v>1141</v>
      </c>
    </row>
    <row r="21" spans="1:13">
      <c r="A21" t="s">
        <v>514</v>
      </c>
      <c r="B21" t="s">
        <v>515</v>
      </c>
      <c r="C21" t="s">
        <v>93</v>
      </c>
      <c r="D21" t="s">
        <v>517</v>
      </c>
      <c r="E21">
        <v>14</v>
      </c>
      <c r="F21">
        <v>17631.439999999999</v>
      </c>
      <c r="G21">
        <v>1259.3900000000001</v>
      </c>
      <c r="H21" s="10">
        <v>34590</v>
      </c>
      <c r="I21" s="10">
        <v>35163</v>
      </c>
      <c r="J21">
        <v>573</v>
      </c>
      <c r="K21">
        <v>4</v>
      </c>
      <c r="L21">
        <v>8.5393000000000008</v>
      </c>
      <c r="M21" t="s">
        <v>1140</v>
      </c>
    </row>
    <row r="22" spans="1:13">
      <c r="A22" t="s">
        <v>484</v>
      </c>
      <c r="B22" t="s">
        <v>485</v>
      </c>
      <c r="C22" t="s">
        <v>26</v>
      </c>
      <c r="D22" t="s">
        <v>487</v>
      </c>
      <c r="E22">
        <v>12</v>
      </c>
      <c r="F22">
        <v>17532.36</v>
      </c>
      <c r="G22">
        <v>1461.03</v>
      </c>
      <c r="H22" s="10">
        <v>34577</v>
      </c>
      <c r="I22" s="10">
        <v>35150</v>
      </c>
      <c r="J22">
        <v>573</v>
      </c>
      <c r="K22">
        <v>4</v>
      </c>
      <c r="L22">
        <v>8.5393000000000008</v>
      </c>
      <c r="M22" t="s">
        <v>1141</v>
      </c>
    </row>
    <row r="23" spans="1:13">
      <c r="A23" t="s">
        <v>616</v>
      </c>
      <c r="B23" t="s">
        <v>617</v>
      </c>
      <c r="C23" t="s">
        <v>161</v>
      </c>
      <c r="D23" t="s">
        <v>1155</v>
      </c>
      <c r="E23">
        <v>6</v>
      </c>
      <c r="F23">
        <v>16585.009999999998</v>
      </c>
      <c r="G23">
        <v>2764.17</v>
      </c>
      <c r="H23" s="10">
        <v>34667</v>
      </c>
      <c r="I23" s="10">
        <v>35093</v>
      </c>
      <c r="J23">
        <v>426</v>
      </c>
      <c r="K23">
        <v>4</v>
      </c>
      <c r="L23">
        <v>8.5393000000000008</v>
      </c>
      <c r="M23" t="s">
        <v>1156</v>
      </c>
    </row>
    <row r="24" spans="1:13">
      <c r="A24" t="s">
        <v>638</v>
      </c>
      <c r="B24" t="s">
        <v>639</v>
      </c>
      <c r="C24" t="s">
        <v>18</v>
      </c>
      <c r="D24" t="s">
        <v>16</v>
      </c>
      <c r="E24">
        <v>9</v>
      </c>
      <c r="F24">
        <v>16215.33</v>
      </c>
      <c r="G24">
        <v>1801.7</v>
      </c>
      <c r="H24" s="10">
        <v>34690</v>
      </c>
      <c r="I24" s="10">
        <v>35130</v>
      </c>
      <c r="J24">
        <v>440</v>
      </c>
      <c r="K24">
        <v>3</v>
      </c>
      <c r="L24">
        <v>8.5393000000000008</v>
      </c>
      <c r="M24" t="s">
        <v>1141</v>
      </c>
    </row>
    <row r="25" spans="1:13">
      <c r="A25" t="s">
        <v>657</v>
      </c>
      <c r="B25" t="s">
        <v>658</v>
      </c>
      <c r="C25" t="s">
        <v>161</v>
      </c>
      <c r="D25" t="s">
        <v>1157</v>
      </c>
      <c r="E25">
        <v>11</v>
      </c>
      <c r="F25">
        <v>15843.92</v>
      </c>
      <c r="G25">
        <v>1440.36</v>
      </c>
      <c r="H25" s="10">
        <v>34697</v>
      </c>
      <c r="I25" s="10">
        <v>35187</v>
      </c>
      <c r="J25">
        <v>490</v>
      </c>
      <c r="K25">
        <v>3</v>
      </c>
      <c r="L25">
        <v>8.5393000000000008</v>
      </c>
      <c r="M25" t="s">
        <v>1141</v>
      </c>
    </row>
    <row r="26" spans="1:13">
      <c r="A26" t="s">
        <v>423</v>
      </c>
      <c r="B26" t="s">
        <v>424</v>
      </c>
      <c r="C26" t="s">
        <v>422</v>
      </c>
      <c r="D26" t="s">
        <v>1158</v>
      </c>
      <c r="E26">
        <v>8</v>
      </c>
      <c r="F26">
        <v>15612.88</v>
      </c>
      <c r="G26">
        <v>1951.61</v>
      </c>
      <c r="H26" s="10">
        <v>34558</v>
      </c>
      <c r="I26" s="10">
        <v>35170</v>
      </c>
      <c r="J26">
        <v>612</v>
      </c>
      <c r="K26">
        <v>3</v>
      </c>
      <c r="L26">
        <v>8.5393000000000008</v>
      </c>
      <c r="M26" t="s">
        <v>1156</v>
      </c>
    </row>
    <row r="27" spans="1:13">
      <c r="A27" t="s">
        <v>522</v>
      </c>
      <c r="B27" t="s">
        <v>523</v>
      </c>
      <c r="C27" t="s">
        <v>438</v>
      </c>
      <c r="D27" t="s">
        <v>525</v>
      </c>
      <c r="E27">
        <v>12</v>
      </c>
      <c r="F27">
        <v>15402.68</v>
      </c>
      <c r="G27">
        <v>1283.56</v>
      </c>
      <c r="H27" s="10">
        <v>34593</v>
      </c>
      <c r="I27" s="10">
        <v>35188</v>
      </c>
      <c r="J27">
        <v>595</v>
      </c>
      <c r="K27">
        <v>3</v>
      </c>
      <c r="L27">
        <v>8.5393000000000008</v>
      </c>
      <c r="M27" t="s">
        <v>1141</v>
      </c>
    </row>
    <row r="28" spans="1:13">
      <c r="A28" t="s">
        <v>471</v>
      </c>
      <c r="B28" t="s">
        <v>472</v>
      </c>
      <c r="C28" t="s">
        <v>176</v>
      </c>
      <c r="D28" t="s">
        <v>474</v>
      </c>
      <c r="E28">
        <v>14</v>
      </c>
      <c r="F28">
        <v>15378.7</v>
      </c>
      <c r="G28">
        <v>1098.48</v>
      </c>
      <c r="H28" s="10">
        <v>34572</v>
      </c>
      <c r="I28" s="10">
        <v>35081</v>
      </c>
      <c r="J28">
        <v>509</v>
      </c>
      <c r="K28">
        <v>3</v>
      </c>
      <c r="L28">
        <v>8.5393000000000008</v>
      </c>
      <c r="M28" t="s">
        <v>1141</v>
      </c>
    </row>
    <row r="29" spans="1:13">
      <c r="A29" t="s">
        <v>561</v>
      </c>
      <c r="B29" t="s">
        <v>562</v>
      </c>
      <c r="C29" t="s">
        <v>26</v>
      </c>
      <c r="D29" t="s">
        <v>564</v>
      </c>
      <c r="E29">
        <v>9</v>
      </c>
      <c r="F29">
        <v>14638.06</v>
      </c>
      <c r="G29">
        <v>1626.45</v>
      </c>
      <c r="H29" s="10">
        <v>34621</v>
      </c>
      <c r="I29" s="10">
        <v>35174</v>
      </c>
      <c r="J29">
        <v>553</v>
      </c>
      <c r="K29">
        <v>3</v>
      </c>
      <c r="L29">
        <v>8.5393000000000008</v>
      </c>
      <c r="M29" t="s">
        <v>1141</v>
      </c>
    </row>
    <row r="30" spans="1:13">
      <c r="A30" t="s">
        <v>685</v>
      </c>
      <c r="B30" t="s">
        <v>686</v>
      </c>
      <c r="C30" t="s">
        <v>438</v>
      </c>
      <c r="D30" t="s">
        <v>688</v>
      </c>
      <c r="E30">
        <v>10</v>
      </c>
      <c r="F30">
        <v>13143.38</v>
      </c>
      <c r="G30">
        <v>1314.34</v>
      </c>
      <c r="H30" s="10">
        <v>34736</v>
      </c>
      <c r="I30" s="10">
        <v>35171</v>
      </c>
      <c r="J30">
        <v>435</v>
      </c>
      <c r="K30">
        <v>3</v>
      </c>
      <c r="L30">
        <v>8.5393000000000008</v>
      </c>
      <c r="M30" t="s">
        <v>1141</v>
      </c>
    </row>
    <row r="31" spans="1:13">
      <c r="A31" t="s">
        <v>632</v>
      </c>
      <c r="B31" t="s">
        <v>633</v>
      </c>
      <c r="C31" t="s">
        <v>18</v>
      </c>
      <c r="D31" t="s">
        <v>16</v>
      </c>
      <c r="E31">
        <v>12</v>
      </c>
      <c r="F31">
        <v>12899.15</v>
      </c>
      <c r="G31">
        <v>1074.93</v>
      </c>
      <c r="H31" s="10">
        <v>34684</v>
      </c>
      <c r="I31" s="10">
        <v>35170</v>
      </c>
      <c r="J31">
        <v>486</v>
      </c>
      <c r="K31">
        <v>3</v>
      </c>
      <c r="L31">
        <v>8.5393000000000008</v>
      </c>
      <c r="M31" t="s">
        <v>1141</v>
      </c>
    </row>
    <row r="32" spans="1:13">
      <c r="A32" t="s">
        <v>449</v>
      </c>
      <c r="B32" t="s">
        <v>1159</v>
      </c>
      <c r="C32" t="s">
        <v>93</v>
      </c>
      <c r="D32" t="s">
        <v>1160</v>
      </c>
      <c r="E32">
        <v>9</v>
      </c>
      <c r="F32">
        <v>11863.8</v>
      </c>
      <c r="G32">
        <v>1318.2</v>
      </c>
      <c r="H32" s="10">
        <v>34565</v>
      </c>
      <c r="I32" s="10">
        <v>35188</v>
      </c>
      <c r="J32">
        <v>623</v>
      </c>
      <c r="K32">
        <v>3</v>
      </c>
      <c r="L32">
        <v>8.5393000000000008</v>
      </c>
      <c r="M32" t="s">
        <v>1141</v>
      </c>
    </row>
    <row r="33" spans="1:13">
      <c r="A33" t="s">
        <v>690</v>
      </c>
      <c r="B33" t="s">
        <v>691</v>
      </c>
      <c r="C33" t="s">
        <v>140</v>
      </c>
      <c r="D33" t="s">
        <v>693</v>
      </c>
      <c r="E33">
        <v>5</v>
      </c>
      <c r="F33">
        <v>11666.9</v>
      </c>
      <c r="G33">
        <v>2333.38</v>
      </c>
      <c r="H33" s="10">
        <v>34738</v>
      </c>
      <c r="I33" s="10">
        <v>35086</v>
      </c>
      <c r="J33">
        <v>348</v>
      </c>
      <c r="K33">
        <v>3</v>
      </c>
      <c r="L33">
        <v>8.5393000000000008</v>
      </c>
      <c r="M33" t="s">
        <v>1156</v>
      </c>
    </row>
    <row r="34" spans="1:13">
      <c r="A34" t="s">
        <v>489</v>
      </c>
      <c r="B34" t="s">
        <v>490</v>
      </c>
      <c r="C34" t="s">
        <v>26</v>
      </c>
      <c r="D34" t="s">
        <v>492</v>
      </c>
      <c r="E34">
        <v>9</v>
      </c>
      <c r="F34">
        <v>11441.63</v>
      </c>
      <c r="G34">
        <v>1271.29</v>
      </c>
      <c r="H34" s="10">
        <v>34578</v>
      </c>
      <c r="I34" s="10">
        <v>35179</v>
      </c>
      <c r="J34">
        <v>601</v>
      </c>
      <c r="K34">
        <v>3</v>
      </c>
      <c r="L34">
        <v>8.5393000000000008</v>
      </c>
      <c r="M34" t="s">
        <v>1141</v>
      </c>
    </row>
    <row r="35" spans="1:13">
      <c r="A35" t="s">
        <v>557</v>
      </c>
      <c r="B35" t="s">
        <v>1161</v>
      </c>
      <c r="C35" t="s">
        <v>50</v>
      </c>
      <c r="D35" t="s">
        <v>560</v>
      </c>
      <c r="E35">
        <v>8</v>
      </c>
      <c r="F35">
        <v>10769.86</v>
      </c>
      <c r="G35">
        <v>1346.23</v>
      </c>
      <c r="H35" s="10">
        <v>34619</v>
      </c>
      <c r="I35" s="10">
        <v>35167</v>
      </c>
      <c r="J35">
        <v>548</v>
      </c>
      <c r="K35">
        <v>3</v>
      </c>
      <c r="L35">
        <v>8.5393000000000008</v>
      </c>
      <c r="M35" t="s">
        <v>1156</v>
      </c>
    </row>
    <row r="36" spans="1:13">
      <c r="A36" t="s">
        <v>527</v>
      </c>
      <c r="B36" t="s">
        <v>528</v>
      </c>
      <c r="C36" t="s">
        <v>86</v>
      </c>
      <c r="D36" t="s">
        <v>405</v>
      </c>
      <c r="E36">
        <v>10</v>
      </c>
      <c r="F36">
        <v>10612.8</v>
      </c>
      <c r="G36">
        <v>1061.28</v>
      </c>
      <c r="H36" s="10">
        <v>34599</v>
      </c>
      <c r="I36" s="10">
        <v>35135</v>
      </c>
      <c r="J36">
        <v>536</v>
      </c>
      <c r="K36">
        <v>3</v>
      </c>
      <c r="L36">
        <v>8.5393000000000008</v>
      </c>
      <c r="M36" t="s">
        <v>1141</v>
      </c>
    </row>
    <row r="37" spans="1:13">
      <c r="A37" t="s">
        <v>502</v>
      </c>
      <c r="B37" t="s">
        <v>503</v>
      </c>
      <c r="C37" t="s">
        <v>448</v>
      </c>
      <c r="D37" t="s">
        <v>1162</v>
      </c>
      <c r="E37">
        <v>9</v>
      </c>
      <c r="F37">
        <v>10452.15</v>
      </c>
      <c r="G37">
        <v>1161.3499999999999</v>
      </c>
      <c r="H37" s="10">
        <v>34585</v>
      </c>
      <c r="I37" s="10">
        <v>35153</v>
      </c>
      <c r="J37">
        <v>568</v>
      </c>
      <c r="K37">
        <v>3</v>
      </c>
      <c r="L37">
        <v>8.5393000000000008</v>
      </c>
      <c r="M37" t="s">
        <v>1141</v>
      </c>
    </row>
    <row r="38" spans="1:13">
      <c r="A38" t="s">
        <v>739</v>
      </c>
      <c r="B38" t="s">
        <v>740</v>
      </c>
      <c r="C38" t="s">
        <v>417</v>
      </c>
      <c r="D38" t="s">
        <v>742</v>
      </c>
      <c r="E38">
        <v>7</v>
      </c>
      <c r="F38">
        <v>9736.08</v>
      </c>
      <c r="G38">
        <v>1390.87</v>
      </c>
      <c r="H38" s="10">
        <v>34857</v>
      </c>
      <c r="I38" s="10">
        <v>35192</v>
      </c>
      <c r="J38">
        <v>335</v>
      </c>
      <c r="K38">
        <v>3</v>
      </c>
      <c r="L38">
        <v>8.5393000000000008</v>
      </c>
      <c r="M38" t="s">
        <v>1156</v>
      </c>
    </row>
    <row r="39" spans="1:13">
      <c r="A39" t="s">
        <v>624</v>
      </c>
      <c r="B39" t="s">
        <v>625</v>
      </c>
      <c r="C39" t="s">
        <v>140</v>
      </c>
      <c r="D39" t="s">
        <v>627</v>
      </c>
      <c r="E39">
        <v>13</v>
      </c>
      <c r="F39">
        <v>9292.2000000000007</v>
      </c>
      <c r="G39">
        <v>714.78</v>
      </c>
      <c r="H39" s="10">
        <v>34680</v>
      </c>
      <c r="I39" s="10">
        <v>35157</v>
      </c>
      <c r="J39">
        <v>477</v>
      </c>
      <c r="K39">
        <v>3</v>
      </c>
      <c r="L39">
        <v>8.5393000000000008</v>
      </c>
      <c r="M39" t="s">
        <v>1141</v>
      </c>
    </row>
    <row r="40" spans="1:13">
      <c r="A40" t="s">
        <v>418</v>
      </c>
      <c r="B40" t="s">
        <v>419</v>
      </c>
      <c r="C40" t="s">
        <v>422</v>
      </c>
      <c r="D40" t="s">
        <v>421</v>
      </c>
      <c r="E40">
        <v>6</v>
      </c>
      <c r="F40">
        <v>9289.08</v>
      </c>
      <c r="G40">
        <v>1548.18</v>
      </c>
      <c r="H40" s="10">
        <v>34557</v>
      </c>
      <c r="I40" s="10">
        <v>35174</v>
      </c>
      <c r="J40">
        <v>617</v>
      </c>
      <c r="K40">
        <v>3</v>
      </c>
      <c r="L40">
        <v>8.5393000000000008</v>
      </c>
      <c r="M40" t="s">
        <v>1156</v>
      </c>
    </row>
    <row r="41" spans="1:13">
      <c r="A41" t="s">
        <v>408</v>
      </c>
      <c r="B41" t="s">
        <v>409</v>
      </c>
      <c r="C41" t="s">
        <v>140</v>
      </c>
      <c r="D41" t="s">
        <v>411</v>
      </c>
      <c r="E41">
        <v>10</v>
      </c>
      <c r="F41">
        <v>9182.43</v>
      </c>
      <c r="G41">
        <v>918.24</v>
      </c>
      <c r="H41" s="10">
        <v>34554</v>
      </c>
      <c r="I41" s="10">
        <v>35118</v>
      </c>
      <c r="J41">
        <v>564</v>
      </c>
      <c r="K41">
        <v>3</v>
      </c>
      <c r="L41">
        <v>8.5393000000000008</v>
      </c>
      <c r="M41" t="s">
        <v>1141</v>
      </c>
    </row>
    <row r="42" spans="1:13">
      <c r="A42" t="s">
        <v>646</v>
      </c>
      <c r="B42" t="s">
        <v>647</v>
      </c>
      <c r="C42" t="s">
        <v>18</v>
      </c>
      <c r="D42" t="s">
        <v>16</v>
      </c>
      <c r="E42">
        <v>5</v>
      </c>
      <c r="F42">
        <v>8236.35</v>
      </c>
      <c r="G42">
        <v>1647.27</v>
      </c>
      <c r="H42" s="10">
        <v>34695</v>
      </c>
      <c r="I42" s="10">
        <v>35185</v>
      </c>
      <c r="J42">
        <v>490</v>
      </c>
      <c r="K42">
        <v>3</v>
      </c>
      <c r="L42">
        <v>8.5393000000000008</v>
      </c>
      <c r="M42" t="s">
        <v>1156</v>
      </c>
    </row>
    <row r="43" spans="1:13">
      <c r="A43" t="s">
        <v>703</v>
      </c>
      <c r="B43" t="s">
        <v>704</v>
      </c>
      <c r="C43" t="s">
        <v>86</v>
      </c>
      <c r="D43" t="s">
        <v>706</v>
      </c>
      <c r="E43">
        <v>8</v>
      </c>
      <c r="F43">
        <v>8140.54</v>
      </c>
      <c r="G43">
        <v>1017.57</v>
      </c>
      <c r="H43" s="10">
        <v>34753</v>
      </c>
      <c r="I43" s="10">
        <v>35172</v>
      </c>
      <c r="J43">
        <v>419</v>
      </c>
      <c r="K43">
        <v>3</v>
      </c>
      <c r="L43">
        <v>8.5393000000000008</v>
      </c>
      <c r="M43" t="s">
        <v>1156</v>
      </c>
    </row>
    <row r="44" spans="1:13">
      <c r="A44" t="s">
        <v>553</v>
      </c>
      <c r="B44" t="s">
        <v>554</v>
      </c>
      <c r="C44" t="s">
        <v>93</v>
      </c>
      <c r="D44" t="s">
        <v>556</v>
      </c>
      <c r="E44">
        <v>9</v>
      </c>
      <c r="F44">
        <v>8102.63</v>
      </c>
      <c r="G44">
        <v>900.29</v>
      </c>
      <c r="H44" s="10">
        <v>34617</v>
      </c>
      <c r="I44" s="10">
        <v>34988</v>
      </c>
      <c r="J44">
        <v>371</v>
      </c>
      <c r="K44">
        <v>3</v>
      </c>
      <c r="L44">
        <v>8.5393000000000008</v>
      </c>
      <c r="M44" t="s">
        <v>1141</v>
      </c>
    </row>
    <row r="45" spans="1:13">
      <c r="A45" t="s">
        <v>498</v>
      </c>
      <c r="B45" t="s">
        <v>499</v>
      </c>
      <c r="C45" t="s">
        <v>113</v>
      </c>
      <c r="D45" t="s">
        <v>501</v>
      </c>
      <c r="E45">
        <v>10</v>
      </c>
      <c r="F45">
        <v>7176.22</v>
      </c>
      <c r="G45">
        <v>717.62</v>
      </c>
      <c r="H45" s="10">
        <v>34584</v>
      </c>
      <c r="I45" s="10">
        <v>35170</v>
      </c>
      <c r="J45">
        <v>586</v>
      </c>
      <c r="K45">
        <v>3</v>
      </c>
      <c r="L45">
        <v>8.5393000000000008</v>
      </c>
      <c r="M45" t="s">
        <v>1141</v>
      </c>
    </row>
    <row r="46" spans="1:13">
      <c r="A46" t="s">
        <v>650</v>
      </c>
      <c r="B46" t="s">
        <v>1163</v>
      </c>
      <c r="C46" t="s">
        <v>448</v>
      </c>
      <c r="D46" t="s">
        <v>1162</v>
      </c>
      <c r="E46">
        <v>7</v>
      </c>
      <c r="F46">
        <v>7023.98</v>
      </c>
      <c r="G46">
        <v>1003.43</v>
      </c>
      <c r="H46" s="10">
        <v>34696</v>
      </c>
      <c r="I46" s="10">
        <v>35123</v>
      </c>
      <c r="J46">
        <v>427</v>
      </c>
      <c r="K46">
        <v>2</v>
      </c>
      <c r="L46">
        <v>8.5393000000000008</v>
      </c>
      <c r="M46" t="s">
        <v>1156</v>
      </c>
    </row>
    <row r="47" spans="1:13">
      <c r="A47" t="s">
        <v>543</v>
      </c>
      <c r="B47" t="s">
        <v>1164</v>
      </c>
      <c r="C47" t="s">
        <v>86</v>
      </c>
      <c r="D47" t="s">
        <v>1150</v>
      </c>
      <c r="E47">
        <v>6</v>
      </c>
      <c r="F47">
        <v>6850.66</v>
      </c>
      <c r="G47">
        <v>1141.78</v>
      </c>
      <c r="H47" s="10">
        <v>34605</v>
      </c>
      <c r="I47" s="10">
        <v>35114</v>
      </c>
      <c r="J47">
        <v>509</v>
      </c>
      <c r="K47">
        <v>2</v>
      </c>
      <c r="L47">
        <v>8.5393000000000008</v>
      </c>
      <c r="M47" t="s">
        <v>1156</v>
      </c>
    </row>
    <row r="48" spans="1:13">
      <c r="A48" t="s">
        <v>453</v>
      </c>
      <c r="B48" t="s">
        <v>1165</v>
      </c>
      <c r="C48" t="s">
        <v>86</v>
      </c>
      <c r="D48" t="s">
        <v>405</v>
      </c>
      <c r="E48">
        <v>9</v>
      </c>
      <c r="F48">
        <v>6664.81</v>
      </c>
      <c r="G48">
        <v>740.53</v>
      </c>
      <c r="H48" s="10">
        <v>34565</v>
      </c>
      <c r="I48" s="10">
        <v>35185</v>
      </c>
      <c r="J48">
        <v>620</v>
      </c>
      <c r="K48">
        <v>2</v>
      </c>
      <c r="L48">
        <v>8.5393000000000008</v>
      </c>
      <c r="M48" t="s">
        <v>1141</v>
      </c>
    </row>
    <row r="49" spans="1:13">
      <c r="A49" t="s">
        <v>601</v>
      </c>
      <c r="B49" t="s">
        <v>602</v>
      </c>
      <c r="C49" t="s">
        <v>605</v>
      </c>
      <c r="D49" t="s">
        <v>604</v>
      </c>
      <c r="E49">
        <v>8</v>
      </c>
      <c r="F49">
        <v>6427.42</v>
      </c>
      <c r="G49">
        <v>803.43</v>
      </c>
      <c r="H49" s="10">
        <v>34652</v>
      </c>
      <c r="I49" s="10">
        <v>35173</v>
      </c>
      <c r="J49">
        <v>521</v>
      </c>
      <c r="K49">
        <v>2</v>
      </c>
      <c r="L49">
        <v>8.5393000000000008</v>
      </c>
      <c r="M49" t="s">
        <v>1156</v>
      </c>
    </row>
    <row r="50" spans="1:13">
      <c r="A50" t="s">
        <v>580</v>
      </c>
      <c r="B50" t="s">
        <v>581</v>
      </c>
      <c r="C50" t="s">
        <v>18</v>
      </c>
      <c r="D50" t="s">
        <v>583</v>
      </c>
      <c r="E50">
        <v>10</v>
      </c>
      <c r="F50">
        <v>6146.3</v>
      </c>
      <c r="G50">
        <v>614.63</v>
      </c>
      <c r="H50" s="10">
        <v>34634</v>
      </c>
      <c r="I50" s="10">
        <v>35160</v>
      </c>
      <c r="J50">
        <v>526</v>
      </c>
      <c r="K50">
        <v>2</v>
      </c>
      <c r="L50">
        <v>8.5393000000000008</v>
      </c>
      <c r="M50" t="s">
        <v>1141</v>
      </c>
    </row>
    <row r="51" spans="1:13">
      <c r="A51" t="s">
        <v>427</v>
      </c>
      <c r="B51" t="s">
        <v>428</v>
      </c>
      <c r="C51" t="s">
        <v>86</v>
      </c>
      <c r="D51" t="s">
        <v>430</v>
      </c>
      <c r="E51">
        <v>9</v>
      </c>
      <c r="F51">
        <v>6068.2</v>
      </c>
      <c r="G51">
        <v>674.24</v>
      </c>
      <c r="H51" s="10">
        <v>34561</v>
      </c>
      <c r="I51" s="10">
        <v>35163</v>
      </c>
      <c r="J51">
        <v>602</v>
      </c>
      <c r="K51">
        <v>2</v>
      </c>
      <c r="L51">
        <v>8.5393000000000008</v>
      </c>
      <c r="M51" t="s">
        <v>1141</v>
      </c>
    </row>
    <row r="52" spans="1:13">
      <c r="A52" t="s">
        <v>531</v>
      </c>
      <c r="B52" t="s">
        <v>532</v>
      </c>
      <c r="C52" t="s">
        <v>113</v>
      </c>
      <c r="D52" t="s">
        <v>534</v>
      </c>
      <c r="E52">
        <v>10</v>
      </c>
      <c r="F52">
        <v>5996.84</v>
      </c>
      <c r="G52">
        <v>599.67999999999995</v>
      </c>
      <c r="H52" s="10">
        <v>34600</v>
      </c>
      <c r="I52" s="10">
        <v>35165</v>
      </c>
      <c r="J52">
        <v>565</v>
      </c>
      <c r="K52">
        <v>2</v>
      </c>
      <c r="L52">
        <v>8.5393000000000008</v>
      </c>
      <c r="M52" t="s">
        <v>1141</v>
      </c>
    </row>
    <row r="53" spans="1:13">
      <c r="A53" t="s">
        <v>675</v>
      </c>
      <c r="B53" t="s">
        <v>1166</v>
      </c>
      <c r="C53" t="s">
        <v>121</v>
      </c>
      <c r="D53" t="s">
        <v>678</v>
      </c>
      <c r="E53">
        <v>5</v>
      </c>
      <c r="F53">
        <v>5112.8</v>
      </c>
      <c r="G53">
        <v>1022.56</v>
      </c>
      <c r="H53" s="10">
        <v>34717</v>
      </c>
      <c r="I53" s="10">
        <v>35152</v>
      </c>
      <c r="J53">
        <v>435</v>
      </c>
      <c r="K53">
        <v>2</v>
      </c>
      <c r="L53">
        <v>8.5393000000000008</v>
      </c>
      <c r="M53" t="s">
        <v>1156</v>
      </c>
    </row>
    <row r="54" spans="1:13">
      <c r="A54" t="s">
        <v>613</v>
      </c>
      <c r="B54" t="s">
        <v>614</v>
      </c>
      <c r="C54" t="s">
        <v>605</v>
      </c>
      <c r="D54" t="s">
        <v>604</v>
      </c>
      <c r="E54">
        <v>5</v>
      </c>
      <c r="F54">
        <v>5044.9399999999996</v>
      </c>
      <c r="G54">
        <v>1008.99</v>
      </c>
      <c r="H54" s="10">
        <v>34661</v>
      </c>
      <c r="I54" s="10">
        <v>35193</v>
      </c>
      <c r="J54">
        <v>532</v>
      </c>
      <c r="K54">
        <v>2</v>
      </c>
      <c r="L54">
        <v>8.5393000000000008</v>
      </c>
      <c r="M54" t="s">
        <v>1156</v>
      </c>
    </row>
    <row r="55" spans="1:13">
      <c r="A55" t="s">
        <v>505</v>
      </c>
      <c r="B55" t="s">
        <v>506</v>
      </c>
      <c r="C55" t="s">
        <v>93</v>
      </c>
      <c r="D55" t="s">
        <v>508</v>
      </c>
      <c r="E55">
        <v>5</v>
      </c>
      <c r="F55">
        <v>5042.2</v>
      </c>
      <c r="G55">
        <v>1008.44</v>
      </c>
      <c r="H55" s="10">
        <v>34586</v>
      </c>
      <c r="I55" s="10">
        <v>35166</v>
      </c>
      <c r="J55">
        <v>580</v>
      </c>
      <c r="K55">
        <v>2</v>
      </c>
      <c r="L55">
        <v>8.5393000000000008</v>
      </c>
      <c r="M55" t="s">
        <v>1156</v>
      </c>
    </row>
    <row r="56" spans="1:13">
      <c r="A56" t="s">
        <v>398</v>
      </c>
      <c r="B56" t="s">
        <v>1167</v>
      </c>
      <c r="C56" t="s">
        <v>93</v>
      </c>
      <c r="D56" t="s">
        <v>1168</v>
      </c>
      <c r="E56">
        <v>6</v>
      </c>
      <c r="F56">
        <v>4778.1400000000003</v>
      </c>
      <c r="G56">
        <v>796.36</v>
      </c>
      <c r="H56" s="10">
        <v>34551</v>
      </c>
      <c r="I56" s="10">
        <v>35177</v>
      </c>
      <c r="J56">
        <v>626</v>
      </c>
      <c r="K56">
        <v>2</v>
      </c>
      <c r="L56">
        <v>8.5393000000000008</v>
      </c>
      <c r="M56" t="s">
        <v>1156</v>
      </c>
    </row>
    <row r="57" spans="1:13">
      <c r="A57" t="s">
        <v>535</v>
      </c>
      <c r="B57" t="s">
        <v>536</v>
      </c>
      <c r="C57" t="s">
        <v>18</v>
      </c>
      <c r="D57" t="s">
        <v>16</v>
      </c>
      <c r="E57">
        <v>9</v>
      </c>
      <c r="F57">
        <v>4589.8999999999996</v>
      </c>
      <c r="G57">
        <v>509.99</v>
      </c>
      <c r="H57" s="10">
        <v>34603</v>
      </c>
      <c r="I57" s="10">
        <v>35167</v>
      </c>
      <c r="J57">
        <v>564</v>
      </c>
      <c r="K57">
        <v>2</v>
      </c>
      <c r="L57">
        <v>8.5393000000000008</v>
      </c>
      <c r="M57" t="s">
        <v>1141</v>
      </c>
    </row>
    <row r="58" spans="1:13">
      <c r="A58" t="s">
        <v>598</v>
      </c>
      <c r="B58" t="s">
        <v>1169</v>
      </c>
      <c r="C58" t="s">
        <v>50</v>
      </c>
      <c r="D58" t="s">
        <v>521</v>
      </c>
      <c r="E58">
        <v>3</v>
      </c>
      <c r="F58">
        <v>4232.8500000000004</v>
      </c>
      <c r="G58">
        <v>1410.95</v>
      </c>
      <c r="H58" s="10">
        <v>34648</v>
      </c>
      <c r="I58" s="10">
        <v>35178</v>
      </c>
      <c r="J58">
        <v>530</v>
      </c>
      <c r="K58">
        <v>2</v>
      </c>
      <c r="L58">
        <v>8.5393000000000008</v>
      </c>
      <c r="M58" t="s">
        <v>1156</v>
      </c>
    </row>
    <row r="59" spans="1:13">
      <c r="A59" t="s">
        <v>620</v>
      </c>
      <c r="B59" t="s">
        <v>621</v>
      </c>
      <c r="C59" t="s">
        <v>86</v>
      </c>
      <c r="D59" t="s">
        <v>1150</v>
      </c>
      <c r="E59">
        <v>7</v>
      </c>
      <c r="F59">
        <v>4107.55</v>
      </c>
      <c r="G59">
        <v>586.79</v>
      </c>
      <c r="H59" s="10">
        <v>34675</v>
      </c>
      <c r="I59" s="10">
        <v>35034</v>
      </c>
      <c r="J59">
        <v>359</v>
      </c>
      <c r="K59">
        <v>2</v>
      </c>
      <c r="L59">
        <v>8.5393000000000008</v>
      </c>
      <c r="M59" t="s">
        <v>1156</v>
      </c>
    </row>
    <row r="60" spans="1:13">
      <c r="A60" t="s">
        <v>586</v>
      </c>
      <c r="B60" t="s">
        <v>1170</v>
      </c>
      <c r="C60" t="s">
        <v>448</v>
      </c>
      <c r="D60" t="s">
        <v>1162</v>
      </c>
      <c r="E60">
        <v>5</v>
      </c>
      <c r="F60">
        <v>3942.2</v>
      </c>
      <c r="G60">
        <v>788.44</v>
      </c>
      <c r="H60" s="10">
        <v>34642</v>
      </c>
      <c r="I60" s="10">
        <v>35187</v>
      </c>
      <c r="J60">
        <v>545</v>
      </c>
      <c r="K60">
        <v>2</v>
      </c>
      <c r="L60">
        <v>8.5393000000000008</v>
      </c>
      <c r="M60" t="s">
        <v>1156</v>
      </c>
    </row>
    <row r="61" spans="1:13">
      <c r="A61" t="s">
        <v>694</v>
      </c>
      <c r="B61" t="s">
        <v>1171</v>
      </c>
      <c r="C61" t="s">
        <v>698</v>
      </c>
      <c r="D61" t="s">
        <v>697</v>
      </c>
      <c r="E61">
        <v>5</v>
      </c>
      <c r="F61">
        <v>3460.2</v>
      </c>
      <c r="G61">
        <v>692.04</v>
      </c>
      <c r="H61" s="10">
        <v>34739</v>
      </c>
      <c r="I61" s="10">
        <v>35184</v>
      </c>
      <c r="J61">
        <v>445</v>
      </c>
      <c r="K61">
        <v>2</v>
      </c>
      <c r="L61">
        <v>8.5393000000000008</v>
      </c>
      <c r="M61" t="s">
        <v>1156</v>
      </c>
    </row>
    <row r="62" spans="1:13">
      <c r="A62" t="s">
        <v>539</v>
      </c>
      <c r="B62" t="s">
        <v>1172</v>
      </c>
      <c r="C62" t="s">
        <v>86</v>
      </c>
      <c r="D62" t="s">
        <v>1150</v>
      </c>
      <c r="E62">
        <v>4</v>
      </c>
      <c r="F62">
        <v>3405</v>
      </c>
      <c r="G62">
        <v>851.25</v>
      </c>
      <c r="H62" s="10">
        <v>34604</v>
      </c>
      <c r="I62" s="10">
        <v>35177</v>
      </c>
      <c r="J62">
        <v>573</v>
      </c>
      <c r="K62">
        <v>2</v>
      </c>
      <c r="L62">
        <v>8.5393000000000008</v>
      </c>
      <c r="M62" t="s">
        <v>1156</v>
      </c>
    </row>
    <row r="63" spans="1:13">
      <c r="A63" t="s">
        <v>573</v>
      </c>
      <c r="B63" t="s">
        <v>574</v>
      </c>
      <c r="C63" t="s">
        <v>26</v>
      </c>
      <c r="D63" t="s">
        <v>569</v>
      </c>
      <c r="E63">
        <v>4</v>
      </c>
      <c r="F63">
        <v>3361</v>
      </c>
      <c r="G63">
        <v>840.25</v>
      </c>
      <c r="H63" s="10">
        <v>34628</v>
      </c>
      <c r="I63" s="10">
        <v>35186</v>
      </c>
      <c r="J63">
        <v>558</v>
      </c>
      <c r="K63">
        <v>2</v>
      </c>
      <c r="L63">
        <v>8.5393000000000008</v>
      </c>
      <c r="M63" t="s">
        <v>1156</v>
      </c>
    </row>
    <row r="64" spans="1:13">
      <c r="A64" t="s">
        <v>762</v>
      </c>
      <c r="B64" t="s">
        <v>763</v>
      </c>
      <c r="C64" t="s">
        <v>93</v>
      </c>
      <c r="D64" t="s">
        <v>92</v>
      </c>
      <c r="E64">
        <v>5</v>
      </c>
      <c r="F64">
        <v>3339.5</v>
      </c>
      <c r="G64">
        <v>667.9</v>
      </c>
      <c r="H64" s="10">
        <v>34967</v>
      </c>
      <c r="I64" s="10">
        <v>35170</v>
      </c>
      <c r="J64">
        <v>203</v>
      </c>
      <c r="K64">
        <v>2</v>
      </c>
      <c r="L64">
        <v>8.5393000000000008</v>
      </c>
      <c r="M64" t="s">
        <v>1156</v>
      </c>
    </row>
    <row r="65" spans="1:13">
      <c r="A65" t="s">
        <v>765</v>
      </c>
      <c r="B65" t="s">
        <v>766</v>
      </c>
      <c r="C65" t="s">
        <v>140</v>
      </c>
      <c r="D65" t="s">
        <v>579</v>
      </c>
      <c r="E65">
        <v>3</v>
      </c>
      <c r="F65">
        <v>3172.16</v>
      </c>
      <c r="G65">
        <v>1057.3900000000001</v>
      </c>
      <c r="H65" s="10">
        <v>34990</v>
      </c>
      <c r="I65" s="10">
        <v>35178</v>
      </c>
      <c r="J65">
        <v>188</v>
      </c>
      <c r="K65">
        <v>2</v>
      </c>
      <c r="L65">
        <v>8.5393000000000008</v>
      </c>
      <c r="M65" t="s">
        <v>1156</v>
      </c>
    </row>
    <row r="66" spans="1:13">
      <c r="A66" t="s">
        <v>753</v>
      </c>
      <c r="B66" t="s">
        <v>754</v>
      </c>
      <c r="C66" t="s">
        <v>176</v>
      </c>
      <c r="D66" t="s">
        <v>756</v>
      </c>
      <c r="E66">
        <v>7</v>
      </c>
      <c r="F66">
        <v>3161.35</v>
      </c>
      <c r="G66">
        <v>451.62</v>
      </c>
      <c r="H66" s="10">
        <v>34941</v>
      </c>
      <c r="I66" s="10">
        <v>35192</v>
      </c>
      <c r="J66">
        <v>251</v>
      </c>
      <c r="K66">
        <v>2</v>
      </c>
      <c r="L66">
        <v>8.5393000000000008</v>
      </c>
      <c r="M66" t="s">
        <v>1156</v>
      </c>
    </row>
    <row r="67" spans="1:13">
      <c r="A67" t="s">
        <v>748</v>
      </c>
      <c r="B67" t="s">
        <v>749</v>
      </c>
      <c r="C67" t="s">
        <v>26</v>
      </c>
      <c r="D67" t="s">
        <v>751</v>
      </c>
      <c r="E67">
        <v>4</v>
      </c>
      <c r="F67">
        <v>3076.47</v>
      </c>
      <c r="G67">
        <v>769.12</v>
      </c>
      <c r="H67" s="10">
        <v>34906</v>
      </c>
      <c r="I67" s="10">
        <v>35138</v>
      </c>
      <c r="J67">
        <v>232</v>
      </c>
      <c r="K67">
        <v>2</v>
      </c>
      <c r="L67">
        <v>8.5393000000000008</v>
      </c>
      <c r="M67" t="s">
        <v>1156</v>
      </c>
    </row>
    <row r="68" spans="1:13">
      <c r="A68" t="s">
        <v>671</v>
      </c>
      <c r="B68" t="s">
        <v>672</v>
      </c>
      <c r="C68" t="s">
        <v>26</v>
      </c>
      <c r="D68" t="s">
        <v>674</v>
      </c>
      <c r="E68">
        <v>5</v>
      </c>
      <c r="F68">
        <v>3063.2</v>
      </c>
      <c r="G68">
        <v>612.64</v>
      </c>
      <c r="H68" s="10">
        <v>34705</v>
      </c>
      <c r="I68" s="10">
        <v>34981</v>
      </c>
      <c r="J68">
        <v>276</v>
      </c>
      <c r="K68">
        <v>1</v>
      </c>
      <c r="L68">
        <v>8.5393000000000008</v>
      </c>
      <c r="M68" t="s">
        <v>1156</v>
      </c>
    </row>
    <row r="69" spans="1:13">
      <c r="A69" t="s">
        <v>665</v>
      </c>
      <c r="B69" t="s">
        <v>1110</v>
      </c>
      <c r="C69" t="s">
        <v>670</v>
      </c>
      <c r="D69" t="s">
        <v>668</v>
      </c>
      <c r="E69">
        <v>6</v>
      </c>
      <c r="F69">
        <v>2940.35</v>
      </c>
      <c r="G69">
        <v>490.06</v>
      </c>
      <c r="H69" s="10">
        <v>34704</v>
      </c>
      <c r="I69" s="10">
        <v>35188</v>
      </c>
      <c r="J69">
        <v>484</v>
      </c>
      <c r="K69">
        <v>1</v>
      </c>
      <c r="L69">
        <v>8.5393000000000008</v>
      </c>
      <c r="M69" t="s">
        <v>1156</v>
      </c>
    </row>
    <row r="70" spans="1:13">
      <c r="A70" t="s">
        <v>712</v>
      </c>
      <c r="B70" t="s">
        <v>713</v>
      </c>
      <c r="C70" t="s">
        <v>698</v>
      </c>
      <c r="D70" t="s">
        <v>697</v>
      </c>
      <c r="E70">
        <v>4</v>
      </c>
      <c r="F70">
        <v>2768.1</v>
      </c>
      <c r="G70">
        <v>692.02</v>
      </c>
      <c r="H70" s="10">
        <v>34778</v>
      </c>
      <c r="I70" s="10">
        <v>35153</v>
      </c>
      <c r="J70">
        <v>375</v>
      </c>
      <c r="K70">
        <v>1</v>
      </c>
      <c r="L70">
        <v>8.5393000000000008</v>
      </c>
      <c r="M70" t="s">
        <v>1156</v>
      </c>
    </row>
    <row r="71" spans="1:13">
      <c r="A71" t="s">
        <v>566</v>
      </c>
      <c r="B71" t="s">
        <v>567</v>
      </c>
      <c r="C71" t="s">
        <v>26</v>
      </c>
      <c r="D71" t="s">
        <v>569</v>
      </c>
      <c r="E71">
        <v>7</v>
      </c>
      <c r="F71">
        <v>2683.6</v>
      </c>
      <c r="G71">
        <v>383.37</v>
      </c>
      <c r="H71" s="10">
        <v>34625</v>
      </c>
      <c r="I71" s="10">
        <v>35138</v>
      </c>
      <c r="J71">
        <v>513</v>
      </c>
      <c r="K71">
        <v>1</v>
      </c>
      <c r="L71">
        <v>8.5393000000000008</v>
      </c>
      <c r="M71" t="s">
        <v>1156</v>
      </c>
    </row>
    <row r="72" spans="1:13">
      <c r="A72" t="s">
        <v>724</v>
      </c>
      <c r="B72" t="s">
        <v>725</v>
      </c>
      <c r="C72" t="s">
        <v>93</v>
      </c>
      <c r="D72" t="s">
        <v>727</v>
      </c>
      <c r="E72">
        <v>6</v>
      </c>
      <c r="F72">
        <v>2381.8000000000002</v>
      </c>
      <c r="G72">
        <v>396.97</v>
      </c>
      <c r="H72" s="10">
        <v>34829</v>
      </c>
      <c r="I72" s="10">
        <v>35171</v>
      </c>
      <c r="J72">
        <v>342</v>
      </c>
      <c r="K72">
        <v>1</v>
      </c>
      <c r="L72">
        <v>8.5393000000000008</v>
      </c>
      <c r="M72" t="s">
        <v>1156</v>
      </c>
    </row>
    <row r="73" spans="1:13">
      <c r="A73" t="s">
        <v>769</v>
      </c>
      <c r="B73" t="s">
        <v>1173</v>
      </c>
      <c r="C73" t="s">
        <v>140</v>
      </c>
      <c r="D73" t="s">
        <v>139</v>
      </c>
      <c r="E73">
        <v>3</v>
      </c>
      <c r="F73">
        <v>2213.35</v>
      </c>
      <c r="G73">
        <v>737.78</v>
      </c>
      <c r="H73" s="10">
        <v>35046</v>
      </c>
      <c r="I73" s="10">
        <v>35174</v>
      </c>
      <c r="J73">
        <v>128</v>
      </c>
      <c r="K73">
        <v>1</v>
      </c>
      <c r="L73">
        <v>8.5393000000000008</v>
      </c>
      <c r="M73" t="s">
        <v>1156</v>
      </c>
    </row>
    <row r="74" spans="1:13">
      <c r="A74" t="s">
        <v>772</v>
      </c>
      <c r="B74" t="s">
        <v>773</v>
      </c>
      <c r="C74" t="s">
        <v>140</v>
      </c>
      <c r="D74" t="s">
        <v>775</v>
      </c>
      <c r="E74">
        <v>4</v>
      </c>
      <c r="F74">
        <v>1992.05</v>
      </c>
      <c r="G74">
        <v>498.01</v>
      </c>
      <c r="H74" s="10">
        <v>35124</v>
      </c>
      <c r="I74" s="10">
        <v>35178</v>
      </c>
      <c r="J74">
        <v>54</v>
      </c>
      <c r="K74">
        <v>1</v>
      </c>
      <c r="L74">
        <v>8.5393000000000008</v>
      </c>
      <c r="M74" t="s">
        <v>1156</v>
      </c>
    </row>
    <row r="75" spans="1:13">
      <c r="A75" t="s">
        <v>642</v>
      </c>
      <c r="B75" t="s">
        <v>643</v>
      </c>
      <c r="C75" t="s">
        <v>93</v>
      </c>
      <c r="D75" t="s">
        <v>645</v>
      </c>
      <c r="E75">
        <v>4</v>
      </c>
      <c r="F75">
        <v>1984.36</v>
      </c>
      <c r="G75">
        <v>496.09</v>
      </c>
      <c r="H75" s="10">
        <v>34695</v>
      </c>
      <c r="I75" s="10">
        <v>35104</v>
      </c>
      <c r="J75">
        <v>409</v>
      </c>
      <c r="K75">
        <v>1</v>
      </c>
      <c r="L75">
        <v>8.5393000000000008</v>
      </c>
      <c r="M75" t="s">
        <v>1156</v>
      </c>
    </row>
    <row r="76" spans="1:13">
      <c r="A76" t="s">
        <v>757</v>
      </c>
      <c r="B76" t="s">
        <v>758</v>
      </c>
      <c r="C76" t="s">
        <v>26</v>
      </c>
      <c r="D76" t="s">
        <v>760</v>
      </c>
      <c r="E76">
        <v>3</v>
      </c>
      <c r="F76">
        <v>1947.24</v>
      </c>
      <c r="G76">
        <v>649.08000000000004</v>
      </c>
      <c r="H76" s="10">
        <v>34949</v>
      </c>
      <c r="I76" s="10">
        <v>35191</v>
      </c>
      <c r="J76">
        <v>242</v>
      </c>
      <c r="K76">
        <v>1</v>
      </c>
      <c r="L76">
        <v>8.5393000000000008</v>
      </c>
      <c r="M76" t="s">
        <v>1156</v>
      </c>
    </row>
    <row r="77" spans="1:13">
      <c r="A77" t="s">
        <v>708</v>
      </c>
      <c r="B77" t="s">
        <v>709</v>
      </c>
      <c r="C77" t="s">
        <v>18</v>
      </c>
      <c r="D77" t="s">
        <v>16</v>
      </c>
      <c r="E77">
        <v>3</v>
      </c>
      <c r="F77">
        <v>1719.1</v>
      </c>
      <c r="G77">
        <v>573.03</v>
      </c>
      <c r="H77" s="10">
        <v>34765</v>
      </c>
      <c r="I77" s="10">
        <v>35118</v>
      </c>
      <c r="J77">
        <v>353</v>
      </c>
      <c r="K77">
        <v>1</v>
      </c>
      <c r="L77">
        <v>8.5393000000000008</v>
      </c>
      <c r="M77" t="s">
        <v>1156</v>
      </c>
    </row>
    <row r="78" spans="1:13">
      <c r="A78" t="s">
        <v>576</v>
      </c>
      <c r="B78" t="s">
        <v>577</v>
      </c>
      <c r="C78" t="s">
        <v>140</v>
      </c>
      <c r="D78" t="s">
        <v>579</v>
      </c>
      <c r="E78">
        <v>4</v>
      </c>
      <c r="F78">
        <v>1615.9</v>
      </c>
      <c r="G78">
        <v>403.98</v>
      </c>
      <c r="H78" s="10">
        <v>34628</v>
      </c>
      <c r="I78" s="10">
        <v>35142</v>
      </c>
      <c r="J78">
        <v>514</v>
      </c>
      <c r="K78">
        <v>1</v>
      </c>
      <c r="L78">
        <v>8.5393000000000008</v>
      </c>
      <c r="M78" t="s">
        <v>1156</v>
      </c>
    </row>
    <row r="79" spans="1:13">
      <c r="A79" t="s">
        <v>744</v>
      </c>
      <c r="B79" t="s">
        <v>745</v>
      </c>
      <c r="C79" t="s">
        <v>26</v>
      </c>
      <c r="D79" t="s">
        <v>747</v>
      </c>
      <c r="E79">
        <v>3</v>
      </c>
      <c r="F79">
        <v>1571.2</v>
      </c>
      <c r="G79">
        <v>523.73</v>
      </c>
      <c r="H79" s="10">
        <v>34900</v>
      </c>
      <c r="I79" s="10">
        <v>35103</v>
      </c>
      <c r="J79">
        <v>203</v>
      </c>
      <c r="K79">
        <v>1</v>
      </c>
      <c r="L79">
        <v>8.5393000000000008</v>
      </c>
      <c r="M79" t="s">
        <v>1156</v>
      </c>
    </row>
    <row r="80" spans="1:13">
      <c r="A80" t="s">
        <v>732</v>
      </c>
      <c r="B80" t="s">
        <v>733</v>
      </c>
      <c r="C80" t="s">
        <v>698</v>
      </c>
      <c r="D80" t="s">
        <v>697</v>
      </c>
      <c r="E80">
        <v>5</v>
      </c>
      <c r="F80">
        <v>1509.8</v>
      </c>
      <c r="G80">
        <v>301.95999999999998</v>
      </c>
      <c r="H80" s="10">
        <v>34849</v>
      </c>
      <c r="I80" s="10">
        <v>35164</v>
      </c>
      <c r="J80">
        <v>315</v>
      </c>
      <c r="K80">
        <v>1</v>
      </c>
      <c r="L80">
        <v>8.5393000000000008</v>
      </c>
      <c r="M80" t="s">
        <v>1156</v>
      </c>
    </row>
    <row r="81" spans="1:13">
      <c r="A81" t="s">
        <v>479</v>
      </c>
      <c r="B81" t="s">
        <v>480</v>
      </c>
      <c r="C81" t="s">
        <v>438</v>
      </c>
      <c r="D81" t="s">
        <v>482</v>
      </c>
      <c r="E81">
        <v>2</v>
      </c>
      <c r="F81">
        <v>1488.7</v>
      </c>
      <c r="G81">
        <v>744.35</v>
      </c>
      <c r="H81" s="10">
        <v>34576</v>
      </c>
      <c r="I81" s="10">
        <v>35082</v>
      </c>
      <c r="J81">
        <v>506</v>
      </c>
      <c r="K81">
        <v>1</v>
      </c>
      <c r="L81">
        <v>8.5393000000000008</v>
      </c>
      <c r="M81" t="s">
        <v>1156</v>
      </c>
    </row>
    <row r="82" spans="1:13">
      <c r="A82" t="s">
        <v>394</v>
      </c>
      <c r="B82" t="s">
        <v>395</v>
      </c>
      <c r="C82" t="s">
        <v>140</v>
      </c>
      <c r="D82" t="s">
        <v>397</v>
      </c>
      <c r="E82">
        <v>5</v>
      </c>
      <c r="F82">
        <v>1480</v>
      </c>
      <c r="G82">
        <v>296</v>
      </c>
      <c r="H82" s="10">
        <v>34550</v>
      </c>
      <c r="I82" s="10">
        <v>35046</v>
      </c>
      <c r="J82">
        <v>496</v>
      </c>
      <c r="K82">
        <v>1</v>
      </c>
      <c r="L82">
        <v>8.5393000000000008</v>
      </c>
      <c r="M82" t="s">
        <v>1156</v>
      </c>
    </row>
    <row r="83" spans="1:13">
      <c r="A83" t="s">
        <v>570</v>
      </c>
      <c r="B83" t="s">
        <v>571</v>
      </c>
      <c r="C83" t="s">
        <v>448</v>
      </c>
      <c r="D83" t="s">
        <v>1162</v>
      </c>
      <c r="E83">
        <v>4</v>
      </c>
      <c r="F83">
        <v>1402.95</v>
      </c>
      <c r="G83">
        <v>350.74</v>
      </c>
      <c r="H83" s="10">
        <v>34626</v>
      </c>
      <c r="I83" s="10">
        <v>35158</v>
      </c>
      <c r="J83">
        <v>532</v>
      </c>
      <c r="K83">
        <v>1</v>
      </c>
      <c r="L83">
        <v>8.5393000000000008</v>
      </c>
      <c r="M83" t="s">
        <v>1156</v>
      </c>
    </row>
    <row r="84" spans="1:13">
      <c r="A84" t="s">
        <v>518</v>
      </c>
      <c r="B84" t="s">
        <v>519</v>
      </c>
      <c r="C84" t="s">
        <v>50</v>
      </c>
      <c r="D84" t="s">
        <v>521</v>
      </c>
      <c r="E84">
        <v>4</v>
      </c>
      <c r="F84">
        <v>1106.29</v>
      </c>
      <c r="G84">
        <v>276.57</v>
      </c>
      <c r="H84" s="10">
        <v>34591</v>
      </c>
      <c r="I84" s="10">
        <v>35156</v>
      </c>
      <c r="J84">
        <v>565</v>
      </c>
      <c r="K84">
        <v>1</v>
      </c>
      <c r="L84">
        <v>8.5393000000000008</v>
      </c>
      <c r="M84" t="s">
        <v>1156</v>
      </c>
    </row>
    <row r="85" spans="1:13">
      <c r="A85" t="s">
        <v>653</v>
      </c>
      <c r="B85" t="s">
        <v>1174</v>
      </c>
      <c r="C85" t="s">
        <v>50</v>
      </c>
      <c r="D85" t="s">
        <v>656</v>
      </c>
      <c r="E85">
        <v>5</v>
      </c>
      <c r="F85">
        <v>836.7</v>
      </c>
      <c r="G85">
        <v>167.34</v>
      </c>
      <c r="H85" s="10">
        <v>34697</v>
      </c>
      <c r="I85" s="10">
        <v>35159</v>
      </c>
      <c r="J85">
        <v>462</v>
      </c>
      <c r="K85">
        <v>1</v>
      </c>
      <c r="L85">
        <v>8.5393000000000008</v>
      </c>
      <c r="M85" t="s">
        <v>1156</v>
      </c>
    </row>
    <row r="86" spans="1:13">
      <c r="A86" t="s">
        <v>728</v>
      </c>
      <c r="B86" t="s">
        <v>729</v>
      </c>
      <c r="C86" t="s">
        <v>18</v>
      </c>
      <c r="D86" t="s">
        <v>16</v>
      </c>
      <c r="E86">
        <v>2</v>
      </c>
      <c r="F86">
        <v>604</v>
      </c>
      <c r="G86">
        <v>302</v>
      </c>
      <c r="H86" s="10">
        <v>34844</v>
      </c>
      <c r="I86" s="10">
        <v>35058</v>
      </c>
      <c r="J86">
        <v>214</v>
      </c>
      <c r="K86">
        <v>1</v>
      </c>
      <c r="L86">
        <v>8.5393000000000008</v>
      </c>
      <c r="M86" t="s">
        <v>1156</v>
      </c>
    </row>
    <row r="87" spans="1:13">
      <c r="A87" t="s">
        <v>719</v>
      </c>
      <c r="B87" t="s">
        <v>720</v>
      </c>
      <c r="C87" t="s">
        <v>192</v>
      </c>
      <c r="D87" t="s">
        <v>722</v>
      </c>
      <c r="E87">
        <v>3</v>
      </c>
      <c r="F87">
        <v>522.5</v>
      </c>
      <c r="G87">
        <v>174.17</v>
      </c>
      <c r="H87" s="10">
        <v>34823</v>
      </c>
      <c r="I87" s="10">
        <v>35096</v>
      </c>
      <c r="J87">
        <v>273</v>
      </c>
      <c r="K87">
        <v>1</v>
      </c>
      <c r="L87">
        <v>8.5393000000000008</v>
      </c>
      <c r="M87" t="s">
        <v>1156</v>
      </c>
    </row>
    <row r="88" spans="1:13">
      <c r="A88" t="s">
        <v>715</v>
      </c>
      <c r="B88" t="s">
        <v>716</v>
      </c>
      <c r="C88" t="s">
        <v>26</v>
      </c>
      <c r="D88" t="s">
        <v>718</v>
      </c>
      <c r="E88">
        <v>2</v>
      </c>
      <c r="F88">
        <v>357</v>
      </c>
      <c r="G88">
        <v>178.5</v>
      </c>
      <c r="H88" s="10">
        <v>34810</v>
      </c>
      <c r="I88" s="10">
        <v>34872</v>
      </c>
      <c r="J88">
        <v>62</v>
      </c>
      <c r="K88">
        <v>1</v>
      </c>
      <c r="L88">
        <v>8.5393000000000008</v>
      </c>
      <c r="M88" t="s">
        <v>1156</v>
      </c>
    </row>
    <row r="89" spans="1:13">
      <c r="A89" t="s">
        <v>699</v>
      </c>
      <c r="B89" t="s">
        <v>700</v>
      </c>
      <c r="C89" t="s">
        <v>113</v>
      </c>
      <c r="D89" t="s">
        <v>702</v>
      </c>
      <c r="E89">
        <v>4</v>
      </c>
      <c r="F89">
        <v>249.7</v>
      </c>
      <c r="G89">
        <v>62.42</v>
      </c>
      <c r="H89" s="10">
        <v>34752</v>
      </c>
      <c r="I89" s="10">
        <v>35095</v>
      </c>
      <c r="J89">
        <v>343</v>
      </c>
      <c r="K89">
        <v>1</v>
      </c>
      <c r="L89">
        <v>8.5393000000000008</v>
      </c>
      <c r="M89" t="s">
        <v>1156</v>
      </c>
    </row>
    <row r="90" spans="1:13">
      <c r="A90" t="s">
        <v>444</v>
      </c>
      <c r="B90" t="s">
        <v>445</v>
      </c>
      <c r="C90" t="s">
        <v>448</v>
      </c>
      <c r="D90" t="s">
        <v>1162</v>
      </c>
      <c r="E90">
        <v>1</v>
      </c>
      <c r="F90">
        <v>100.8</v>
      </c>
      <c r="G90">
        <v>100.8</v>
      </c>
      <c r="H90" s="10">
        <v>34564</v>
      </c>
      <c r="I90" s="10">
        <v>34564</v>
      </c>
      <c r="J90">
        <v>0</v>
      </c>
      <c r="K90">
        <v>1</v>
      </c>
      <c r="L90">
        <v>8.5393000000000008</v>
      </c>
      <c r="M90" t="s">
        <v>1156</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EE303-55EE-461A-8C53-3813C97C858B}">
  <dimension ref="A1:X91"/>
  <sheetViews>
    <sheetView showGridLines="0" zoomScale="110" workbookViewId="0">
      <selection activeCell="A48" sqref="A48"/>
    </sheetView>
  </sheetViews>
  <sheetFormatPr baseColWidth="10" defaultColWidth="8.83203125" defaultRowHeight="13"/>
  <cols>
    <col min="12" max="12" width="13.83203125" bestFit="1" customWidth="1"/>
    <col min="13" max="13" width="31.83203125" bestFit="1" customWidth="1"/>
    <col min="14" max="14" width="10.83203125" bestFit="1" customWidth="1"/>
    <col min="15" max="15" width="13.33203125" bestFit="1" customWidth="1"/>
    <col min="16" max="16" width="14.1640625" bestFit="1" customWidth="1"/>
    <col min="17" max="17" width="16" bestFit="1" customWidth="1"/>
    <col min="18" max="18" width="18.6640625" bestFit="1" customWidth="1"/>
    <col min="19" max="20" width="14.5" bestFit="1" customWidth="1"/>
    <col min="21" max="21" width="25.5" bestFit="1" customWidth="1"/>
    <col min="22" max="22" width="19" bestFit="1" customWidth="1"/>
    <col min="23" max="23" width="27.6640625" bestFit="1" customWidth="1"/>
    <col min="24" max="24" width="24.5" bestFit="1" customWidth="1"/>
  </cols>
  <sheetData>
    <row r="1" spans="1:24" ht="14" thickBot="1">
      <c r="A1" s="43" t="s">
        <v>1175</v>
      </c>
      <c r="B1" s="44"/>
      <c r="C1" s="44"/>
      <c r="D1" s="44"/>
      <c r="E1" s="44"/>
      <c r="F1" s="44"/>
      <c r="G1" s="44"/>
      <c r="H1" s="44"/>
      <c r="I1" s="44"/>
      <c r="J1" s="45"/>
    </row>
    <row r="2" spans="1:24" ht="15.75" customHeight="1">
      <c r="A2" s="37" t="s">
        <v>1176</v>
      </c>
      <c r="B2" s="38"/>
      <c r="C2" s="38"/>
      <c r="D2" s="38"/>
      <c r="E2" s="38"/>
      <c r="F2" s="38"/>
      <c r="G2" s="38"/>
      <c r="H2" s="38"/>
      <c r="I2" s="38"/>
      <c r="J2" s="39"/>
      <c r="L2" t="s">
        <v>381</v>
      </c>
      <c r="M2" t="s">
        <v>1</v>
      </c>
      <c r="N2" t="s">
        <v>8</v>
      </c>
      <c r="O2" t="s">
        <v>5</v>
      </c>
      <c r="P2" t="s">
        <v>1131</v>
      </c>
      <c r="Q2" t="s">
        <v>1132</v>
      </c>
      <c r="R2" t="s">
        <v>1133</v>
      </c>
      <c r="S2" t="s">
        <v>1134</v>
      </c>
      <c r="T2" t="s">
        <v>1135</v>
      </c>
      <c r="U2" t="s">
        <v>1136</v>
      </c>
      <c r="V2" t="s">
        <v>1137</v>
      </c>
      <c r="W2" t="s">
        <v>1138</v>
      </c>
      <c r="X2" t="s">
        <v>1139</v>
      </c>
    </row>
    <row r="3" spans="1:24">
      <c r="A3" s="37"/>
      <c r="B3" s="38"/>
      <c r="C3" s="38"/>
      <c r="D3" s="38"/>
      <c r="E3" s="38"/>
      <c r="F3" s="38"/>
      <c r="G3" s="38"/>
      <c r="H3" s="38"/>
      <c r="I3" s="38"/>
      <c r="J3" s="39"/>
      <c r="L3" t="s">
        <v>494</v>
      </c>
      <c r="M3" t="s">
        <v>495</v>
      </c>
      <c r="N3" t="s">
        <v>93</v>
      </c>
      <c r="O3" t="s">
        <v>497</v>
      </c>
      <c r="P3">
        <v>27</v>
      </c>
      <c r="Q3">
        <v>103971.06</v>
      </c>
      <c r="R3">
        <v>3850.78</v>
      </c>
      <c r="S3" s="10">
        <v>34582</v>
      </c>
      <c r="T3" s="10">
        <v>35187</v>
      </c>
      <c r="U3">
        <v>605</v>
      </c>
      <c r="V3">
        <v>4</v>
      </c>
      <c r="W3">
        <v>8.5393000000000008</v>
      </c>
      <c r="X3" t="s">
        <v>1140</v>
      </c>
    </row>
    <row r="4" spans="1:24">
      <c r="A4" s="37"/>
      <c r="B4" s="38"/>
      <c r="C4" s="38"/>
      <c r="D4" s="38"/>
      <c r="E4" s="38"/>
      <c r="F4" s="38"/>
      <c r="G4" s="38"/>
      <c r="H4" s="38"/>
      <c r="I4" s="38"/>
      <c r="J4" s="39"/>
      <c r="L4" t="s">
        <v>439</v>
      </c>
      <c r="M4" t="s">
        <v>440</v>
      </c>
      <c r="N4" t="s">
        <v>443</v>
      </c>
      <c r="O4" t="s">
        <v>442</v>
      </c>
      <c r="P4">
        <v>27</v>
      </c>
      <c r="Q4">
        <v>88226.08</v>
      </c>
      <c r="R4">
        <v>3267.63</v>
      </c>
      <c r="S4" s="10">
        <v>34563</v>
      </c>
      <c r="T4" s="10">
        <v>35186</v>
      </c>
      <c r="U4">
        <v>623</v>
      </c>
      <c r="V4">
        <v>4</v>
      </c>
      <c r="W4">
        <v>8.5393000000000008</v>
      </c>
      <c r="X4" t="s">
        <v>1140</v>
      </c>
    </row>
    <row r="5" spans="1:24">
      <c r="A5" s="37"/>
      <c r="B5" s="38"/>
      <c r="C5" s="38"/>
      <c r="D5" s="38"/>
      <c r="E5" s="38"/>
      <c r="F5" s="38"/>
      <c r="G5" s="38"/>
      <c r="H5" s="38"/>
      <c r="I5" s="38"/>
      <c r="J5" s="39"/>
      <c r="L5" t="s">
        <v>593</v>
      </c>
      <c r="M5" t="s">
        <v>594</v>
      </c>
      <c r="N5" t="s">
        <v>26</v>
      </c>
      <c r="O5" t="s">
        <v>596</v>
      </c>
      <c r="P5">
        <v>28</v>
      </c>
      <c r="Q5">
        <v>85023</v>
      </c>
      <c r="R5">
        <v>3036.54</v>
      </c>
      <c r="S5" s="10">
        <v>34646</v>
      </c>
      <c r="T5" s="10">
        <v>35191</v>
      </c>
      <c r="U5">
        <v>545</v>
      </c>
      <c r="V5">
        <v>4</v>
      </c>
      <c r="W5">
        <v>8.5393000000000008</v>
      </c>
      <c r="X5" t="s">
        <v>1140</v>
      </c>
    </row>
    <row r="6" spans="1:24">
      <c r="A6" s="37"/>
      <c r="B6" s="38"/>
      <c r="C6" s="38"/>
      <c r="D6" s="38"/>
      <c r="E6" s="38"/>
      <c r="F6" s="38"/>
      <c r="G6" s="38"/>
      <c r="H6" s="38"/>
      <c r="I6" s="38"/>
      <c r="J6" s="39"/>
      <c r="L6" t="s">
        <v>457</v>
      </c>
      <c r="M6" t="s">
        <v>458</v>
      </c>
      <c r="N6" t="s">
        <v>26</v>
      </c>
      <c r="O6" t="s">
        <v>460</v>
      </c>
      <c r="P6">
        <v>17</v>
      </c>
      <c r="Q6">
        <v>49842.080000000002</v>
      </c>
      <c r="R6">
        <v>2931.89</v>
      </c>
      <c r="S6" s="10">
        <v>34568</v>
      </c>
      <c r="T6" s="10">
        <v>35191</v>
      </c>
      <c r="U6">
        <v>623</v>
      </c>
      <c r="V6">
        <v>4</v>
      </c>
      <c r="W6">
        <v>8.5393000000000008</v>
      </c>
      <c r="X6" t="s">
        <v>1140</v>
      </c>
    </row>
    <row r="7" spans="1:24">
      <c r="A7" s="37"/>
      <c r="B7" s="38"/>
      <c r="C7" s="38"/>
      <c r="D7" s="38"/>
      <c r="E7" s="38"/>
      <c r="F7" s="38"/>
      <c r="G7" s="38"/>
      <c r="H7" s="38"/>
      <c r="I7" s="38"/>
      <c r="J7" s="39"/>
      <c r="L7" t="s">
        <v>547</v>
      </c>
      <c r="M7" t="s">
        <v>548</v>
      </c>
      <c r="N7" t="s">
        <v>552</v>
      </c>
      <c r="O7" t="s">
        <v>550</v>
      </c>
      <c r="P7">
        <v>18</v>
      </c>
      <c r="Q7">
        <v>48636.959999999999</v>
      </c>
      <c r="R7">
        <v>2702.05</v>
      </c>
      <c r="S7" s="10">
        <v>34613</v>
      </c>
      <c r="T7" s="10">
        <v>35184</v>
      </c>
      <c r="U7">
        <v>571</v>
      </c>
      <c r="V7">
        <v>4</v>
      </c>
      <c r="W7">
        <v>8.5393000000000008</v>
      </c>
      <c r="X7" t="s">
        <v>1140</v>
      </c>
    </row>
    <row r="8" spans="1:24">
      <c r="A8" s="37"/>
      <c r="B8" s="38"/>
      <c r="C8" s="38"/>
      <c r="D8" s="38"/>
      <c r="E8" s="38"/>
      <c r="F8" s="38"/>
      <c r="G8" s="38"/>
      <c r="H8" s="38"/>
      <c r="I8" s="38"/>
      <c r="J8" s="39"/>
      <c r="L8" t="s">
        <v>402</v>
      </c>
      <c r="M8" t="s">
        <v>403</v>
      </c>
      <c r="N8" t="s">
        <v>86</v>
      </c>
      <c r="O8" t="s">
        <v>405</v>
      </c>
      <c r="P8">
        <v>12</v>
      </c>
      <c r="Q8">
        <v>30107.37</v>
      </c>
      <c r="R8">
        <v>2508.9499999999998</v>
      </c>
      <c r="S8" s="10">
        <v>34554</v>
      </c>
      <c r="T8" s="10">
        <v>35181</v>
      </c>
      <c r="U8">
        <v>627</v>
      </c>
      <c r="V8">
        <v>4</v>
      </c>
      <c r="W8">
        <v>8.5393000000000008</v>
      </c>
      <c r="X8" t="s">
        <v>1141</v>
      </c>
    </row>
    <row r="9" spans="1:24">
      <c r="A9" s="37"/>
      <c r="B9" s="38"/>
      <c r="C9" s="38"/>
      <c r="D9" s="38"/>
      <c r="E9" s="38"/>
      <c r="F9" s="38"/>
      <c r="G9" s="38"/>
      <c r="H9" s="38"/>
      <c r="I9" s="38"/>
      <c r="J9" s="39"/>
      <c r="L9" t="s">
        <v>610</v>
      </c>
      <c r="M9" t="s">
        <v>1142</v>
      </c>
      <c r="N9" t="s">
        <v>192</v>
      </c>
      <c r="O9" t="s">
        <v>1143</v>
      </c>
      <c r="P9">
        <v>13</v>
      </c>
      <c r="Q9">
        <v>28872.19</v>
      </c>
      <c r="R9">
        <v>2220.94</v>
      </c>
      <c r="S9" s="10">
        <v>34655</v>
      </c>
      <c r="T9" s="10">
        <v>35033</v>
      </c>
      <c r="U9">
        <v>378</v>
      </c>
      <c r="V9">
        <v>4</v>
      </c>
      <c r="W9">
        <v>8.5393000000000008</v>
      </c>
      <c r="X9" t="s">
        <v>1140</v>
      </c>
    </row>
    <row r="10" spans="1:24">
      <c r="A10" s="37"/>
      <c r="B10" s="38"/>
      <c r="C10" s="38"/>
      <c r="D10" s="38"/>
      <c r="E10" s="38"/>
      <c r="F10" s="38"/>
      <c r="G10" s="38"/>
      <c r="H10" s="38"/>
      <c r="I10" s="38"/>
      <c r="J10" s="39"/>
      <c r="L10" t="s">
        <v>462</v>
      </c>
      <c r="M10" t="s">
        <v>1144</v>
      </c>
      <c r="N10" t="s">
        <v>79</v>
      </c>
      <c r="O10" t="s">
        <v>1145</v>
      </c>
      <c r="P10">
        <v>18</v>
      </c>
      <c r="Q10">
        <v>28757.56</v>
      </c>
      <c r="R10">
        <v>1597.64</v>
      </c>
      <c r="S10" s="10">
        <v>34570</v>
      </c>
      <c r="T10" s="10">
        <v>35191</v>
      </c>
      <c r="U10">
        <v>621</v>
      </c>
      <c r="V10">
        <v>4</v>
      </c>
      <c r="W10">
        <v>8.5393000000000008</v>
      </c>
      <c r="X10" t="s">
        <v>1140</v>
      </c>
    </row>
    <row r="11" spans="1:24">
      <c r="A11" s="37"/>
      <c r="B11" s="38"/>
      <c r="C11" s="38"/>
      <c r="D11" s="38"/>
      <c r="E11" s="38"/>
      <c r="F11" s="38"/>
      <c r="G11" s="38"/>
      <c r="H11" s="38"/>
      <c r="I11" s="38"/>
      <c r="J11" s="39"/>
      <c r="L11" t="s">
        <v>589</v>
      </c>
      <c r="M11" t="s">
        <v>1146</v>
      </c>
      <c r="N11" t="s">
        <v>93</v>
      </c>
      <c r="O11" t="s">
        <v>592</v>
      </c>
      <c r="P11">
        <v>13</v>
      </c>
      <c r="Q11">
        <v>28748.38</v>
      </c>
      <c r="R11">
        <v>2211.41</v>
      </c>
      <c r="S11" s="10">
        <v>34645</v>
      </c>
      <c r="T11" s="10">
        <v>35144</v>
      </c>
      <c r="U11">
        <v>499</v>
      </c>
      <c r="V11">
        <v>4</v>
      </c>
      <c r="W11">
        <v>8.5393000000000008</v>
      </c>
      <c r="X11" t="s">
        <v>1140</v>
      </c>
    </row>
    <row r="12" spans="1:24">
      <c r="A12" s="37"/>
      <c r="B12" s="38"/>
      <c r="C12" s="38"/>
      <c r="D12" s="38"/>
      <c r="E12" s="38"/>
      <c r="F12" s="38"/>
      <c r="G12" s="38"/>
      <c r="H12" s="38"/>
      <c r="I12" s="38"/>
      <c r="J12" s="39"/>
      <c r="L12" t="s">
        <v>509</v>
      </c>
      <c r="M12" t="s">
        <v>1147</v>
      </c>
      <c r="N12" t="s">
        <v>79</v>
      </c>
      <c r="O12" t="s">
        <v>1148</v>
      </c>
      <c r="P12">
        <v>18</v>
      </c>
      <c r="Q12">
        <v>24927.58</v>
      </c>
      <c r="R12">
        <v>1384.87</v>
      </c>
      <c r="S12" s="10">
        <v>34589</v>
      </c>
      <c r="T12" s="10">
        <v>35158</v>
      </c>
      <c r="U12">
        <v>569</v>
      </c>
      <c r="V12">
        <v>4</v>
      </c>
      <c r="W12">
        <v>8.5393000000000008</v>
      </c>
      <c r="X12" t="s">
        <v>1140</v>
      </c>
    </row>
    <row r="13" spans="1:24">
      <c r="A13" s="37"/>
      <c r="B13" s="38"/>
      <c r="C13" s="38"/>
      <c r="D13" s="38"/>
      <c r="E13" s="38"/>
      <c r="F13" s="38"/>
      <c r="G13" s="38"/>
      <c r="H13" s="38"/>
      <c r="I13" s="38"/>
      <c r="J13" s="39"/>
      <c r="L13" t="s">
        <v>475</v>
      </c>
      <c r="M13" t="s">
        <v>476</v>
      </c>
      <c r="N13" t="s">
        <v>93</v>
      </c>
      <c r="O13" t="s">
        <v>1149</v>
      </c>
      <c r="P13">
        <v>14</v>
      </c>
      <c r="Q13">
        <v>23831.26</v>
      </c>
      <c r="R13">
        <v>1702.23</v>
      </c>
      <c r="S13" s="10">
        <v>34575</v>
      </c>
      <c r="T13" s="10">
        <v>35159</v>
      </c>
      <c r="U13">
        <v>584</v>
      </c>
      <c r="V13">
        <v>4</v>
      </c>
      <c r="W13">
        <v>8.5393000000000008</v>
      </c>
      <c r="X13" t="s">
        <v>1140</v>
      </c>
    </row>
    <row r="14" spans="1:24">
      <c r="A14" s="37"/>
      <c r="B14" s="38"/>
      <c r="C14" s="38"/>
      <c r="D14" s="38"/>
      <c r="E14" s="38"/>
      <c r="F14" s="38"/>
      <c r="G14" s="38"/>
      <c r="H14" s="38"/>
      <c r="I14" s="38"/>
      <c r="J14" s="39"/>
      <c r="L14" t="s">
        <v>661</v>
      </c>
      <c r="M14" t="s">
        <v>662</v>
      </c>
      <c r="N14" t="s">
        <v>86</v>
      </c>
      <c r="O14" t="s">
        <v>1150</v>
      </c>
      <c r="P14">
        <v>12</v>
      </c>
      <c r="Q14">
        <v>23690.42</v>
      </c>
      <c r="R14">
        <v>1974.2</v>
      </c>
      <c r="S14" s="10">
        <v>34703</v>
      </c>
      <c r="T14" s="10">
        <v>35173</v>
      </c>
      <c r="U14">
        <v>470</v>
      </c>
      <c r="V14">
        <v>4</v>
      </c>
      <c r="W14">
        <v>8.5393000000000008</v>
      </c>
      <c r="X14" t="s">
        <v>1141</v>
      </c>
    </row>
    <row r="15" spans="1:24">
      <c r="A15" s="37"/>
      <c r="B15" s="38"/>
      <c r="C15" s="38"/>
      <c r="D15" s="38"/>
      <c r="E15" s="38"/>
      <c r="F15" s="38"/>
      <c r="G15" s="38"/>
      <c r="H15" s="38"/>
      <c r="I15" s="38"/>
      <c r="J15" s="39"/>
      <c r="L15" t="s">
        <v>412</v>
      </c>
      <c r="M15" t="s">
        <v>1151</v>
      </c>
      <c r="N15" t="s">
        <v>417</v>
      </c>
      <c r="O15" t="s">
        <v>415</v>
      </c>
      <c r="P15">
        <v>10</v>
      </c>
      <c r="Q15">
        <v>21601.68</v>
      </c>
      <c r="R15">
        <v>2160.17</v>
      </c>
      <c r="S15" s="10">
        <v>34555</v>
      </c>
      <c r="T15" s="10">
        <v>35160</v>
      </c>
      <c r="U15">
        <v>605</v>
      </c>
      <c r="V15">
        <v>4</v>
      </c>
      <c r="W15">
        <v>8.5393000000000008</v>
      </c>
      <c r="X15" t="s">
        <v>1141</v>
      </c>
    </row>
    <row r="16" spans="1:24">
      <c r="A16" s="37"/>
      <c r="B16" s="38"/>
      <c r="C16" s="38"/>
      <c r="D16" s="38"/>
      <c r="E16" s="38"/>
      <c r="F16" s="38"/>
      <c r="G16" s="38"/>
      <c r="H16" s="38"/>
      <c r="I16" s="38"/>
      <c r="J16" s="39"/>
      <c r="L16" t="s">
        <v>606</v>
      </c>
      <c r="M16" t="s">
        <v>607</v>
      </c>
      <c r="N16" t="s">
        <v>140</v>
      </c>
      <c r="O16" t="s">
        <v>609</v>
      </c>
      <c r="P16">
        <v>16</v>
      </c>
      <c r="Q16">
        <v>21170.5</v>
      </c>
      <c r="R16">
        <v>1323.16</v>
      </c>
      <c r="S16" s="10">
        <v>34654</v>
      </c>
      <c r="T16" s="10">
        <v>35165</v>
      </c>
      <c r="U16">
        <v>511</v>
      </c>
      <c r="V16">
        <v>4</v>
      </c>
      <c r="W16">
        <v>8.5393000000000008</v>
      </c>
      <c r="X16" t="s">
        <v>1140</v>
      </c>
    </row>
    <row r="17" spans="1:24">
      <c r="A17" s="37"/>
      <c r="B17" s="38"/>
      <c r="C17" s="38"/>
      <c r="D17" s="38"/>
      <c r="E17" s="38"/>
      <c r="F17" s="38"/>
      <c r="G17" s="38"/>
      <c r="H17" s="38"/>
      <c r="I17" s="38"/>
      <c r="J17" s="39"/>
      <c r="L17" t="s">
        <v>433</v>
      </c>
      <c r="M17" t="s">
        <v>1152</v>
      </c>
      <c r="N17" t="s">
        <v>438</v>
      </c>
      <c r="O17" t="s">
        <v>1153</v>
      </c>
      <c r="P17">
        <v>17</v>
      </c>
      <c r="Q17">
        <v>21041.26</v>
      </c>
      <c r="R17">
        <v>1237.72</v>
      </c>
      <c r="S17" s="10">
        <v>34562</v>
      </c>
      <c r="T17" s="10">
        <v>35179</v>
      </c>
      <c r="U17">
        <v>617</v>
      </c>
      <c r="V17">
        <v>4</v>
      </c>
      <c r="W17">
        <v>8.5393000000000008</v>
      </c>
      <c r="X17" t="s">
        <v>1140</v>
      </c>
    </row>
    <row r="18" spans="1:24">
      <c r="A18" s="37"/>
      <c r="B18" s="38"/>
      <c r="C18" s="38"/>
      <c r="D18" s="38"/>
      <c r="E18" s="38"/>
      <c r="F18" s="38"/>
      <c r="G18" s="38"/>
      <c r="H18" s="38"/>
      <c r="I18" s="38"/>
      <c r="J18" s="39"/>
      <c r="L18" t="s">
        <v>628</v>
      </c>
      <c r="M18" t="s">
        <v>629</v>
      </c>
      <c r="N18" t="s">
        <v>443</v>
      </c>
      <c r="O18" t="s">
        <v>631</v>
      </c>
      <c r="P18">
        <v>9</v>
      </c>
      <c r="Q18">
        <v>20073.86</v>
      </c>
      <c r="R18">
        <v>2230.4299999999998</v>
      </c>
      <c r="S18" s="10">
        <v>34682</v>
      </c>
      <c r="T18" s="10">
        <v>35116</v>
      </c>
      <c r="U18">
        <v>434</v>
      </c>
      <c r="V18">
        <v>4</v>
      </c>
      <c r="W18">
        <v>8.5393000000000008</v>
      </c>
      <c r="X18" t="s">
        <v>1141</v>
      </c>
    </row>
    <row r="19" spans="1:24">
      <c r="A19" s="37"/>
      <c r="B19" s="38"/>
      <c r="C19" s="38"/>
      <c r="D19" s="38"/>
      <c r="E19" s="38"/>
      <c r="F19" s="38"/>
      <c r="G19" s="38"/>
      <c r="H19" s="38"/>
      <c r="I19" s="38"/>
      <c r="J19" s="39"/>
      <c r="L19" t="s">
        <v>467</v>
      </c>
      <c r="M19" t="s">
        <v>1154</v>
      </c>
      <c r="N19" t="s">
        <v>140</v>
      </c>
      <c r="O19" t="s">
        <v>470</v>
      </c>
      <c r="P19">
        <v>11</v>
      </c>
      <c r="Q19">
        <v>18534.080000000002</v>
      </c>
      <c r="R19">
        <v>1684.92</v>
      </c>
      <c r="S19" s="10">
        <v>34571</v>
      </c>
      <c r="T19" s="10">
        <v>35107</v>
      </c>
      <c r="U19">
        <v>536</v>
      </c>
      <c r="V19">
        <v>4</v>
      </c>
      <c r="W19">
        <v>8.5393000000000008</v>
      </c>
      <c r="X19" t="s">
        <v>1141</v>
      </c>
    </row>
    <row r="20" spans="1:24">
      <c r="A20" s="37"/>
      <c r="B20" s="38"/>
      <c r="C20" s="38"/>
      <c r="D20" s="38"/>
      <c r="E20" s="38"/>
      <c r="F20" s="38"/>
      <c r="G20" s="38"/>
      <c r="H20" s="38"/>
      <c r="I20" s="38"/>
      <c r="J20" s="39"/>
      <c r="L20" t="s">
        <v>679</v>
      </c>
      <c r="M20" t="s">
        <v>680</v>
      </c>
      <c r="N20" t="s">
        <v>192</v>
      </c>
      <c r="O20" t="s">
        <v>682</v>
      </c>
      <c r="P20">
        <v>11</v>
      </c>
      <c r="Q20">
        <v>18089.38</v>
      </c>
      <c r="R20">
        <v>1644.49</v>
      </c>
      <c r="S20" s="10">
        <v>34719</v>
      </c>
      <c r="T20" s="10">
        <v>35181</v>
      </c>
      <c r="U20">
        <v>462</v>
      </c>
      <c r="V20">
        <v>4</v>
      </c>
      <c r="W20">
        <v>8.5393000000000008</v>
      </c>
      <c r="X20" t="s">
        <v>1141</v>
      </c>
    </row>
    <row r="21" spans="1:24">
      <c r="A21" s="37"/>
      <c r="B21" s="38"/>
      <c r="C21" s="38"/>
      <c r="D21" s="38"/>
      <c r="E21" s="38"/>
      <c r="F21" s="38"/>
      <c r="G21" s="38"/>
      <c r="H21" s="38"/>
      <c r="I21" s="38"/>
      <c r="J21" s="39"/>
      <c r="L21" t="s">
        <v>735</v>
      </c>
      <c r="M21" t="s">
        <v>736</v>
      </c>
      <c r="N21" t="s">
        <v>26</v>
      </c>
      <c r="O21" t="s">
        <v>738</v>
      </c>
      <c r="P21">
        <v>9</v>
      </c>
      <c r="Q21">
        <v>17797.45</v>
      </c>
      <c r="R21">
        <v>1977.49</v>
      </c>
      <c r="S21" s="10">
        <v>34856</v>
      </c>
      <c r="T21" s="10">
        <v>35192</v>
      </c>
      <c r="U21">
        <v>336</v>
      </c>
      <c r="V21">
        <v>4</v>
      </c>
      <c r="W21">
        <v>8.5393000000000008</v>
      </c>
      <c r="X21" t="s">
        <v>1141</v>
      </c>
    </row>
    <row r="22" spans="1:24">
      <c r="A22" s="37"/>
      <c r="B22" s="38"/>
      <c r="C22" s="38"/>
      <c r="D22" s="38"/>
      <c r="E22" s="38"/>
      <c r="F22" s="38"/>
      <c r="G22" s="38"/>
      <c r="H22" s="38"/>
      <c r="I22" s="38"/>
      <c r="J22" s="39"/>
      <c r="L22" t="s">
        <v>514</v>
      </c>
      <c r="M22" t="s">
        <v>515</v>
      </c>
      <c r="N22" t="s">
        <v>93</v>
      </c>
      <c r="O22" t="s">
        <v>517</v>
      </c>
      <c r="P22">
        <v>14</v>
      </c>
      <c r="Q22">
        <v>17631.439999999999</v>
      </c>
      <c r="R22">
        <v>1259.3900000000001</v>
      </c>
      <c r="S22" s="10">
        <v>34590</v>
      </c>
      <c r="T22" s="10">
        <v>35163</v>
      </c>
      <c r="U22">
        <v>573</v>
      </c>
      <c r="V22">
        <v>4</v>
      </c>
      <c r="W22">
        <v>8.5393000000000008</v>
      </c>
      <c r="X22" t="s">
        <v>1140</v>
      </c>
    </row>
    <row r="23" spans="1:24">
      <c r="A23" s="37"/>
      <c r="B23" s="38"/>
      <c r="C23" s="38"/>
      <c r="D23" s="38"/>
      <c r="E23" s="38"/>
      <c r="F23" s="38"/>
      <c r="G23" s="38"/>
      <c r="H23" s="38"/>
      <c r="I23" s="38"/>
      <c r="J23" s="39"/>
      <c r="L23" t="s">
        <v>484</v>
      </c>
      <c r="M23" t="s">
        <v>485</v>
      </c>
      <c r="N23" t="s">
        <v>26</v>
      </c>
      <c r="O23" t="s">
        <v>487</v>
      </c>
      <c r="P23">
        <v>12</v>
      </c>
      <c r="Q23">
        <v>17532.36</v>
      </c>
      <c r="R23">
        <v>1461.03</v>
      </c>
      <c r="S23" s="10">
        <v>34577</v>
      </c>
      <c r="T23" s="10">
        <v>35150</v>
      </c>
      <c r="U23">
        <v>573</v>
      </c>
      <c r="V23">
        <v>4</v>
      </c>
      <c r="W23">
        <v>8.5393000000000008</v>
      </c>
      <c r="X23" t="s">
        <v>1141</v>
      </c>
    </row>
    <row r="24" spans="1:24">
      <c r="A24" s="37"/>
      <c r="B24" s="38"/>
      <c r="C24" s="38"/>
      <c r="D24" s="38"/>
      <c r="E24" s="38"/>
      <c r="F24" s="38"/>
      <c r="G24" s="38"/>
      <c r="H24" s="38"/>
      <c r="I24" s="38"/>
      <c r="J24" s="39"/>
      <c r="L24" t="s">
        <v>616</v>
      </c>
      <c r="M24" t="s">
        <v>617</v>
      </c>
      <c r="N24" t="s">
        <v>161</v>
      </c>
      <c r="O24" t="s">
        <v>1155</v>
      </c>
      <c r="P24">
        <v>6</v>
      </c>
      <c r="Q24">
        <v>16585.009999999998</v>
      </c>
      <c r="R24">
        <v>2764.17</v>
      </c>
      <c r="S24" s="10">
        <v>34667</v>
      </c>
      <c r="T24" s="10">
        <v>35093</v>
      </c>
      <c r="U24">
        <v>426</v>
      </c>
      <c r="V24">
        <v>4</v>
      </c>
      <c r="W24">
        <v>8.5393000000000008</v>
      </c>
      <c r="X24" t="s">
        <v>1156</v>
      </c>
    </row>
    <row r="25" spans="1:24">
      <c r="A25" s="37"/>
      <c r="B25" s="38"/>
      <c r="C25" s="38"/>
      <c r="D25" s="38"/>
      <c r="E25" s="38"/>
      <c r="F25" s="38"/>
      <c r="G25" s="38"/>
      <c r="H25" s="38"/>
      <c r="I25" s="38"/>
      <c r="J25" s="39"/>
      <c r="L25" t="s">
        <v>638</v>
      </c>
      <c r="M25" t="s">
        <v>639</v>
      </c>
      <c r="N25" t="s">
        <v>18</v>
      </c>
      <c r="O25" t="s">
        <v>16</v>
      </c>
      <c r="P25">
        <v>9</v>
      </c>
      <c r="Q25">
        <v>16215.33</v>
      </c>
      <c r="R25">
        <v>1801.7</v>
      </c>
      <c r="S25" s="10">
        <v>34690</v>
      </c>
      <c r="T25" s="10">
        <v>35130</v>
      </c>
      <c r="U25">
        <v>440</v>
      </c>
      <c r="V25">
        <v>3</v>
      </c>
      <c r="W25">
        <v>8.5393000000000008</v>
      </c>
      <c r="X25" t="s">
        <v>1141</v>
      </c>
    </row>
    <row r="26" spans="1:24">
      <c r="A26" s="37"/>
      <c r="B26" s="38"/>
      <c r="C26" s="38"/>
      <c r="D26" s="38"/>
      <c r="E26" s="38"/>
      <c r="F26" s="38"/>
      <c r="G26" s="38"/>
      <c r="H26" s="38"/>
      <c r="I26" s="38"/>
      <c r="J26" s="39"/>
      <c r="L26" t="s">
        <v>657</v>
      </c>
      <c r="M26" t="s">
        <v>658</v>
      </c>
      <c r="N26" t="s">
        <v>161</v>
      </c>
      <c r="O26" t="s">
        <v>1157</v>
      </c>
      <c r="P26">
        <v>11</v>
      </c>
      <c r="Q26">
        <v>15843.92</v>
      </c>
      <c r="R26">
        <v>1440.36</v>
      </c>
      <c r="S26" s="10">
        <v>34697</v>
      </c>
      <c r="T26" s="10">
        <v>35187</v>
      </c>
      <c r="U26">
        <v>490</v>
      </c>
      <c r="V26">
        <v>3</v>
      </c>
      <c r="W26">
        <v>8.5393000000000008</v>
      </c>
      <c r="X26" t="s">
        <v>1141</v>
      </c>
    </row>
    <row r="27" spans="1:24">
      <c r="A27" s="37"/>
      <c r="B27" s="38"/>
      <c r="C27" s="38"/>
      <c r="D27" s="38"/>
      <c r="E27" s="38"/>
      <c r="F27" s="38"/>
      <c r="G27" s="38"/>
      <c r="H27" s="38"/>
      <c r="I27" s="38"/>
      <c r="J27" s="39"/>
      <c r="L27" t="s">
        <v>423</v>
      </c>
      <c r="M27" t="s">
        <v>424</v>
      </c>
      <c r="N27" t="s">
        <v>422</v>
      </c>
      <c r="O27" t="s">
        <v>1158</v>
      </c>
      <c r="P27">
        <v>8</v>
      </c>
      <c r="Q27">
        <v>15612.88</v>
      </c>
      <c r="R27">
        <v>1951.61</v>
      </c>
      <c r="S27" s="10">
        <v>34558</v>
      </c>
      <c r="T27" s="10">
        <v>35170</v>
      </c>
      <c r="U27">
        <v>612</v>
      </c>
      <c r="V27">
        <v>3</v>
      </c>
      <c r="W27">
        <v>8.5393000000000008</v>
      </c>
      <c r="X27" t="s">
        <v>1156</v>
      </c>
    </row>
    <row r="28" spans="1:24">
      <c r="A28" s="37"/>
      <c r="B28" s="38"/>
      <c r="C28" s="38"/>
      <c r="D28" s="38"/>
      <c r="E28" s="38"/>
      <c r="F28" s="38"/>
      <c r="G28" s="38"/>
      <c r="H28" s="38"/>
      <c r="I28" s="38"/>
      <c r="J28" s="39"/>
      <c r="L28" t="s">
        <v>522</v>
      </c>
      <c r="M28" t="s">
        <v>523</v>
      </c>
      <c r="N28" t="s">
        <v>438</v>
      </c>
      <c r="O28" t="s">
        <v>525</v>
      </c>
      <c r="P28">
        <v>12</v>
      </c>
      <c r="Q28">
        <v>15402.68</v>
      </c>
      <c r="R28">
        <v>1283.56</v>
      </c>
      <c r="S28" s="10">
        <v>34593</v>
      </c>
      <c r="T28" s="10">
        <v>35188</v>
      </c>
      <c r="U28">
        <v>595</v>
      </c>
      <c r="V28">
        <v>3</v>
      </c>
      <c r="W28">
        <v>8.5393000000000008</v>
      </c>
      <c r="X28" t="s">
        <v>1141</v>
      </c>
    </row>
    <row r="29" spans="1:24">
      <c r="A29" s="37"/>
      <c r="B29" s="38"/>
      <c r="C29" s="38"/>
      <c r="D29" s="38"/>
      <c r="E29" s="38"/>
      <c r="F29" s="38"/>
      <c r="G29" s="38"/>
      <c r="H29" s="38"/>
      <c r="I29" s="38"/>
      <c r="J29" s="39"/>
      <c r="L29" t="s">
        <v>471</v>
      </c>
      <c r="M29" t="s">
        <v>472</v>
      </c>
      <c r="N29" t="s">
        <v>176</v>
      </c>
      <c r="O29" t="s">
        <v>474</v>
      </c>
      <c r="P29">
        <v>14</v>
      </c>
      <c r="Q29">
        <v>15378.7</v>
      </c>
      <c r="R29">
        <v>1098.48</v>
      </c>
      <c r="S29" s="10">
        <v>34572</v>
      </c>
      <c r="T29" s="10">
        <v>35081</v>
      </c>
      <c r="U29">
        <v>509</v>
      </c>
      <c r="V29">
        <v>3</v>
      </c>
      <c r="W29">
        <v>8.5393000000000008</v>
      </c>
      <c r="X29" t="s">
        <v>1141</v>
      </c>
    </row>
    <row r="30" spans="1:24">
      <c r="A30" s="37"/>
      <c r="B30" s="38"/>
      <c r="C30" s="38"/>
      <c r="D30" s="38"/>
      <c r="E30" s="38"/>
      <c r="F30" s="38"/>
      <c r="G30" s="38"/>
      <c r="H30" s="38"/>
      <c r="I30" s="38"/>
      <c r="J30" s="39"/>
      <c r="L30" t="s">
        <v>561</v>
      </c>
      <c r="M30" t="s">
        <v>562</v>
      </c>
      <c r="N30" t="s">
        <v>26</v>
      </c>
      <c r="O30" t="s">
        <v>564</v>
      </c>
      <c r="P30">
        <v>9</v>
      </c>
      <c r="Q30">
        <v>14638.06</v>
      </c>
      <c r="R30">
        <v>1626.45</v>
      </c>
      <c r="S30" s="10">
        <v>34621</v>
      </c>
      <c r="T30" s="10">
        <v>35174</v>
      </c>
      <c r="U30">
        <v>553</v>
      </c>
      <c r="V30">
        <v>3</v>
      </c>
      <c r="W30">
        <v>8.5393000000000008</v>
      </c>
      <c r="X30" t="s">
        <v>1141</v>
      </c>
    </row>
    <row r="31" spans="1:24">
      <c r="A31" s="37"/>
      <c r="B31" s="38"/>
      <c r="C31" s="38"/>
      <c r="D31" s="38"/>
      <c r="E31" s="38"/>
      <c r="F31" s="38"/>
      <c r="G31" s="38"/>
      <c r="H31" s="38"/>
      <c r="I31" s="38"/>
      <c r="J31" s="39"/>
      <c r="L31" t="s">
        <v>685</v>
      </c>
      <c r="M31" t="s">
        <v>686</v>
      </c>
      <c r="N31" t="s">
        <v>438</v>
      </c>
      <c r="O31" t="s">
        <v>688</v>
      </c>
      <c r="P31">
        <v>10</v>
      </c>
      <c r="Q31">
        <v>13143.38</v>
      </c>
      <c r="R31">
        <v>1314.34</v>
      </c>
      <c r="S31" s="10">
        <v>34736</v>
      </c>
      <c r="T31" s="10">
        <v>35171</v>
      </c>
      <c r="U31">
        <v>435</v>
      </c>
      <c r="V31">
        <v>3</v>
      </c>
      <c r="W31">
        <v>8.5393000000000008</v>
      </c>
      <c r="X31" t="s">
        <v>1141</v>
      </c>
    </row>
    <row r="32" spans="1:24">
      <c r="A32" s="37"/>
      <c r="B32" s="38"/>
      <c r="C32" s="38"/>
      <c r="D32" s="38"/>
      <c r="E32" s="38"/>
      <c r="F32" s="38"/>
      <c r="G32" s="38"/>
      <c r="H32" s="38"/>
      <c r="I32" s="38"/>
      <c r="J32" s="39"/>
      <c r="L32" t="s">
        <v>632</v>
      </c>
      <c r="M32" t="s">
        <v>633</v>
      </c>
      <c r="N32" t="s">
        <v>18</v>
      </c>
      <c r="O32" t="s">
        <v>16</v>
      </c>
      <c r="P32">
        <v>12</v>
      </c>
      <c r="Q32">
        <v>12899.15</v>
      </c>
      <c r="R32">
        <v>1074.93</v>
      </c>
      <c r="S32" s="10">
        <v>34684</v>
      </c>
      <c r="T32" s="10">
        <v>35170</v>
      </c>
      <c r="U32">
        <v>486</v>
      </c>
      <c r="V32">
        <v>3</v>
      </c>
      <c r="W32">
        <v>8.5393000000000008</v>
      </c>
      <c r="X32" t="s">
        <v>1141</v>
      </c>
    </row>
    <row r="33" spans="1:24">
      <c r="A33" s="37"/>
      <c r="B33" s="38"/>
      <c r="C33" s="38"/>
      <c r="D33" s="38"/>
      <c r="E33" s="38"/>
      <c r="F33" s="38"/>
      <c r="G33" s="38"/>
      <c r="H33" s="38"/>
      <c r="I33" s="38"/>
      <c r="J33" s="39"/>
      <c r="L33" t="s">
        <v>449</v>
      </c>
      <c r="M33" t="s">
        <v>1159</v>
      </c>
      <c r="N33" t="s">
        <v>93</v>
      </c>
      <c r="O33" t="s">
        <v>1160</v>
      </c>
      <c r="P33">
        <v>9</v>
      </c>
      <c r="Q33">
        <v>11863.8</v>
      </c>
      <c r="R33">
        <v>1318.2</v>
      </c>
      <c r="S33" s="10">
        <v>34565</v>
      </c>
      <c r="T33" s="10">
        <v>35188</v>
      </c>
      <c r="U33">
        <v>623</v>
      </c>
      <c r="V33">
        <v>3</v>
      </c>
      <c r="W33">
        <v>8.5393000000000008</v>
      </c>
      <c r="X33" t="s">
        <v>1141</v>
      </c>
    </row>
    <row r="34" spans="1:24">
      <c r="A34" s="37"/>
      <c r="B34" s="38"/>
      <c r="C34" s="38"/>
      <c r="D34" s="38"/>
      <c r="E34" s="38"/>
      <c r="F34" s="38"/>
      <c r="G34" s="38"/>
      <c r="H34" s="38"/>
      <c r="I34" s="38"/>
      <c r="J34" s="39"/>
      <c r="L34" t="s">
        <v>690</v>
      </c>
      <c r="M34" t="s">
        <v>691</v>
      </c>
      <c r="N34" t="s">
        <v>140</v>
      </c>
      <c r="O34" t="s">
        <v>693</v>
      </c>
      <c r="P34">
        <v>5</v>
      </c>
      <c r="Q34">
        <v>11666.9</v>
      </c>
      <c r="R34">
        <v>2333.38</v>
      </c>
      <c r="S34" s="10">
        <v>34738</v>
      </c>
      <c r="T34" s="10">
        <v>35086</v>
      </c>
      <c r="U34">
        <v>348</v>
      </c>
      <c r="V34">
        <v>3</v>
      </c>
      <c r="W34">
        <v>8.5393000000000008</v>
      </c>
      <c r="X34" t="s">
        <v>1156</v>
      </c>
    </row>
    <row r="35" spans="1:24">
      <c r="A35" s="37"/>
      <c r="B35" s="38"/>
      <c r="C35" s="38"/>
      <c r="D35" s="38"/>
      <c r="E35" s="38"/>
      <c r="F35" s="38"/>
      <c r="G35" s="38"/>
      <c r="H35" s="38"/>
      <c r="I35" s="38"/>
      <c r="J35" s="39"/>
      <c r="L35" t="s">
        <v>489</v>
      </c>
      <c r="M35" t="s">
        <v>490</v>
      </c>
      <c r="N35" t="s">
        <v>26</v>
      </c>
      <c r="O35" t="s">
        <v>492</v>
      </c>
      <c r="P35">
        <v>9</v>
      </c>
      <c r="Q35">
        <v>11441.63</v>
      </c>
      <c r="R35">
        <v>1271.29</v>
      </c>
      <c r="S35" s="10">
        <v>34578</v>
      </c>
      <c r="T35" s="10">
        <v>35179</v>
      </c>
      <c r="U35">
        <v>601</v>
      </c>
      <c r="V35">
        <v>3</v>
      </c>
      <c r="W35">
        <v>8.5393000000000008</v>
      </c>
      <c r="X35" t="s">
        <v>1141</v>
      </c>
    </row>
    <row r="36" spans="1:24">
      <c r="A36" s="37"/>
      <c r="B36" s="38"/>
      <c r="C36" s="38"/>
      <c r="D36" s="38"/>
      <c r="E36" s="38"/>
      <c r="F36" s="38"/>
      <c r="G36" s="38"/>
      <c r="H36" s="38"/>
      <c r="I36" s="38"/>
      <c r="J36" s="39"/>
      <c r="L36" t="s">
        <v>557</v>
      </c>
      <c r="M36" t="s">
        <v>1161</v>
      </c>
      <c r="N36" t="s">
        <v>50</v>
      </c>
      <c r="O36" t="s">
        <v>560</v>
      </c>
      <c r="P36">
        <v>8</v>
      </c>
      <c r="Q36">
        <v>10769.86</v>
      </c>
      <c r="R36">
        <v>1346.23</v>
      </c>
      <c r="S36" s="10">
        <v>34619</v>
      </c>
      <c r="T36" s="10">
        <v>35167</v>
      </c>
      <c r="U36">
        <v>548</v>
      </c>
      <c r="V36">
        <v>3</v>
      </c>
      <c r="W36">
        <v>8.5393000000000008</v>
      </c>
      <c r="X36" t="s">
        <v>1156</v>
      </c>
    </row>
    <row r="37" spans="1:24">
      <c r="A37" s="37"/>
      <c r="B37" s="38"/>
      <c r="C37" s="38"/>
      <c r="D37" s="38"/>
      <c r="E37" s="38"/>
      <c r="F37" s="38"/>
      <c r="G37" s="38"/>
      <c r="H37" s="38"/>
      <c r="I37" s="38"/>
      <c r="J37" s="39"/>
      <c r="L37" t="s">
        <v>527</v>
      </c>
      <c r="M37" t="s">
        <v>528</v>
      </c>
      <c r="N37" t="s">
        <v>86</v>
      </c>
      <c r="O37" t="s">
        <v>405</v>
      </c>
      <c r="P37">
        <v>10</v>
      </c>
      <c r="Q37">
        <v>10612.8</v>
      </c>
      <c r="R37">
        <v>1061.28</v>
      </c>
      <c r="S37" s="10">
        <v>34599</v>
      </c>
      <c r="T37" s="10">
        <v>35135</v>
      </c>
      <c r="U37">
        <v>536</v>
      </c>
      <c r="V37">
        <v>3</v>
      </c>
      <c r="W37">
        <v>8.5393000000000008</v>
      </c>
      <c r="X37" t="s">
        <v>1141</v>
      </c>
    </row>
    <row r="38" spans="1:24">
      <c r="A38" s="37"/>
      <c r="B38" s="38"/>
      <c r="C38" s="38"/>
      <c r="D38" s="38"/>
      <c r="E38" s="38"/>
      <c r="F38" s="38"/>
      <c r="G38" s="38"/>
      <c r="H38" s="38"/>
      <c r="I38" s="38"/>
      <c r="J38" s="39"/>
      <c r="L38" t="s">
        <v>502</v>
      </c>
      <c r="M38" t="s">
        <v>503</v>
      </c>
      <c r="N38" t="s">
        <v>448</v>
      </c>
      <c r="O38" t="s">
        <v>1162</v>
      </c>
      <c r="P38">
        <v>9</v>
      </c>
      <c r="Q38">
        <v>10452.15</v>
      </c>
      <c r="R38">
        <v>1161.3499999999999</v>
      </c>
      <c r="S38" s="10">
        <v>34585</v>
      </c>
      <c r="T38" s="10">
        <v>35153</v>
      </c>
      <c r="U38">
        <v>568</v>
      </c>
      <c r="V38">
        <v>3</v>
      </c>
      <c r="W38">
        <v>8.5393000000000008</v>
      </c>
      <c r="X38" t="s">
        <v>1141</v>
      </c>
    </row>
    <row r="39" spans="1:24">
      <c r="A39" s="37"/>
      <c r="B39" s="38"/>
      <c r="C39" s="38"/>
      <c r="D39" s="38"/>
      <c r="E39" s="38"/>
      <c r="F39" s="38"/>
      <c r="G39" s="38"/>
      <c r="H39" s="38"/>
      <c r="I39" s="38"/>
      <c r="J39" s="39"/>
      <c r="L39" t="s">
        <v>739</v>
      </c>
      <c r="M39" t="s">
        <v>740</v>
      </c>
      <c r="N39" t="s">
        <v>417</v>
      </c>
      <c r="O39" t="s">
        <v>742</v>
      </c>
      <c r="P39">
        <v>7</v>
      </c>
      <c r="Q39">
        <v>9736.08</v>
      </c>
      <c r="R39">
        <v>1390.87</v>
      </c>
      <c r="S39" s="10">
        <v>34857</v>
      </c>
      <c r="T39" s="10">
        <v>35192</v>
      </c>
      <c r="U39">
        <v>335</v>
      </c>
      <c r="V39">
        <v>3</v>
      </c>
      <c r="W39">
        <v>8.5393000000000008</v>
      </c>
      <c r="X39" t="s">
        <v>1156</v>
      </c>
    </row>
    <row r="40" spans="1:24">
      <c r="A40" s="37"/>
      <c r="B40" s="38"/>
      <c r="C40" s="38"/>
      <c r="D40" s="38"/>
      <c r="E40" s="38"/>
      <c r="F40" s="38"/>
      <c r="G40" s="38"/>
      <c r="H40" s="38"/>
      <c r="I40" s="38"/>
      <c r="J40" s="39"/>
      <c r="L40" t="s">
        <v>624</v>
      </c>
      <c r="M40" t="s">
        <v>625</v>
      </c>
      <c r="N40" t="s">
        <v>140</v>
      </c>
      <c r="O40" t="s">
        <v>627</v>
      </c>
      <c r="P40">
        <v>13</v>
      </c>
      <c r="Q40">
        <v>9292.2000000000007</v>
      </c>
      <c r="R40">
        <v>714.78</v>
      </c>
      <c r="S40" s="10">
        <v>34680</v>
      </c>
      <c r="T40" s="10">
        <v>35157</v>
      </c>
      <c r="U40">
        <v>477</v>
      </c>
      <c r="V40">
        <v>3</v>
      </c>
      <c r="W40">
        <v>8.5393000000000008</v>
      </c>
      <c r="X40" t="s">
        <v>1141</v>
      </c>
    </row>
    <row r="41" spans="1:24">
      <c r="A41" s="37"/>
      <c r="B41" s="38"/>
      <c r="C41" s="38"/>
      <c r="D41" s="38"/>
      <c r="E41" s="38"/>
      <c r="F41" s="38"/>
      <c r="G41" s="38"/>
      <c r="H41" s="38"/>
      <c r="I41" s="38"/>
      <c r="J41" s="39"/>
      <c r="L41" t="s">
        <v>418</v>
      </c>
      <c r="M41" t="s">
        <v>419</v>
      </c>
      <c r="N41" t="s">
        <v>422</v>
      </c>
      <c r="O41" t="s">
        <v>421</v>
      </c>
      <c r="P41">
        <v>6</v>
      </c>
      <c r="Q41">
        <v>9289.08</v>
      </c>
      <c r="R41">
        <v>1548.18</v>
      </c>
      <c r="S41" s="10">
        <v>34557</v>
      </c>
      <c r="T41" s="10">
        <v>35174</v>
      </c>
      <c r="U41">
        <v>617</v>
      </c>
      <c r="V41">
        <v>3</v>
      </c>
      <c r="W41">
        <v>8.5393000000000008</v>
      </c>
      <c r="X41" t="s">
        <v>1156</v>
      </c>
    </row>
    <row r="42" spans="1:24">
      <c r="A42" s="37"/>
      <c r="B42" s="38"/>
      <c r="C42" s="38"/>
      <c r="D42" s="38"/>
      <c r="E42" s="38"/>
      <c r="F42" s="38"/>
      <c r="G42" s="38"/>
      <c r="H42" s="38"/>
      <c r="I42" s="38"/>
      <c r="J42" s="39"/>
      <c r="L42" t="s">
        <v>408</v>
      </c>
      <c r="M42" t="s">
        <v>409</v>
      </c>
      <c r="N42" t="s">
        <v>140</v>
      </c>
      <c r="O42" t="s">
        <v>411</v>
      </c>
      <c r="P42">
        <v>10</v>
      </c>
      <c r="Q42">
        <v>9182.43</v>
      </c>
      <c r="R42">
        <v>918.24</v>
      </c>
      <c r="S42" s="10">
        <v>34554</v>
      </c>
      <c r="T42" s="10">
        <v>35118</v>
      </c>
      <c r="U42">
        <v>564</v>
      </c>
      <c r="V42">
        <v>3</v>
      </c>
      <c r="W42">
        <v>8.5393000000000008</v>
      </c>
      <c r="X42" t="s">
        <v>1141</v>
      </c>
    </row>
    <row r="43" spans="1:24">
      <c r="A43" s="37"/>
      <c r="B43" s="38"/>
      <c r="C43" s="38"/>
      <c r="D43" s="38"/>
      <c r="E43" s="38"/>
      <c r="F43" s="38"/>
      <c r="G43" s="38"/>
      <c r="H43" s="38"/>
      <c r="I43" s="38"/>
      <c r="J43" s="39"/>
      <c r="L43" t="s">
        <v>646</v>
      </c>
      <c r="M43" t="s">
        <v>647</v>
      </c>
      <c r="N43" t="s">
        <v>18</v>
      </c>
      <c r="O43" t="s">
        <v>16</v>
      </c>
      <c r="P43">
        <v>5</v>
      </c>
      <c r="Q43">
        <v>8236.35</v>
      </c>
      <c r="R43">
        <v>1647.27</v>
      </c>
      <c r="S43" s="10">
        <v>34695</v>
      </c>
      <c r="T43" s="10">
        <v>35185</v>
      </c>
      <c r="U43">
        <v>490</v>
      </c>
      <c r="V43">
        <v>3</v>
      </c>
      <c r="W43">
        <v>8.5393000000000008</v>
      </c>
      <c r="X43" t="s">
        <v>1156</v>
      </c>
    </row>
    <row r="44" spans="1:24">
      <c r="A44" s="37"/>
      <c r="B44" s="38"/>
      <c r="C44" s="38"/>
      <c r="D44" s="38"/>
      <c r="E44" s="38"/>
      <c r="F44" s="38"/>
      <c r="G44" s="38"/>
      <c r="H44" s="38"/>
      <c r="I44" s="38"/>
      <c r="J44" s="39"/>
      <c r="L44" t="s">
        <v>703</v>
      </c>
      <c r="M44" t="s">
        <v>704</v>
      </c>
      <c r="N44" t="s">
        <v>86</v>
      </c>
      <c r="O44" t="s">
        <v>706</v>
      </c>
      <c r="P44">
        <v>8</v>
      </c>
      <c r="Q44">
        <v>8140.54</v>
      </c>
      <c r="R44">
        <v>1017.57</v>
      </c>
      <c r="S44" s="10">
        <v>34753</v>
      </c>
      <c r="T44" s="10">
        <v>35172</v>
      </c>
      <c r="U44">
        <v>419</v>
      </c>
      <c r="V44">
        <v>3</v>
      </c>
      <c r="W44">
        <v>8.5393000000000008</v>
      </c>
      <c r="X44" t="s">
        <v>1156</v>
      </c>
    </row>
    <row r="45" spans="1:24">
      <c r="A45" s="37"/>
      <c r="B45" s="38"/>
      <c r="C45" s="38"/>
      <c r="D45" s="38"/>
      <c r="E45" s="38"/>
      <c r="F45" s="38"/>
      <c r="G45" s="38"/>
      <c r="H45" s="38"/>
      <c r="I45" s="38"/>
      <c r="J45" s="39"/>
      <c r="L45" t="s">
        <v>553</v>
      </c>
      <c r="M45" t="s">
        <v>554</v>
      </c>
      <c r="N45" t="s">
        <v>93</v>
      </c>
      <c r="O45" t="s">
        <v>556</v>
      </c>
      <c r="P45">
        <v>9</v>
      </c>
      <c r="Q45">
        <v>8102.63</v>
      </c>
      <c r="R45">
        <v>900.29</v>
      </c>
      <c r="S45" s="10">
        <v>34617</v>
      </c>
      <c r="T45" s="10">
        <v>34988</v>
      </c>
      <c r="U45">
        <v>371</v>
      </c>
      <c r="V45">
        <v>3</v>
      </c>
      <c r="W45">
        <v>8.5393000000000008</v>
      </c>
      <c r="X45" t="s">
        <v>1141</v>
      </c>
    </row>
    <row r="46" spans="1:24" ht="14" thickBot="1">
      <c r="A46" s="40"/>
      <c r="B46" s="41"/>
      <c r="C46" s="41"/>
      <c r="D46" s="41"/>
      <c r="E46" s="41"/>
      <c r="F46" s="41"/>
      <c r="G46" s="41"/>
      <c r="H46" s="41"/>
      <c r="I46" s="41"/>
      <c r="J46" s="42"/>
      <c r="L46" t="s">
        <v>498</v>
      </c>
      <c r="M46" t="s">
        <v>499</v>
      </c>
      <c r="N46" t="s">
        <v>113</v>
      </c>
      <c r="O46" t="s">
        <v>501</v>
      </c>
      <c r="P46">
        <v>10</v>
      </c>
      <c r="Q46">
        <v>7176.22</v>
      </c>
      <c r="R46">
        <v>717.62</v>
      </c>
      <c r="S46" s="10">
        <v>34584</v>
      </c>
      <c r="T46" s="10">
        <v>35170</v>
      </c>
      <c r="U46">
        <v>586</v>
      </c>
      <c r="V46">
        <v>3</v>
      </c>
      <c r="W46">
        <v>8.5393000000000008</v>
      </c>
      <c r="X46" t="s">
        <v>1141</v>
      </c>
    </row>
    <row r="47" spans="1:24">
      <c r="L47" t="s">
        <v>650</v>
      </c>
      <c r="M47" t="s">
        <v>1163</v>
      </c>
      <c r="N47" t="s">
        <v>448</v>
      </c>
      <c r="O47" t="s">
        <v>1162</v>
      </c>
      <c r="P47">
        <v>7</v>
      </c>
      <c r="Q47">
        <v>7023.98</v>
      </c>
      <c r="R47">
        <v>1003.43</v>
      </c>
      <c r="S47" s="10">
        <v>34696</v>
      </c>
      <c r="T47" s="10">
        <v>35123</v>
      </c>
      <c r="U47">
        <v>427</v>
      </c>
      <c r="V47">
        <v>2</v>
      </c>
      <c r="W47">
        <v>8.5393000000000008</v>
      </c>
      <c r="X47" t="s">
        <v>1156</v>
      </c>
    </row>
    <row r="48" spans="1:24">
      <c r="L48" t="s">
        <v>543</v>
      </c>
      <c r="M48" t="s">
        <v>1164</v>
      </c>
      <c r="N48" t="s">
        <v>86</v>
      </c>
      <c r="O48" t="s">
        <v>1150</v>
      </c>
      <c r="P48">
        <v>6</v>
      </c>
      <c r="Q48">
        <v>6850.66</v>
      </c>
      <c r="R48">
        <v>1141.78</v>
      </c>
      <c r="S48" s="10">
        <v>34605</v>
      </c>
      <c r="T48" s="10">
        <v>35114</v>
      </c>
      <c r="U48">
        <v>509</v>
      </c>
      <c r="V48">
        <v>2</v>
      </c>
      <c r="W48">
        <v>8.5393000000000008</v>
      </c>
      <c r="X48" t="s">
        <v>1156</v>
      </c>
    </row>
    <row r="49" spans="12:24">
      <c r="L49" t="s">
        <v>453</v>
      </c>
      <c r="M49" t="s">
        <v>1165</v>
      </c>
      <c r="N49" t="s">
        <v>86</v>
      </c>
      <c r="O49" t="s">
        <v>405</v>
      </c>
      <c r="P49">
        <v>9</v>
      </c>
      <c r="Q49">
        <v>6664.81</v>
      </c>
      <c r="R49">
        <v>740.53</v>
      </c>
      <c r="S49" s="10">
        <v>34565</v>
      </c>
      <c r="T49" s="10">
        <v>35185</v>
      </c>
      <c r="U49">
        <v>620</v>
      </c>
      <c r="V49">
        <v>2</v>
      </c>
      <c r="W49">
        <v>8.5393000000000008</v>
      </c>
      <c r="X49" t="s">
        <v>1141</v>
      </c>
    </row>
    <row r="50" spans="12:24">
      <c r="L50" t="s">
        <v>601</v>
      </c>
      <c r="M50" t="s">
        <v>602</v>
      </c>
      <c r="N50" t="s">
        <v>605</v>
      </c>
      <c r="O50" t="s">
        <v>604</v>
      </c>
      <c r="P50">
        <v>8</v>
      </c>
      <c r="Q50">
        <v>6427.42</v>
      </c>
      <c r="R50">
        <v>803.43</v>
      </c>
      <c r="S50" s="10">
        <v>34652</v>
      </c>
      <c r="T50" s="10">
        <v>35173</v>
      </c>
      <c r="U50">
        <v>521</v>
      </c>
      <c r="V50">
        <v>2</v>
      </c>
      <c r="W50">
        <v>8.5393000000000008</v>
      </c>
      <c r="X50" t="s">
        <v>1156</v>
      </c>
    </row>
    <row r="51" spans="12:24">
      <c r="L51" t="s">
        <v>580</v>
      </c>
      <c r="M51" t="s">
        <v>581</v>
      </c>
      <c r="N51" t="s">
        <v>18</v>
      </c>
      <c r="O51" t="s">
        <v>583</v>
      </c>
      <c r="P51">
        <v>10</v>
      </c>
      <c r="Q51">
        <v>6146.3</v>
      </c>
      <c r="R51">
        <v>614.63</v>
      </c>
      <c r="S51" s="10">
        <v>34634</v>
      </c>
      <c r="T51" s="10">
        <v>35160</v>
      </c>
      <c r="U51">
        <v>526</v>
      </c>
      <c r="V51">
        <v>2</v>
      </c>
      <c r="W51">
        <v>8.5393000000000008</v>
      </c>
      <c r="X51" t="s">
        <v>1141</v>
      </c>
    </row>
    <row r="52" spans="12:24">
      <c r="L52" t="s">
        <v>427</v>
      </c>
      <c r="M52" t="s">
        <v>428</v>
      </c>
      <c r="N52" t="s">
        <v>86</v>
      </c>
      <c r="O52" t="s">
        <v>430</v>
      </c>
      <c r="P52">
        <v>9</v>
      </c>
      <c r="Q52">
        <v>6068.2</v>
      </c>
      <c r="R52">
        <v>674.24</v>
      </c>
      <c r="S52" s="10">
        <v>34561</v>
      </c>
      <c r="T52" s="10">
        <v>35163</v>
      </c>
      <c r="U52">
        <v>602</v>
      </c>
      <c r="V52">
        <v>2</v>
      </c>
      <c r="W52">
        <v>8.5393000000000008</v>
      </c>
      <c r="X52" t="s">
        <v>1141</v>
      </c>
    </row>
    <row r="53" spans="12:24">
      <c r="L53" t="s">
        <v>531</v>
      </c>
      <c r="M53" t="s">
        <v>532</v>
      </c>
      <c r="N53" t="s">
        <v>113</v>
      </c>
      <c r="O53" t="s">
        <v>534</v>
      </c>
      <c r="P53">
        <v>10</v>
      </c>
      <c r="Q53">
        <v>5996.84</v>
      </c>
      <c r="R53">
        <v>599.67999999999995</v>
      </c>
      <c r="S53" s="10">
        <v>34600</v>
      </c>
      <c r="T53" s="10">
        <v>35165</v>
      </c>
      <c r="U53">
        <v>565</v>
      </c>
      <c r="V53">
        <v>2</v>
      </c>
      <c r="W53">
        <v>8.5393000000000008</v>
      </c>
      <c r="X53" t="s">
        <v>1141</v>
      </c>
    </row>
    <row r="54" spans="12:24">
      <c r="L54" t="s">
        <v>675</v>
      </c>
      <c r="M54" t="s">
        <v>1166</v>
      </c>
      <c r="N54" t="s">
        <v>121</v>
      </c>
      <c r="O54" t="s">
        <v>678</v>
      </c>
      <c r="P54">
        <v>5</v>
      </c>
      <c r="Q54">
        <v>5112.8</v>
      </c>
      <c r="R54">
        <v>1022.56</v>
      </c>
      <c r="S54" s="10">
        <v>34717</v>
      </c>
      <c r="T54" s="10">
        <v>35152</v>
      </c>
      <c r="U54">
        <v>435</v>
      </c>
      <c r="V54">
        <v>2</v>
      </c>
      <c r="W54">
        <v>8.5393000000000008</v>
      </c>
      <c r="X54" t="s">
        <v>1156</v>
      </c>
    </row>
    <row r="55" spans="12:24">
      <c r="L55" t="s">
        <v>613</v>
      </c>
      <c r="M55" t="s">
        <v>614</v>
      </c>
      <c r="N55" t="s">
        <v>605</v>
      </c>
      <c r="O55" t="s">
        <v>604</v>
      </c>
      <c r="P55">
        <v>5</v>
      </c>
      <c r="Q55">
        <v>5044.9399999999996</v>
      </c>
      <c r="R55">
        <v>1008.99</v>
      </c>
      <c r="S55" s="10">
        <v>34661</v>
      </c>
      <c r="T55" s="10">
        <v>35193</v>
      </c>
      <c r="U55">
        <v>532</v>
      </c>
      <c r="V55">
        <v>2</v>
      </c>
      <c r="W55">
        <v>8.5393000000000008</v>
      </c>
      <c r="X55" t="s">
        <v>1156</v>
      </c>
    </row>
    <row r="56" spans="12:24">
      <c r="L56" t="s">
        <v>505</v>
      </c>
      <c r="M56" t="s">
        <v>506</v>
      </c>
      <c r="N56" t="s">
        <v>93</v>
      </c>
      <c r="O56" t="s">
        <v>508</v>
      </c>
      <c r="P56">
        <v>5</v>
      </c>
      <c r="Q56">
        <v>5042.2</v>
      </c>
      <c r="R56">
        <v>1008.44</v>
      </c>
      <c r="S56" s="10">
        <v>34586</v>
      </c>
      <c r="T56" s="10">
        <v>35166</v>
      </c>
      <c r="U56">
        <v>580</v>
      </c>
      <c r="V56">
        <v>2</v>
      </c>
      <c r="W56">
        <v>8.5393000000000008</v>
      </c>
      <c r="X56" t="s">
        <v>1156</v>
      </c>
    </row>
    <row r="57" spans="12:24">
      <c r="L57" t="s">
        <v>398</v>
      </c>
      <c r="M57" t="s">
        <v>1167</v>
      </c>
      <c r="N57" t="s">
        <v>93</v>
      </c>
      <c r="O57" t="s">
        <v>1168</v>
      </c>
      <c r="P57">
        <v>6</v>
      </c>
      <c r="Q57">
        <v>4778.1400000000003</v>
      </c>
      <c r="R57">
        <v>796.36</v>
      </c>
      <c r="S57" s="10">
        <v>34551</v>
      </c>
      <c r="T57" s="10">
        <v>35177</v>
      </c>
      <c r="U57">
        <v>626</v>
      </c>
      <c r="V57">
        <v>2</v>
      </c>
      <c r="W57">
        <v>8.5393000000000008</v>
      </c>
      <c r="X57" t="s">
        <v>1156</v>
      </c>
    </row>
    <row r="58" spans="12:24">
      <c r="L58" t="s">
        <v>535</v>
      </c>
      <c r="M58" t="s">
        <v>536</v>
      </c>
      <c r="N58" t="s">
        <v>18</v>
      </c>
      <c r="O58" t="s">
        <v>16</v>
      </c>
      <c r="P58">
        <v>9</v>
      </c>
      <c r="Q58">
        <v>4589.8999999999996</v>
      </c>
      <c r="R58">
        <v>509.99</v>
      </c>
      <c r="S58" s="10">
        <v>34603</v>
      </c>
      <c r="T58" s="10">
        <v>35167</v>
      </c>
      <c r="U58">
        <v>564</v>
      </c>
      <c r="V58">
        <v>2</v>
      </c>
      <c r="W58">
        <v>8.5393000000000008</v>
      </c>
      <c r="X58" t="s">
        <v>1141</v>
      </c>
    </row>
    <row r="59" spans="12:24">
      <c r="L59" t="s">
        <v>598</v>
      </c>
      <c r="M59" t="s">
        <v>1169</v>
      </c>
      <c r="N59" t="s">
        <v>50</v>
      </c>
      <c r="O59" t="s">
        <v>521</v>
      </c>
      <c r="P59">
        <v>3</v>
      </c>
      <c r="Q59">
        <v>4232.8500000000004</v>
      </c>
      <c r="R59">
        <v>1410.95</v>
      </c>
      <c r="S59" s="10">
        <v>34648</v>
      </c>
      <c r="T59" s="10">
        <v>35178</v>
      </c>
      <c r="U59">
        <v>530</v>
      </c>
      <c r="V59">
        <v>2</v>
      </c>
      <c r="W59">
        <v>8.5393000000000008</v>
      </c>
      <c r="X59" t="s">
        <v>1156</v>
      </c>
    </row>
    <row r="60" spans="12:24">
      <c r="L60" t="s">
        <v>620</v>
      </c>
      <c r="M60" t="s">
        <v>621</v>
      </c>
      <c r="N60" t="s">
        <v>86</v>
      </c>
      <c r="O60" t="s">
        <v>1150</v>
      </c>
      <c r="P60">
        <v>7</v>
      </c>
      <c r="Q60">
        <v>4107.55</v>
      </c>
      <c r="R60">
        <v>586.79</v>
      </c>
      <c r="S60" s="10">
        <v>34675</v>
      </c>
      <c r="T60" s="10">
        <v>35034</v>
      </c>
      <c r="U60">
        <v>359</v>
      </c>
      <c r="V60">
        <v>2</v>
      </c>
      <c r="W60">
        <v>8.5393000000000008</v>
      </c>
      <c r="X60" t="s">
        <v>1156</v>
      </c>
    </row>
    <row r="61" spans="12:24">
      <c r="L61" t="s">
        <v>586</v>
      </c>
      <c r="M61" t="s">
        <v>1170</v>
      </c>
      <c r="N61" t="s">
        <v>448</v>
      </c>
      <c r="O61" t="s">
        <v>1162</v>
      </c>
      <c r="P61">
        <v>5</v>
      </c>
      <c r="Q61">
        <v>3942.2</v>
      </c>
      <c r="R61">
        <v>788.44</v>
      </c>
      <c r="S61" s="10">
        <v>34642</v>
      </c>
      <c r="T61" s="10">
        <v>35187</v>
      </c>
      <c r="U61">
        <v>545</v>
      </c>
      <c r="V61">
        <v>2</v>
      </c>
      <c r="W61">
        <v>8.5393000000000008</v>
      </c>
      <c r="X61" t="s">
        <v>1156</v>
      </c>
    </row>
    <row r="62" spans="12:24">
      <c r="L62" t="s">
        <v>694</v>
      </c>
      <c r="M62" t="s">
        <v>1171</v>
      </c>
      <c r="N62" t="s">
        <v>698</v>
      </c>
      <c r="O62" t="s">
        <v>697</v>
      </c>
      <c r="P62">
        <v>5</v>
      </c>
      <c r="Q62">
        <v>3460.2</v>
      </c>
      <c r="R62">
        <v>692.04</v>
      </c>
      <c r="S62" s="10">
        <v>34739</v>
      </c>
      <c r="T62" s="10">
        <v>35184</v>
      </c>
      <c r="U62">
        <v>445</v>
      </c>
      <c r="V62">
        <v>2</v>
      </c>
      <c r="W62">
        <v>8.5393000000000008</v>
      </c>
      <c r="X62" t="s">
        <v>1156</v>
      </c>
    </row>
    <row r="63" spans="12:24">
      <c r="L63" t="s">
        <v>539</v>
      </c>
      <c r="M63" t="s">
        <v>1172</v>
      </c>
      <c r="N63" t="s">
        <v>86</v>
      </c>
      <c r="O63" t="s">
        <v>1150</v>
      </c>
      <c r="P63">
        <v>4</v>
      </c>
      <c r="Q63">
        <v>3405</v>
      </c>
      <c r="R63">
        <v>851.25</v>
      </c>
      <c r="S63" s="10">
        <v>34604</v>
      </c>
      <c r="T63" s="10">
        <v>35177</v>
      </c>
      <c r="U63">
        <v>573</v>
      </c>
      <c r="V63">
        <v>2</v>
      </c>
      <c r="W63">
        <v>8.5393000000000008</v>
      </c>
      <c r="X63" t="s">
        <v>1156</v>
      </c>
    </row>
    <row r="64" spans="12:24">
      <c r="L64" t="s">
        <v>573</v>
      </c>
      <c r="M64" t="s">
        <v>574</v>
      </c>
      <c r="N64" t="s">
        <v>26</v>
      </c>
      <c r="O64" t="s">
        <v>569</v>
      </c>
      <c r="P64">
        <v>4</v>
      </c>
      <c r="Q64">
        <v>3361</v>
      </c>
      <c r="R64">
        <v>840.25</v>
      </c>
      <c r="S64" s="10">
        <v>34628</v>
      </c>
      <c r="T64" s="10">
        <v>35186</v>
      </c>
      <c r="U64">
        <v>558</v>
      </c>
      <c r="V64">
        <v>2</v>
      </c>
      <c r="W64">
        <v>8.5393000000000008</v>
      </c>
      <c r="X64" t="s">
        <v>1156</v>
      </c>
    </row>
    <row r="65" spans="12:24">
      <c r="L65" t="s">
        <v>762</v>
      </c>
      <c r="M65" t="s">
        <v>763</v>
      </c>
      <c r="N65" t="s">
        <v>93</v>
      </c>
      <c r="O65" t="s">
        <v>92</v>
      </c>
      <c r="P65">
        <v>5</v>
      </c>
      <c r="Q65">
        <v>3339.5</v>
      </c>
      <c r="R65">
        <v>667.9</v>
      </c>
      <c r="S65" s="10">
        <v>34967</v>
      </c>
      <c r="T65" s="10">
        <v>35170</v>
      </c>
      <c r="U65">
        <v>203</v>
      </c>
      <c r="V65">
        <v>2</v>
      </c>
      <c r="W65">
        <v>8.5393000000000008</v>
      </c>
      <c r="X65" t="s">
        <v>1156</v>
      </c>
    </row>
    <row r="66" spans="12:24">
      <c r="L66" t="s">
        <v>765</v>
      </c>
      <c r="M66" t="s">
        <v>766</v>
      </c>
      <c r="N66" t="s">
        <v>140</v>
      </c>
      <c r="O66" t="s">
        <v>579</v>
      </c>
      <c r="P66">
        <v>3</v>
      </c>
      <c r="Q66">
        <v>3172.16</v>
      </c>
      <c r="R66">
        <v>1057.3900000000001</v>
      </c>
      <c r="S66" s="10">
        <v>34990</v>
      </c>
      <c r="T66" s="10">
        <v>35178</v>
      </c>
      <c r="U66">
        <v>188</v>
      </c>
      <c r="V66">
        <v>2</v>
      </c>
      <c r="W66">
        <v>8.5393000000000008</v>
      </c>
      <c r="X66" t="s">
        <v>1156</v>
      </c>
    </row>
    <row r="67" spans="12:24">
      <c r="L67" t="s">
        <v>753</v>
      </c>
      <c r="M67" t="s">
        <v>754</v>
      </c>
      <c r="N67" t="s">
        <v>176</v>
      </c>
      <c r="O67" t="s">
        <v>756</v>
      </c>
      <c r="P67">
        <v>7</v>
      </c>
      <c r="Q67">
        <v>3161.35</v>
      </c>
      <c r="R67">
        <v>451.62</v>
      </c>
      <c r="S67" s="10">
        <v>34941</v>
      </c>
      <c r="T67" s="10">
        <v>35192</v>
      </c>
      <c r="U67">
        <v>251</v>
      </c>
      <c r="V67">
        <v>2</v>
      </c>
      <c r="W67">
        <v>8.5393000000000008</v>
      </c>
      <c r="X67" t="s">
        <v>1156</v>
      </c>
    </row>
    <row r="68" spans="12:24">
      <c r="L68" t="s">
        <v>748</v>
      </c>
      <c r="M68" t="s">
        <v>749</v>
      </c>
      <c r="N68" t="s">
        <v>26</v>
      </c>
      <c r="O68" t="s">
        <v>751</v>
      </c>
      <c r="P68">
        <v>4</v>
      </c>
      <c r="Q68">
        <v>3076.47</v>
      </c>
      <c r="R68">
        <v>769.12</v>
      </c>
      <c r="S68" s="10">
        <v>34906</v>
      </c>
      <c r="T68" s="10">
        <v>35138</v>
      </c>
      <c r="U68">
        <v>232</v>
      </c>
      <c r="V68">
        <v>2</v>
      </c>
      <c r="W68">
        <v>8.5393000000000008</v>
      </c>
      <c r="X68" t="s">
        <v>1156</v>
      </c>
    </row>
    <row r="69" spans="12:24">
      <c r="L69" t="s">
        <v>671</v>
      </c>
      <c r="M69" t="s">
        <v>672</v>
      </c>
      <c r="N69" t="s">
        <v>26</v>
      </c>
      <c r="O69" t="s">
        <v>674</v>
      </c>
      <c r="P69">
        <v>5</v>
      </c>
      <c r="Q69">
        <v>3063.2</v>
      </c>
      <c r="R69">
        <v>612.64</v>
      </c>
      <c r="S69" s="10">
        <v>34705</v>
      </c>
      <c r="T69" s="10">
        <v>34981</v>
      </c>
      <c r="U69">
        <v>276</v>
      </c>
      <c r="V69">
        <v>1</v>
      </c>
      <c r="W69">
        <v>8.5393000000000008</v>
      </c>
      <c r="X69" t="s">
        <v>1156</v>
      </c>
    </row>
    <row r="70" spans="12:24">
      <c r="L70" t="s">
        <v>665</v>
      </c>
      <c r="M70" t="s">
        <v>1110</v>
      </c>
      <c r="N70" t="s">
        <v>670</v>
      </c>
      <c r="O70" t="s">
        <v>668</v>
      </c>
      <c r="P70">
        <v>6</v>
      </c>
      <c r="Q70">
        <v>2940.35</v>
      </c>
      <c r="R70">
        <v>490.06</v>
      </c>
      <c r="S70" s="10">
        <v>34704</v>
      </c>
      <c r="T70" s="10">
        <v>35188</v>
      </c>
      <c r="U70">
        <v>484</v>
      </c>
      <c r="V70">
        <v>1</v>
      </c>
      <c r="W70">
        <v>8.5393000000000008</v>
      </c>
      <c r="X70" t="s">
        <v>1156</v>
      </c>
    </row>
    <row r="71" spans="12:24">
      <c r="L71" t="s">
        <v>712</v>
      </c>
      <c r="M71" t="s">
        <v>713</v>
      </c>
      <c r="N71" t="s">
        <v>698</v>
      </c>
      <c r="O71" t="s">
        <v>697</v>
      </c>
      <c r="P71">
        <v>4</v>
      </c>
      <c r="Q71">
        <v>2768.1</v>
      </c>
      <c r="R71">
        <v>692.02</v>
      </c>
      <c r="S71" s="10">
        <v>34778</v>
      </c>
      <c r="T71" s="10">
        <v>35153</v>
      </c>
      <c r="U71">
        <v>375</v>
      </c>
      <c r="V71">
        <v>1</v>
      </c>
      <c r="W71">
        <v>8.5393000000000008</v>
      </c>
      <c r="X71" t="s">
        <v>1156</v>
      </c>
    </row>
    <row r="72" spans="12:24">
      <c r="L72" t="s">
        <v>566</v>
      </c>
      <c r="M72" t="s">
        <v>567</v>
      </c>
      <c r="N72" t="s">
        <v>26</v>
      </c>
      <c r="O72" t="s">
        <v>569</v>
      </c>
      <c r="P72">
        <v>7</v>
      </c>
      <c r="Q72">
        <v>2683.6</v>
      </c>
      <c r="R72">
        <v>383.37</v>
      </c>
      <c r="S72" s="10">
        <v>34625</v>
      </c>
      <c r="T72" s="10">
        <v>35138</v>
      </c>
      <c r="U72">
        <v>513</v>
      </c>
      <c r="V72">
        <v>1</v>
      </c>
      <c r="W72">
        <v>8.5393000000000008</v>
      </c>
      <c r="X72" t="s">
        <v>1156</v>
      </c>
    </row>
    <row r="73" spans="12:24">
      <c r="L73" t="s">
        <v>724</v>
      </c>
      <c r="M73" t="s">
        <v>725</v>
      </c>
      <c r="N73" t="s">
        <v>93</v>
      </c>
      <c r="O73" t="s">
        <v>727</v>
      </c>
      <c r="P73">
        <v>6</v>
      </c>
      <c r="Q73">
        <v>2381.8000000000002</v>
      </c>
      <c r="R73">
        <v>396.97</v>
      </c>
      <c r="S73" s="10">
        <v>34829</v>
      </c>
      <c r="T73" s="10">
        <v>35171</v>
      </c>
      <c r="U73">
        <v>342</v>
      </c>
      <c r="V73">
        <v>1</v>
      </c>
      <c r="W73">
        <v>8.5393000000000008</v>
      </c>
      <c r="X73" t="s">
        <v>1156</v>
      </c>
    </row>
    <row r="74" spans="12:24">
      <c r="L74" t="s">
        <v>769</v>
      </c>
      <c r="M74" t="s">
        <v>1173</v>
      </c>
      <c r="N74" t="s">
        <v>140</v>
      </c>
      <c r="O74" t="s">
        <v>139</v>
      </c>
      <c r="P74">
        <v>3</v>
      </c>
      <c r="Q74">
        <v>2213.35</v>
      </c>
      <c r="R74">
        <v>737.78</v>
      </c>
      <c r="S74" s="10">
        <v>35046</v>
      </c>
      <c r="T74" s="10">
        <v>35174</v>
      </c>
      <c r="U74">
        <v>128</v>
      </c>
      <c r="V74">
        <v>1</v>
      </c>
      <c r="W74">
        <v>8.5393000000000008</v>
      </c>
      <c r="X74" t="s">
        <v>1156</v>
      </c>
    </row>
    <row r="75" spans="12:24">
      <c r="L75" t="s">
        <v>772</v>
      </c>
      <c r="M75" t="s">
        <v>773</v>
      </c>
      <c r="N75" t="s">
        <v>140</v>
      </c>
      <c r="O75" t="s">
        <v>775</v>
      </c>
      <c r="P75">
        <v>4</v>
      </c>
      <c r="Q75">
        <v>1992.05</v>
      </c>
      <c r="R75">
        <v>498.01</v>
      </c>
      <c r="S75" s="10">
        <v>35124</v>
      </c>
      <c r="T75" s="10">
        <v>35178</v>
      </c>
      <c r="U75">
        <v>54</v>
      </c>
      <c r="V75">
        <v>1</v>
      </c>
      <c r="W75">
        <v>8.5393000000000008</v>
      </c>
      <c r="X75" t="s">
        <v>1156</v>
      </c>
    </row>
    <row r="76" spans="12:24">
      <c r="L76" t="s">
        <v>642</v>
      </c>
      <c r="M76" t="s">
        <v>643</v>
      </c>
      <c r="N76" t="s">
        <v>93</v>
      </c>
      <c r="O76" t="s">
        <v>645</v>
      </c>
      <c r="P76">
        <v>4</v>
      </c>
      <c r="Q76">
        <v>1984.36</v>
      </c>
      <c r="R76">
        <v>496.09</v>
      </c>
      <c r="S76" s="10">
        <v>34695</v>
      </c>
      <c r="T76" s="10">
        <v>35104</v>
      </c>
      <c r="U76">
        <v>409</v>
      </c>
      <c r="V76">
        <v>1</v>
      </c>
      <c r="W76">
        <v>8.5393000000000008</v>
      </c>
      <c r="X76" t="s">
        <v>1156</v>
      </c>
    </row>
    <row r="77" spans="12:24">
      <c r="L77" t="s">
        <v>757</v>
      </c>
      <c r="M77" t="s">
        <v>758</v>
      </c>
      <c r="N77" t="s">
        <v>26</v>
      </c>
      <c r="O77" t="s">
        <v>760</v>
      </c>
      <c r="P77">
        <v>3</v>
      </c>
      <c r="Q77">
        <v>1947.24</v>
      </c>
      <c r="R77">
        <v>649.08000000000004</v>
      </c>
      <c r="S77" s="10">
        <v>34949</v>
      </c>
      <c r="T77" s="10">
        <v>35191</v>
      </c>
      <c r="U77">
        <v>242</v>
      </c>
      <c r="V77">
        <v>1</v>
      </c>
      <c r="W77">
        <v>8.5393000000000008</v>
      </c>
      <c r="X77" t="s">
        <v>1156</v>
      </c>
    </row>
    <row r="78" spans="12:24">
      <c r="L78" t="s">
        <v>708</v>
      </c>
      <c r="M78" t="s">
        <v>709</v>
      </c>
      <c r="N78" t="s">
        <v>18</v>
      </c>
      <c r="O78" t="s">
        <v>16</v>
      </c>
      <c r="P78">
        <v>3</v>
      </c>
      <c r="Q78">
        <v>1719.1</v>
      </c>
      <c r="R78">
        <v>573.03</v>
      </c>
      <c r="S78" s="10">
        <v>34765</v>
      </c>
      <c r="T78" s="10">
        <v>35118</v>
      </c>
      <c r="U78">
        <v>353</v>
      </c>
      <c r="V78">
        <v>1</v>
      </c>
      <c r="W78">
        <v>8.5393000000000008</v>
      </c>
      <c r="X78" t="s">
        <v>1156</v>
      </c>
    </row>
    <row r="79" spans="12:24">
      <c r="L79" t="s">
        <v>576</v>
      </c>
      <c r="M79" t="s">
        <v>577</v>
      </c>
      <c r="N79" t="s">
        <v>140</v>
      </c>
      <c r="O79" t="s">
        <v>579</v>
      </c>
      <c r="P79">
        <v>4</v>
      </c>
      <c r="Q79">
        <v>1615.9</v>
      </c>
      <c r="R79">
        <v>403.98</v>
      </c>
      <c r="S79" s="10">
        <v>34628</v>
      </c>
      <c r="T79" s="10">
        <v>35142</v>
      </c>
      <c r="U79">
        <v>514</v>
      </c>
      <c r="V79">
        <v>1</v>
      </c>
      <c r="W79">
        <v>8.5393000000000008</v>
      </c>
      <c r="X79" t="s">
        <v>1156</v>
      </c>
    </row>
    <row r="80" spans="12:24">
      <c r="L80" t="s">
        <v>744</v>
      </c>
      <c r="M80" t="s">
        <v>745</v>
      </c>
      <c r="N80" t="s">
        <v>26</v>
      </c>
      <c r="O80" t="s">
        <v>747</v>
      </c>
      <c r="P80">
        <v>3</v>
      </c>
      <c r="Q80">
        <v>1571.2</v>
      </c>
      <c r="R80">
        <v>523.73</v>
      </c>
      <c r="S80" s="10">
        <v>34900</v>
      </c>
      <c r="T80" s="10">
        <v>35103</v>
      </c>
      <c r="U80">
        <v>203</v>
      </c>
      <c r="V80">
        <v>1</v>
      </c>
      <c r="W80">
        <v>8.5393000000000008</v>
      </c>
      <c r="X80" t="s">
        <v>1156</v>
      </c>
    </row>
    <row r="81" spans="12:24">
      <c r="L81" t="s">
        <v>732</v>
      </c>
      <c r="M81" t="s">
        <v>733</v>
      </c>
      <c r="N81" t="s">
        <v>698</v>
      </c>
      <c r="O81" t="s">
        <v>697</v>
      </c>
      <c r="P81">
        <v>5</v>
      </c>
      <c r="Q81">
        <v>1509.8</v>
      </c>
      <c r="R81">
        <v>301.95999999999998</v>
      </c>
      <c r="S81" s="10">
        <v>34849</v>
      </c>
      <c r="T81" s="10">
        <v>35164</v>
      </c>
      <c r="U81">
        <v>315</v>
      </c>
      <c r="V81">
        <v>1</v>
      </c>
      <c r="W81">
        <v>8.5393000000000008</v>
      </c>
      <c r="X81" t="s">
        <v>1156</v>
      </c>
    </row>
    <row r="82" spans="12:24">
      <c r="L82" t="s">
        <v>479</v>
      </c>
      <c r="M82" t="s">
        <v>480</v>
      </c>
      <c r="N82" t="s">
        <v>438</v>
      </c>
      <c r="O82" t="s">
        <v>482</v>
      </c>
      <c r="P82">
        <v>2</v>
      </c>
      <c r="Q82">
        <v>1488.7</v>
      </c>
      <c r="R82">
        <v>744.35</v>
      </c>
      <c r="S82" s="10">
        <v>34576</v>
      </c>
      <c r="T82" s="10">
        <v>35082</v>
      </c>
      <c r="U82">
        <v>506</v>
      </c>
      <c r="V82">
        <v>1</v>
      </c>
      <c r="W82">
        <v>8.5393000000000008</v>
      </c>
      <c r="X82" t="s">
        <v>1156</v>
      </c>
    </row>
    <row r="83" spans="12:24">
      <c r="L83" t="s">
        <v>394</v>
      </c>
      <c r="M83" t="s">
        <v>395</v>
      </c>
      <c r="N83" t="s">
        <v>140</v>
      </c>
      <c r="O83" t="s">
        <v>397</v>
      </c>
      <c r="P83">
        <v>5</v>
      </c>
      <c r="Q83">
        <v>1480</v>
      </c>
      <c r="R83">
        <v>296</v>
      </c>
      <c r="S83" s="10">
        <v>34550</v>
      </c>
      <c r="T83" s="10">
        <v>35046</v>
      </c>
      <c r="U83">
        <v>496</v>
      </c>
      <c r="V83">
        <v>1</v>
      </c>
      <c r="W83">
        <v>8.5393000000000008</v>
      </c>
      <c r="X83" t="s">
        <v>1156</v>
      </c>
    </row>
    <row r="84" spans="12:24">
      <c r="L84" t="s">
        <v>570</v>
      </c>
      <c r="M84" t="s">
        <v>571</v>
      </c>
      <c r="N84" t="s">
        <v>448</v>
      </c>
      <c r="O84" t="s">
        <v>1162</v>
      </c>
      <c r="P84">
        <v>4</v>
      </c>
      <c r="Q84">
        <v>1402.95</v>
      </c>
      <c r="R84">
        <v>350.74</v>
      </c>
      <c r="S84" s="10">
        <v>34626</v>
      </c>
      <c r="T84" s="10">
        <v>35158</v>
      </c>
      <c r="U84">
        <v>532</v>
      </c>
      <c r="V84">
        <v>1</v>
      </c>
      <c r="W84">
        <v>8.5393000000000008</v>
      </c>
      <c r="X84" t="s">
        <v>1156</v>
      </c>
    </row>
    <row r="85" spans="12:24">
      <c r="L85" t="s">
        <v>518</v>
      </c>
      <c r="M85" t="s">
        <v>519</v>
      </c>
      <c r="N85" t="s">
        <v>50</v>
      </c>
      <c r="O85" t="s">
        <v>521</v>
      </c>
      <c r="P85">
        <v>4</v>
      </c>
      <c r="Q85">
        <v>1106.29</v>
      </c>
      <c r="R85">
        <v>276.57</v>
      </c>
      <c r="S85" s="10">
        <v>34591</v>
      </c>
      <c r="T85" s="10">
        <v>35156</v>
      </c>
      <c r="U85">
        <v>565</v>
      </c>
      <c r="V85">
        <v>1</v>
      </c>
      <c r="W85">
        <v>8.5393000000000008</v>
      </c>
      <c r="X85" t="s">
        <v>1156</v>
      </c>
    </row>
    <row r="86" spans="12:24">
      <c r="L86" t="s">
        <v>653</v>
      </c>
      <c r="M86" t="s">
        <v>1174</v>
      </c>
      <c r="N86" t="s">
        <v>50</v>
      </c>
      <c r="O86" t="s">
        <v>656</v>
      </c>
      <c r="P86">
        <v>5</v>
      </c>
      <c r="Q86">
        <v>836.7</v>
      </c>
      <c r="R86">
        <v>167.34</v>
      </c>
      <c r="S86" s="10">
        <v>34697</v>
      </c>
      <c r="T86" s="10">
        <v>35159</v>
      </c>
      <c r="U86">
        <v>462</v>
      </c>
      <c r="V86">
        <v>1</v>
      </c>
      <c r="W86">
        <v>8.5393000000000008</v>
      </c>
      <c r="X86" t="s">
        <v>1156</v>
      </c>
    </row>
    <row r="87" spans="12:24">
      <c r="L87" t="s">
        <v>728</v>
      </c>
      <c r="M87" t="s">
        <v>729</v>
      </c>
      <c r="N87" t="s">
        <v>18</v>
      </c>
      <c r="O87" t="s">
        <v>16</v>
      </c>
      <c r="P87">
        <v>2</v>
      </c>
      <c r="Q87">
        <v>604</v>
      </c>
      <c r="R87">
        <v>302</v>
      </c>
      <c r="S87" s="10">
        <v>34844</v>
      </c>
      <c r="T87" s="10">
        <v>35058</v>
      </c>
      <c r="U87">
        <v>214</v>
      </c>
      <c r="V87">
        <v>1</v>
      </c>
      <c r="W87">
        <v>8.5393000000000008</v>
      </c>
      <c r="X87" t="s">
        <v>1156</v>
      </c>
    </row>
    <row r="88" spans="12:24">
      <c r="L88" t="s">
        <v>719</v>
      </c>
      <c r="M88" t="s">
        <v>720</v>
      </c>
      <c r="N88" t="s">
        <v>192</v>
      </c>
      <c r="O88" t="s">
        <v>722</v>
      </c>
      <c r="P88">
        <v>3</v>
      </c>
      <c r="Q88">
        <v>522.5</v>
      </c>
      <c r="R88">
        <v>174.17</v>
      </c>
      <c r="S88" s="10">
        <v>34823</v>
      </c>
      <c r="T88" s="10">
        <v>35096</v>
      </c>
      <c r="U88">
        <v>273</v>
      </c>
      <c r="V88">
        <v>1</v>
      </c>
      <c r="W88">
        <v>8.5393000000000008</v>
      </c>
      <c r="X88" t="s">
        <v>1156</v>
      </c>
    </row>
    <row r="89" spans="12:24">
      <c r="L89" t="s">
        <v>715</v>
      </c>
      <c r="M89" t="s">
        <v>716</v>
      </c>
      <c r="N89" t="s">
        <v>26</v>
      </c>
      <c r="O89" t="s">
        <v>718</v>
      </c>
      <c r="P89">
        <v>2</v>
      </c>
      <c r="Q89">
        <v>357</v>
      </c>
      <c r="R89">
        <v>178.5</v>
      </c>
      <c r="S89" s="10">
        <v>34810</v>
      </c>
      <c r="T89" s="10">
        <v>34872</v>
      </c>
      <c r="U89">
        <v>62</v>
      </c>
      <c r="V89">
        <v>1</v>
      </c>
      <c r="W89">
        <v>8.5393000000000008</v>
      </c>
      <c r="X89" t="s">
        <v>1156</v>
      </c>
    </row>
    <row r="90" spans="12:24">
      <c r="L90" t="s">
        <v>699</v>
      </c>
      <c r="M90" t="s">
        <v>700</v>
      </c>
      <c r="N90" t="s">
        <v>113</v>
      </c>
      <c r="O90" t="s">
        <v>702</v>
      </c>
      <c r="P90">
        <v>4</v>
      </c>
      <c r="Q90">
        <v>249.7</v>
      </c>
      <c r="R90">
        <v>62.42</v>
      </c>
      <c r="S90" s="10">
        <v>34752</v>
      </c>
      <c r="T90" s="10">
        <v>35095</v>
      </c>
      <c r="U90">
        <v>343</v>
      </c>
      <c r="V90">
        <v>1</v>
      </c>
      <c r="W90">
        <v>8.5393000000000008</v>
      </c>
      <c r="X90" t="s">
        <v>1156</v>
      </c>
    </row>
    <row r="91" spans="12:24">
      <c r="L91" t="s">
        <v>444</v>
      </c>
      <c r="M91" t="s">
        <v>445</v>
      </c>
      <c r="N91" t="s">
        <v>448</v>
      </c>
      <c r="O91" t="s">
        <v>1162</v>
      </c>
      <c r="P91">
        <v>1</v>
      </c>
      <c r="Q91">
        <v>100.8</v>
      </c>
      <c r="R91">
        <v>100.8</v>
      </c>
      <c r="S91" s="10">
        <v>34564</v>
      </c>
      <c r="T91" s="10">
        <v>34564</v>
      </c>
      <c r="U91">
        <v>0</v>
      </c>
      <c r="V91">
        <v>1</v>
      </c>
      <c r="W91">
        <v>8.5393000000000008</v>
      </c>
      <c r="X91" t="s">
        <v>1156</v>
      </c>
    </row>
  </sheetData>
  <mergeCells count="2">
    <mergeCell ref="A2:J46"/>
    <mergeCell ref="A1:J1"/>
  </mergeCells>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FF0F9D-71EF-4961-8C02-FC0E5301571D}">
  <dimension ref="A1:J70"/>
  <sheetViews>
    <sheetView workbookViewId="0">
      <selection activeCell="E76" sqref="E76"/>
    </sheetView>
  </sheetViews>
  <sheetFormatPr baseColWidth="10" defaultColWidth="8.83203125" defaultRowHeight="13"/>
  <cols>
    <col min="1" max="1" width="10.5" bestFit="1" customWidth="1"/>
    <col min="2" max="2" width="13.1640625" bestFit="1" customWidth="1"/>
    <col min="3" max="3" width="17.5" bestFit="1" customWidth="1"/>
    <col min="4" max="4" width="14" bestFit="1" customWidth="1"/>
    <col min="5" max="5" width="27" bestFit="1" customWidth="1"/>
    <col min="6" max="6" width="15.83203125" bestFit="1" customWidth="1"/>
    <col min="7" max="7" width="25.33203125" bestFit="1" customWidth="1"/>
    <col min="8" max="8" width="21" bestFit="1" customWidth="1"/>
    <col min="9" max="9" width="16" bestFit="1" customWidth="1"/>
    <col min="10" max="10" width="14.5" bestFit="1" customWidth="1"/>
  </cols>
  <sheetData>
    <row r="1" spans="1:10">
      <c r="A1" t="s">
        <v>8</v>
      </c>
      <c r="B1" t="s">
        <v>5</v>
      </c>
      <c r="C1" t="s">
        <v>1177</v>
      </c>
      <c r="D1" t="s">
        <v>1131</v>
      </c>
      <c r="E1" t="s">
        <v>1138</v>
      </c>
      <c r="F1" t="s">
        <v>1132</v>
      </c>
      <c r="G1" t="s">
        <v>1178</v>
      </c>
      <c r="H1" t="s">
        <v>1179</v>
      </c>
      <c r="I1" t="s">
        <v>1180</v>
      </c>
      <c r="J1" t="s">
        <v>1181</v>
      </c>
    </row>
    <row r="2" spans="1:10">
      <c r="A2" t="s">
        <v>93</v>
      </c>
      <c r="B2" t="s">
        <v>497</v>
      </c>
      <c r="C2">
        <v>1</v>
      </c>
      <c r="D2">
        <v>27</v>
      </c>
      <c r="E2">
        <v>27</v>
      </c>
      <c r="F2">
        <v>103971.06</v>
      </c>
      <c r="G2">
        <v>3850.78</v>
      </c>
      <c r="H2">
        <v>3793</v>
      </c>
      <c r="I2" s="10">
        <v>34582</v>
      </c>
      <c r="J2" s="10">
        <v>35187</v>
      </c>
    </row>
    <row r="3" spans="1:10">
      <c r="A3" t="s">
        <v>443</v>
      </c>
      <c r="B3" t="s">
        <v>442</v>
      </c>
      <c r="C3">
        <v>1</v>
      </c>
      <c r="D3">
        <v>27</v>
      </c>
      <c r="E3">
        <v>27</v>
      </c>
      <c r="F3">
        <v>88226.08</v>
      </c>
      <c r="G3">
        <v>3267.63</v>
      </c>
      <c r="H3">
        <v>3997</v>
      </c>
      <c r="I3" s="10">
        <v>34563</v>
      </c>
      <c r="J3" s="10">
        <v>35186</v>
      </c>
    </row>
    <row r="4" spans="1:10">
      <c r="A4" t="s">
        <v>26</v>
      </c>
      <c r="B4" t="s">
        <v>596</v>
      </c>
      <c r="C4">
        <v>1</v>
      </c>
      <c r="D4">
        <v>28</v>
      </c>
      <c r="E4">
        <v>28</v>
      </c>
      <c r="F4">
        <v>85023</v>
      </c>
      <c r="G4">
        <v>3036.54</v>
      </c>
      <c r="H4">
        <v>4273</v>
      </c>
      <c r="I4" s="10">
        <v>34646</v>
      </c>
      <c r="J4" s="10">
        <v>35191</v>
      </c>
    </row>
    <row r="5" spans="1:10">
      <c r="A5" t="s">
        <v>26</v>
      </c>
      <c r="B5" t="s">
        <v>460</v>
      </c>
      <c r="C5">
        <v>1</v>
      </c>
      <c r="D5">
        <v>17</v>
      </c>
      <c r="E5">
        <v>17</v>
      </c>
      <c r="F5">
        <v>49842.080000000002</v>
      </c>
      <c r="G5">
        <v>2931.89</v>
      </c>
      <c r="H5">
        <v>1311</v>
      </c>
      <c r="I5" s="10">
        <v>34568</v>
      </c>
      <c r="J5" s="10">
        <v>35191</v>
      </c>
    </row>
    <row r="6" spans="1:10">
      <c r="A6" t="s">
        <v>552</v>
      </c>
      <c r="B6" t="s">
        <v>550</v>
      </c>
      <c r="C6">
        <v>1</v>
      </c>
      <c r="D6">
        <v>18</v>
      </c>
      <c r="E6">
        <v>18</v>
      </c>
      <c r="F6">
        <v>48636.959999999999</v>
      </c>
      <c r="G6">
        <v>2702.05</v>
      </c>
      <c r="H6">
        <v>1584</v>
      </c>
      <c r="I6" s="10">
        <v>34613</v>
      </c>
      <c r="J6" s="10">
        <v>35184</v>
      </c>
    </row>
    <row r="7" spans="1:10">
      <c r="A7" t="s">
        <v>86</v>
      </c>
      <c r="B7" t="s">
        <v>405</v>
      </c>
      <c r="C7">
        <v>3</v>
      </c>
      <c r="D7">
        <v>31</v>
      </c>
      <c r="E7">
        <v>10.33</v>
      </c>
      <c r="F7">
        <v>47384.98</v>
      </c>
      <c r="G7">
        <v>1528.55</v>
      </c>
      <c r="H7">
        <v>1711</v>
      </c>
      <c r="I7" s="10">
        <v>34554</v>
      </c>
      <c r="J7" s="10">
        <v>35185</v>
      </c>
    </row>
    <row r="8" spans="1:10">
      <c r="A8" t="s">
        <v>18</v>
      </c>
      <c r="B8" t="s">
        <v>16</v>
      </c>
      <c r="C8">
        <v>6</v>
      </c>
      <c r="D8">
        <v>40</v>
      </c>
      <c r="E8">
        <v>6.67</v>
      </c>
      <c r="F8">
        <v>44263.82</v>
      </c>
      <c r="G8">
        <v>1106.5999999999999</v>
      </c>
      <c r="H8">
        <v>2086</v>
      </c>
      <c r="I8" s="10">
        <v>34603</v>
      </c>
      <c r="J8" s="10">
        <v>35185</v>
      </c>
    </row>
    <row r="9" spans="1:10">
      <c r="A9" t="s">
        <v>86</v>
      </c>
      <c r="B9" t="s">
        <v>1150</v>
      </c>
      <c r="C9">
        <v>4</v>
      </c>
      <c r="D9">
        <v>29</v>
      </c>
      <c r="E9">
        <v>7.25</v>
      </c>
      <c r="F9">
        <v>38053.629999999997</v>
      </c>
      <c r="G9">
        <v>1312.19</v>
      </c>
      <c r="H9">
        <v>1681</v>
      </c>
      <c r="I9" s="10">
        <v>34604</v>
      </c>
      <c r="J9" s="10">
        <v>35177</v>
      </c>
    </row>
    <row r="10" spans="1:10">
      <c r="A10" t="s">
        <v>192</v>
      </c>
      <c r="B10" t="s">
        <v>1143</v>
      </c>
      <c r="C10">
        <v>1</v>
      </c>
      <c r="D10">
        <v>13</v>
      </c>
      <c r="E10">
        <v>13</v>
      </c>
      <c r="F10">
        <v>28872.19</v>
      </c>
      <c r="G10">
        <v>2220.94</v>
      </c>
      <c r="H10">
        <v>966</v>
      </c>
      <c r="I10" s="10">
        <v>34655</v>
      </c>
      <c r="J10" s="10">
        <v>35033</v>
      </c>
    </row>
    <row r="11" spans="1:10">
      <c r="A11" t="s">
        <v>79</v>
      </c>
      <c r="B11" t="s">
        <v>1145</v>
      </c>
      <c r="C11">
        <v>1</v>
      </c>
      <c r="D11">
        <v>18</v>
      </c>
      <c r="E11">
        <v>18</v>
      </c>
      <c r="F11">
        <v>28757.56</v>
      </c>
      <c r="G11">
        <v>1597.64</v>
      </c>
      <c r="H11">
        <v>1184</v>
      </c>
      <c r="I11" s="10">
        <v>34570</v>
      </c>
      <c r="J11" s="10">
        <v>35191</v>
      </c>
    </row>
    <row r="12" spans="1:10">
      <c r="A12" t="s">
        <v>93</v>
      </c>
      <c r="B12" t="s">
        <v>592</v>
      </c>
      <c r="C12">
        <v>1</v>
      </c>
      <c r="D12">
        <v>13</v>
      </c>
      <c r="E12">
        <v>13</v>
      </c>
      <c r="F12">
        <v>28748.38</v>
      </c>
      <c r="G12">
        <v>2211.41</v>
      </c>
      <c r="H12">
        <v>844</v>
      </c>
      <c r="I12" s="10">
        <v>34645</v>
      </c>
      <c r="J12" s="10">
        <v>35144</v>
      </c>
    </row>
    <row r="13" spans="1:10">
      <c r="A13" t="s">
        <v>79</v>
      </c>
      <c r="B13" t="s">
        <v>1148</v>
      </c>
      <c r="C13">
        <v>1</v>
      </c>
      <c r="D13">
        <v>18</v>
      </c>
      <c r="E13">
        <v>18</v>
      </c>
      <c r="F13">
        <v>24927.58</v>
      </c>
      <c r="G13">
        <v>1384.87</v>
      </c>
      <c r="H13">
        <v>1001</v>
      </c>
      <c r="I13" s="10">
        <v>34589</v>
      </c>
      <c r="J13" s="10">
        <v>35158</v>
      </c>
    </row>
    <row r="14" spans="1:10">
      <c r="A14" t="s">
        <v>93</v>
      </c>
      <c r="B14" t="s">
        <v>1149</v>
      </c>
      <c r="C14">
        <v>1</v>
      </c>
      <c r="D14">
        <v>14</v>
      </c>
      <c r="E14">
        <v>14</v>
      </c>
      <c r="F14">
        <v>23831.26</v>
      </c>
      <c r="G14">
        <v>1702.23</v>
      </c>
      <c r="H14">
        <v>1379</v>
      </c>
      <c r="I14" s="10">
        <v>34575</v>
      </c>
      <c r="J14" s="10">
        <v>35159</v>
      </c>
    </row>
    <row r="15" spans="1:10">
      <c r="A15" t="s">
        <v>448</v>
      </c>
      <c r="B15" t="s">
        <v>1162</v>
      </c>
      <c r="C15">
        <v>5</v>
      </c>
      <c r="D15">
        <v>26</v>
      </c>
      <c r="E15">
        <v>5.2</v>
      </c>
      <c r="F15">
        <v>22922.080000000002</v>
      </c>
      <c r="G15">
        <v>881.62</v>
      </c>
      <c r="H15">
        <v>975</v>
      </c>
      <c r="I15" s="10">
        <v>34564</v>
      </c>
      <c r="J15" s="10">
        <v>35187</v>
      </c>
    </row>
    <row r="16" spans="1:10">
      <c r="A16" t="s">
        <v>417</v>
      </c>
      <c r="B16" t="s">
        <v>415</v>
      </c>
      <c r="C16">
        <v>1</v>
      </c>
      <c r="D16">
        <v>10</v>
      </c>
      <c r="E16">
        <v>10</v>
      </c>
      <c r="F16">
        <v>21601.68</v>
      </c>
      <c r="G16">
        <v>2160.17</v>
      </c>
      <c r="H16">
        <v>925</v>
      </c>
      <c r="I16" s="10">
        <v>34555</v>
      </c>
      <c r="J16" s="10">
        <v>35160</v>
      </c>
    </row>
    <row r="17" spans="1:10">
      <c r="A17" t="s">
        <v>140</v>
      </c>
      <c r="B17" t="s">
        <v>609</v>
      </c>
      <c r="C17">
        <v>1</v>
      </c>
      <c r="D17">
        <v>16</v>
      </c>
      <c r="E17">
        <v>16</v>
      </c>
      <c r="F17">
        <v>21170.5</v>
      </c>
      <c r="G17">
        <v>1323.16</v>
      </c>
      <c r="H17">
        <v>930</v>
      </c>
      <c r="I17" s="10">
        <v>34654</v>
      </c>
      <c r="J17" s="10">
        <v>35165</v>
      </c>
    </row>
    <row r="18" spans="1:10">
      <c r="A18" t="s">
        <v>438</v>
      </c>
      <c r="B18" t="s">
        <v>1153</v>
      </c>
      <c r="C18">
        <v>1</v>
      </c>
      <c r="D18">
        <v>17</v>
      </c>
      <c r="E18">
        <v>17</v>
      </c>
      <c r="F18">
        <v>21041.26</v>
      </c>
      <c r="G18">
        <v>1237.72</v>
      </c>
      <c r="H18">
        <v>1026</v>
      </c>
      <c r="I18" s="10">
        <v>34562</v>
      </c>
      <c r="J18" s="10">
        <v>35179</v>
      </c>
    </row>
    <row r="19" spans="1:10">
      <c r="A19" t="s">
        <v>443</v>
      </c>
      <c r="B19" t="s">
        <v>631</v>
      </c>
      <c r="C19">
        <v>1</v>
      </c>
      <c r="D19">
        <v>9</v>
      </c>
      <c r="E19">
        <v>9</v>
      </c>
      <c r="F19">
        <v>20073.86</v>
      </c>
      <c r="G19">
        <v>2230.4299999999998</v>
      </c>
      <c r="H19">
        <v>544</v>
      </c>
      <c r="I19" s="10">
        <v>34682</v>
      </c>
      <c r="J19" s="10">
        <v>35116</v>
      </c>
    </row>
    <row r="20" spans="1:10">
      <c r="A20" t="s">
        <v>140</v>
      </c>
      <c r="B20" t="s">
        <v>470</v>
      </c>
      <c r="C20">
        <v>1</v>
      </c>
      <c r="D20">
        <v>11</v>
      </c>
      <c r="E20">
        <v>11</v>
      </c>
      <c r="F20">
        <v>18534.080000000002</v>
      </c>
      <c r="G20">
        <v>1684.92</v>
      </c>
      <c r="H20">
        <v>666</v>
      </c>
      <c r="I20" s="10">
        <v>34571</v>
      </c>
      <c r="J20" s="10">
        <v>35107</v>
      </c>
    </row>
    <row r="21" spans="1:10">
      <c r="A21" t="s">
        <v>192</v>
      </c>
      <c r="B21" t="s">
        <v>682</v>
      </c>
      <c r="C21">
        <v>1</v>
      </c>
      <c r="D21">
        <v>11</v>
      </c>
      <c r="E21">
        <v>11</v>
      </c>
      <c r="F21">
        <v>18089.38</v>
      </c>
      <c r="G21">
        <v>1644.49</v>
      </c>
      <c r="H21">
        <v>824</v>
      </c>
      <c r="I21" s="10">
        <v>34719</v>
      </c>
      <c r="J21" s="10">
        <v>35181</v>
      </c>
    </row>
    <row r="22" spans="1:10">
      <c r="A22" t="s">
        <v>26</v>
      </c>
      <c r="B22" t="s">
        <v>738</v>
      </c>
      <c r="C22">
        <v>1</v>
      </c>
      <c r="D22">
        <v>9</v>
      </c>
      <c r="E22">
        <v>9</v>
      </c>
      <c r="F22">
        <v>17797.45</v>
      </c>
      <c r="G22">
        <v>1977.49</v>
      </c>
      <c r="H22">
        <v>310</v>
      </c>
      <c r="I22" s="10">
        <v>34856</v>
      </c>
      <c r="J22" s="10">
        <v>35192</v>
      </c>
    </row>
    <row r="23" spans="1:10">
      <c r="A23" t="s">
        <v>93</v>
      </c>
      <c r="B23" t="s">
        <v>517</v>
      </c>
      <c r="C23">
        <v>1</v>
      </c>
      <c r="D23">
        <v>14</v>
      </c>
      <c r="E23">
        <v>14</v>
      </c>
      <c r="F23">
        <v>17631.439999999999</v>
      </c>
      <c r="G23">
        <v>1259.3900000000001</v>
      </c>
      <c r="H23">
        <v>684</v>
      </c>
      <c r="I23" s="10">
        <v>34590</v>
      </c>
      <c r="J23" s="10">
        <v>35163</v>
      </c>
    </row>
    <row r="24" spans="1:10">
      <c r="A24" t="s">
        <v>26</v>
      </c>
      <c r="B24" t="s">
        <v>487</v>
      </c>
      <c r="C24">
        <v>1</v>
      </c>
      <c r="D24">
        <v>12</v>
      </c>
      <c r="E24">
        <v>12</v>
      </c>
      <c r="F24">
        <v>17532.36</v>
      </c>
      <c r="G24">
        <v>1461.03</v>
      </c>
      <c r="H24">
        <v>893</v>
      </c>
      <c r="I24" s="10">
        <v>34577</v>
      </c>
      <c r="J24" s="10">
        <v>35150</v>
      </c>
    </row>
    <row r="25" spans="1:10">
      <c r="A25" t="s">
        <v>161</v>
      </c>
      <c r="B25" t="s">
        <v>1155</v>
      </c>
      <c r="C25">
        <v>1</v>
      </c>
      <c r="D25">
        <v>6</v>
      </c>
      <c r="E25">
        <v>6</v>
      </c>
      <c r="F25">
        <v>16585.009999999998</v>
      </c>
      <c r="G25">
        <v>2764.17</v>
      </c>
      <c r="H25">
        <v>364</v>
      </c>
      <c r="I25" s="10">
        <v>34667</v>
      </c>
      <c r="J25" s="10">
        <v>35093</v>
      </c>
    </row>
    <row r="26" spans="1:10">
      <c r="A26" t="s">
        <v>161</v>
      </c>
      <c r="B26" t="s">
        <v>1157</v>
      </c>
      <c r="C26">
        <v>1</v>
      </c>
      <c r="D26">
        <v>11</v>
      </c>
      <c r="E26">
        <v>11</v>
      </c>
      <c r="F26">
        <v>15843.92</v>
      </c>
      <c r="G26">
        <v>1440.36</v>
      </c>
      <c r="H26">
        <v>792</v>
      </c>
      <c r="I26" s="10">
        <v>34697</v>
      </c>
      <c r="J26" s="10">
        <v>35187</v>
      </c>
    </row>
    <row r="27" spans="1:10">
      <c r="A27" t="s">
        <v>422</v>
      </c>
      <c r="B27" t="s">
        <v>1158</v>
      </c>
      <c r="C27">
        <v>1</v>
      </c>
      <c r="D27">
        <v>8</v>
      </c>
      <c r="E27">
        <v>8</v>
      </c>
      <c r="F27">
        <v>15612.88</v>
      </c>
      <c r="G27">
        <v>1951.61</v>
      </c>
      <c r="H27">
        <v>662</v>
      </c>
      <c r="I27" s="10">
        <v>34558</v>
      </c>
      <c r="J27" s="10">
        <v>35170</v>
      </c>
    </row>
    <row r="28" spans="1:10">
      <c r="A28" t="s">
        <v>438</v>
      </c>
      <c r="B28" t="s">
        <v>525</v>
      </c>
      <c r="C28">
        <v>1</v>
      </c>
      <c r="D28">
        <v>12</v>
      </c>
      <c r="E28">
        <v>12</v>
      </c>
      <c r="F28">
        <v>15402.68</v>
      </c>
      <c r="G28">
        <v>1283.56</v>
      </c>
      <c r="H28">
        <v>787</v>
      </c>
      <c r="I28" s="10">
        <v>34593</v>
      </c>
      <c r="J28" s="10">
        <v>35188</v>
      </c>
    </row>
    <row r="29" spans="1:10">
      <c r="A29" t="s">
        <v>176</v>
      </c>
      <c r="B29" t="s">
        <v>474</v>
      </c>
      <c r="C29">
        <v>1</v>
      </c>
      <c r="D29">
        <v>14</v>
      </c>
      <c r="E29">
        <v>14</v>
      </c>
      <c r="F29">
        <v>15378.7</v>
      </c>
      <c r="G29">
        <v>1098.48</v>
      </c>
      <c r="H29">
        <v>707</v>
      </c>
      <c r="I29" s="10">
        <v>34572</v>
      </c>
      <c r="J29" s="10">
        <v>35081</v>
      </c>
    </row>
    <row r="30" spans="1:10">
      <c r="A30" t="s">
        <v>26</v>
      </c>
      <c r="B30" t="s">
        <v>564</v>
      </c>
      <c r="C30">
        <v>1</v>
      </c>
      <c r="D30">
        <v>9</v>
      </c>
      <c r="E30">
        <v>9</v>
      </c>
      <c r="F30">
        <v>14638.06</v>
      </c>
      <c r="G30">
        <v>1626.45</v>
      </c>
      <c r="H30">
        <v>570</v>
      </c>
      <c r="I30" s="10">
        <v>34621</v>
      </c>
      <c r="J30" s="10">
        <v>35174</v>
      </c>
    </row>
    <row r="31" spans="1:10">
      <c r="A31" t="s">
        <v>438</v>
      </c>
      <c r="B31" t="s">
        <v>688</v>
      </c>
      <c r="C31">
        <v>1</v>
      </c>
      <c r="D31">
        <v>10</v>
      </c>
      <c r="E31">
        <v>10</v>
      </c>
      <c r="F31">
        <v>13143.38</v>
      </c>
      <c r="G31">
        <v>1314.34</v>
      </c>
      <c r="H31">
        <v>810</v>
      </c>
      <c r="I31" s="10">
        <v>34736</v>
      </c>
      <c r="J31" s="10">
        <v>35171</v>
      </c>
    </row>
    <row r="32" spans="1:10">
      <c r="A32" t="s">
        <v>93</v>
      </c>
      <c r="B32" t="s">
        <v>1160</v>
      </c>
      <c r="C32">
        <v>1</v>
      </c>
      <c r="D32">
        <v>9</v>
      </c>
      <c r="E32">
        <v>9</v>
      </c>
      <c r="F32">
        <v>11863.8</v>
      </c>
      <c r="G32">
        <v>1318.2</v>
      </c>
      <c r="H32">
        <v>615</v>
      </c>
      <c r="I32" s="10">
        <v>34565</v>
      </c>
      <c r="J32" s="10">
        <v>35188</v>
      </c>
    </row>
    <row r="33" spans="1:10">
      <c r="A33" t="s">
        <v>140</v>
      </c>
      <c r="B33" t="s">
        <v>693</v>
      </c>
      <c r="C33">
        <v>1</v>
      </c>
      <c r="D33">
        <v>5</v>
      </c>
      <c r="E33">
        <v>5</v>
      </c>
      <c r="F33">
        <v>11666.9</v>
      </c>
      <c r="G33">
        <v>2333.38</v>
      </c>
      <c r="H33">
        <v>354</v>
      </c>
      <c r="I33" s="10">
        <v>34738</v>
      </c>
      <c r="J33" s="10">
        <v>35086</v>
      </c>
    </row>
    <row r="34" spans="1:10">
      <c r="A34" t="s">
        <v>605</v>
      </c>
      <c r="B34" t="s">
        <v>604</v>
      </c>
      <c r="C34">
        <v>2</v>
      </c>
      <c r="D34">
        <v>13</v>
      </c>
      <c r="E34">
        <v>6.5</v>
      </c>
      <c r="F34">
        <v>11472.36</v>
      </c>
      <c r="G34">
        <v>882.49</v>
      </c>
      <c r="H34">
        <v>533</v>
      </c>
      <c r="I34" s="10">
        <v>34652</v>
      </c>
      <c r="J34" s="10">
        <v>35193</v>
      </c>
    </row>
    <row r="35" spans="1:10">
      <c r="A35" t="s">
        <v>26</v>
      </c>
      <c r="B35" t="s">
        <v>492</v>
      </c>
      <c r="C35">
        <v>1</v>
      </c>
      <c r="D35">
        <v>9</v>
      </c>
      <c r="E35">
        <v>9</v>
      </c>
      <c r="F35">
        <v>11441.63</v>
      </c>
      <c r="G35">
        <v>1271.29</v>
      </c>
      <c r="H35">
        <v>327</v>
      </c>
      <c r="I35" s="10">
        <v>34578</v>
      </c>
      <c r="J35" s="10">
        <v>35179</v>
      </c>
    </row>
    <row r="36" spans="1:10">
      <c r="A36" t="s">
        <v>50</v>
      </c>
      <c r="B36" t="s">
        <v>560</v>
      </c>
      <c r="C36">
        <v>1</v>
      </c>
      <c r="D36">
        <v>8</v>
      </c>
      <c r="E36">
        <v>8</v>
      </c>
      <c r="F36">
        <v>10769.86</v>
      </c>
      <c r="G36">
        <v>1346.23</v>
      </c>
      <c r="H36">
        <v>352</v>
      </c>
      <c r="I36" s="10">
        <v>34619</v>
      </c>
      <c r="J36" s="10">
        <v>35167</v>
      </c>
    </row>
    <row r="37" spans="1:10">
      <c r="A37" t="s">
        <v>417</v>
      </c>
      <c r="B37" t="s">
        <v>742</v>
      </c>
      <c r="C37">
        <v>1</v>
      </c>
      <c r="D37">
        <v>7</v>
      </c>
      <c r="E37">
        <v>7</v>
      </c>
      <c r="F37">
        <v>9736.08</v>
      </c>
      <c r="G37">
        <v>1390.87</v>
      </c>
      <c r="H37">
        <v>320</v>
      </c>
      <c r="I37" s="10">
        <v>34857</v>
      </c>
      <c r="J37" s="10">
        <v>35192</v>
      </c>
    </row>
    <row r="38" spans="1:10">
      <c r="A38" t="s">
        <v>140</v>
      </c>
      <c r="B38" t="s">
        <v>627</v>
      </c>
      <c r="C38">
        <v>1</v>
      </c>
      <c r="D38">
        <v>13</v>
      </c>
      <c r="E38">
        <v>13</v>
      </c>
      <c r="F38">
        <v>9292.2000000000007</v>
      </c>
      <c r="G38">
        <v>714.78</v>
      </c>
      <c r="H38">
        <v>432</v>
      </c>
      <c r="I38" s="10">
        <v>34680</v>
      </c>
      <c r="J38" s="10">
        <v>35157</v>
      </c>
    </row>
    <row r="39" spans="1:10">
      <c r="A39" t="s">
        <v>422</v>
      </c>
      <c r="B39" t="s">
        <v>421</v>
      </c>
      <c r="C39">
        <v>1</v>
      </c>
      <c r="D39">
        <v>6</v>
      </c>
      <c r="E39">
        <v>6</v>
      </c>
      <c r="F39">
        <v>9289.08</v>
      </c>
      <c r="G39">
        <v>1548.18</v>
      </c>
      <c r="H39">
        <v>373</v>
      </c>
      <c r="I39" s="10">
        <v>34557</v>
      </c>
      <c r="J39" s="10">
        <v>35174</v>
      </c>
    </row>
    <row r="40" spans="1:10">
      <c r="A40" t="s">
        <v>140</v>
      </c>
      <c r="B40" t="s">
        <v>411</v>
      </c>
      <c r="C40">
        <v>1</v>
      </c>
      <c r="D40">
        <v>10</v>
      </c>
      <c r="E40">
        <v>10</v>
      </c>
      <c r="F40">
        <v>9182.43</v>
      </c>
      <c r="G40">
        <v>918.24</v>
      </c>
      <c r="H40">
        <v>434</v>
      </c>
      <c r="I40" s="10">
        <v>34554</v>
      </c>
      <c r="J40" s="10">
        <v>35118</v>
      </c>
    </row>
    <row r="41" spans="1:10">
      <c r="A41" t="s">
        <v>86</v>
      </c>
      <c r="B41" t="s">
        <v>706</v>
      </c>
      <c r="C41">
        <v>1</v>
      </c>
      <c r="D41">
        <v>8</v>
      </c>
      <c r="E41">
        <v>8</v>
      </c>
      <c r="F41">
        <v>8140.54</v>
      </c>
      <c r="G41">
        <v>1017.57</v>
      </c>
      <c r="H41">
        <v>301</v>
      </c>
      <c r="I41" s="10">
        <v>34753</v>
      </c>
      <c r="J41" s="10">
        <v>35172</v>
      </c>
    </row>
    <row r="42" spans="1:10">
      <c r="A42" t="s">
        <v>93</v>
      </c>
      <c r="B42" t="s">
        <v>556</v>
      </c>
      <c r="C42">
        <v>1</v>
      </c>
      <c r="D42">
        <v>9</v>
      </c>
      <c r="E42">
        <v>9</v>
      </c>
      <c r="F42">
        <v>8102.62</v>
      </c>
      <c r="G42">
        <v>900.29</v>
      </c>
      <c r="H42">
        <v>439</v>
      </c>
      <c r="I42" s="10">
        <v>34617</v>
      </c>
      <c r="J42" s="10">
        <v>34988</v>
      </c>
    </row>
    <row r="43" spans="1:10">
      <c r="A43" t="s">
        <v>698</v>
      </c>
      <c r="B43" t="s">
        <v>697</v>
      </c>
      <c r="C43">
        <v>3</v>
      </c>
      <c r="D43">
        <v>14</v>
      </c>
      <c r="E43">
        <v>4.67</v>
      </c>
      <c r="F43">
        <v>7738.1</v>
      </c>
      <c r="G43">
        <v>552.72</v>
      </c>
      <c r="H43">
        <v>304</v>
      </c>
      <c r="I43" s="10">
        <v>34739</v>
      </c>
      <c r="J43" s="10">
        <v>35184</v>
      </c>
    </row>
    <row r="44" spans="1:10">
      <c r="A44" t="s">
        <v>113</v>
      </c>
      <c r="B44" t="s">
        <v>501</v>
      </c>
      <c r="C44">
        <v>1</v>
      </c>
      <c r="D44">
        <v>10</v>
      </c>
      <c r="E44">
        <v>10</v>
      </c>
      <c r="F44">
        <v>7176.22</v>
      </c>
      <c r="G44">
        <v>717.62</v>
      </c>
      <c r="H44">
        <v>433</v>
      </c>
      <c r="I44" s="10">
        <v>34584</v>
      </c>
      <c r="J44" s="10">
        <v>35170</v>
      </c>
    </row>
    <row r="45" spans="1:10">
      <c r="A45" t="s">
        <v>18</v>
      </c>
      <c r="B45" t="s">
        <v>583</v>
      </c>
      <c r="C45">
        <v>1</v>
      </c>
      <c r="D45">
        <v>10</v>
      </c>
      <c r="E45">
        <v>10</v>
      </c>
      <c r="F45">
        <v>6146.3</v>
      </c>
      <c r="G45">
        <v>614.63</v>
      </c>
      <c r="H45">
        <v>295</v>
      </c>
      <c r="I45" s="10">
        <v>34634</v>
      </c>
      <c r="J45" s="10">
        <v>35160</v>
      </c>
    </row>
    <row r="46" spans="1:10">
      <c r="A46" t="s">
        <v>86</v>
      </c>
      <c r="B46" t="s">
        <v>430</v>
      </c>
      <c r="C46">
        <v>1</v>
      </c>
      <c r="D46">
        <v>9</v>
      </c>
      <c r="E46">
        <v>9</v>
      </c>
      <c r="F46">
        <v>6068.2</v>
      </c>
      <c r="G46">
        <v>674.24</v>
      </c>
      <c r="H46">
        <v>267</v>
      </c>
      <c r="I46" s="10">
        <v>34561</v>
      </c>
      <c r="J46" s="10">
        <v>35163</v>
      </c>
    </row>
    <row r="47" spans="1:10">
      <c r="A47" t="s">
        <v>26</v>
      </c>
      <c r="B47" t="s">
        <v>569</v>
      </c>
      <c r="C47">
        <v>2</v>
      </c>
      <c r="D47">
        <v>11</v>
      </c>
      <c r="E47">
        <v>5.5</v>
      </c>
      <c r="F47">
        <v>6044.6</v>
      </c>
      <c r="G47">
        <v>549.51</v>
      </c>
      <c r="H47">
        <v>145</v>
      </c>
      <c r="I47" s="10">
        <v>34625</v>
      </c>
      <c r="J47" s="10">
        <v>35186</v>
      </c>
    </row>
    <row r="48" spans="1:10">
      <c r="A48" t="s">
        <v>113</v>
      </c>
      <c r="B48" t="s">
        <v>534</v>
      </c>
      <c r="C48">
        <v>1</v>
      </c>
      <c r="D48">
        <v>10</v>
      </c>
      <c r="E48">
        <v>10</v>
      </c>
      <c r="F48">
        <v>5996.84</v>
      </c>
      <c r="G48">
        <v>599.67999999999995</v>
      </c>
      <c r="H48">
        <v>283</v>
      </c>
      <c r="I48" s="10">
        <v>34600</v>
      </c>
      <c r="J48" s="10">
        <v>35165</v>
      </c>
    </row>
    <row r="49" spans="1:10">
      <c r="A49" t="s">
        <v>50</v>
      </c>
      <c r="B49" t="s">
        <v>521</v>
      </c>
      <c r="C49">
        <v>2</v>
      </c>
      <c r="D49">
        <v>7</v>
      </c>
      <c r="E49">
        <v>3.5</v>
      </c>
      <c r="F49">
        <v>5339.14</v>
      </c>
      <c r="G49">
        <v>762.73</v>
      </c>
      <c r="H49">
        <v>245</v>
      </c>
      <c r="I49" s="10">
        <v>34591</v>
      </c>
      <c r="J49" s="10">
        <v>35178</v>
      </c>
    </row>
    <row r="50" spans="1:10">
      <c r="A50" t="s">
        <v>121</v>
      </c>
      <c r="B50" t="s">
        <v>678</v>
      </c>
      <c r="C50">
        <v>1</v>
      </c>
      <c r="D50">
        <v>5</v>
      </c>
      <c r="E50">
        <v>5</v>
      </c>
      <c r="F50">
        <v>5112.8</v>
      </c>
      <c r="G50">
        <v>1022.56</v>
      </c>
      <c r="H50">
        <v>128</v>
      </c>
      <c r="I50" s="10">
        <v>34717</v>
      </c>
      <c r="J50" s="10">
        <v>35152</v>
      </c>
    </row>
    <row r="51" spans="1:10">
      <c r="A51" t="s">
        <v>93</v>
      </c>
      <c r="B51" t="s">
        <v>508</v>
      </c>
      <c r="C51">
        <v>1</v>
      </c>
      <c r="D51">
        <v>5</v>
      </c>
      <c r="E51">
        <v>5</v>
      </c>
      <c r="F51">
        <v>5042.2</v>
      </c>
      <c r="G51">
        <v>1008.44</v>
      </c>
      <c r="H51">
        <v>172</v>
      </c>
      <c r="I51" s="10">
        <v>34586</v>
      </c>
      <c r="J51" s="10">
        <v>35166</v>
      </c>
    </row>
    <row r="52" spans="1:10">
      <c r="A52" t="s">
        <v>140</v>
      </c>
      <c r="B52" t="s">
        <v>579</v>
      </c>
      <c r="C52">
        <v>2</v>
      </c>
      <c r="D52">
        <v>7</v>
      </c>
      <c r="E52">
        <v>3.5</v>
      </c>
      <c r="F52">
        <v>4788.0600000000004</v>
      </c>
      <c r="G52">
        <v>684.01</v>
      </c>
      <c r="H52">
        <v>149</v>
      </c>
      <c r="I52" s="10">
        <v>34628</v>
      </c>
      <c r="J52" s="10">
        <v>35178</v>
      </c>
    </row>
    <row r="53" spans="1:10">
      <c r="A53" t="s">
        <v>93</v>
      </c>
      <c r="B53" t="s">
        <v>1168</v>
      </c>
      <c r="C53">
        <v>1</v>
      </c>
      <c r="D53">
        <v>6</v>
      </c>
      <c r="E53">
        <v>6</v>
      </c>
      <c r="F53">
        <v>4778.1400000000003</v>
      </c>
      <c r="G53">
        <v>796.36</v>
      </c>
      <c r="H53">
        <v>253</v>
      </c>
      <c r="I53" s="10">
        <v>34551</v>
      </c>
      <c r="J53" s="10">
        <v>35177</v>
      </c>
    </row>
    <row r="54" spans="1:10">
      <c r="A54" t="s">
        <v>93</v>
      </c>
      <c r="B54" t="s">
        <v>92</v>
      </c>
      <c r="C54">
        <v>1</v>
      </c>
      <c r="D54">
        <v>5</v>
      </c>
      <c r="E54">
        <v>5</v>
      </c>
      <c r="F54">
        <v>3339.5</v>
      </c>
      <c r="G54">
        <v>667.9</v>
      </c>
      <c r="H54">
        <v>114</v>
      </c>
      <c r="I54" s="10">
        <v>34967</v>
      </c>
      <c r="J54" s="10">
        <v>35170</v>
      </c>
    </row>
    <row r="55" spans="1:10">
      <c r="A55" t="s">
        <v>176</v>
      </c>
      <c r="B55" t="s">
        <v>756</v>
      </c>
      <c r="C55">
        <v>1</v>
      </c>
      <c r="D55">
        <v>7</v>
      </c>
      <c r="E55">
        <v>7</v>
      </c>
      <c r="F55">
        <v>3161.35</v>
      </c>
      <c r="G55">
        <v>451.62</v>
      </c>
      <c r="H55">
        <v>148</v>
      </c>
      <c r="I55" s="10">
        <v>34941</v>
      </c>
      <c r="J55" s="10">
        <v>35192</v>
      </c>
    </row>
    <row r="56" spans="1:10">
      <c r="A56" t="s">
        <v>26</v>
      </c>
      <c r="B56" t="s">
        <v>751</v>
      </c>
      <c r="C56">
        <v>1</v>
      </c>
      <c r="D56">
        <v>4</v>
      </c>
      <c r="E56">
        <v>4</v>
      </c>
      <c r="F56">
        <v>3076.47</v>
      </c>
      <c r="G56">
        <v>769.12</v>
      </c>
      <c r="H56">
        <v>181</v>
      </c>
      <c r="I56" s="10">
        <v>34906</v>
      </c>
      <c r="J56" s="10">
        <v>35138</v>
      </c>
    </row>
    <row r="57" spans="1:10">
      <c r="A57" t="s">
        <v>26</v>
      </c>
      <c r="B57" t="s">
        <v>674</v>
      </c>
      <c r="C57">
        <v>1</v>
      </c>
      <c r="D57">
        <v>5</v>
      </c>
      <c r="E57">
        <v>5</v>
      </c>
      <c r="F57">
        <v>3063.2</v>
      </c>
      <c r="G57">
        <v>612.64</v>
      </c>
      <c r="H57">
        <v>122</v>
      </c>
      <c r="I57" s="10">
        <v>34705</v>
      </c>
      <c r="J57" s="10">
        <v>34981</v>
      </c>
    </row>
    <row r="58" spans="1:10">
      <c r="A58" t="s">
        <v>670</v>
      </c>
      <c r="B58" t="s">
        <v>668</v>
      </c>
      <c r="C58">
        <v>1</v>
      </c>
      <c r="D58">
        <v>6</v>
      </c>
      <c r="E58">
        <v>6</v>
      </c>
      <c r="F58">
        <v>2940.35</v>
      </c>
      <c r="G58">
        <v>490.06</v>
      </c>
      <c r="H58">
        <v>193</v>
      </c>
      <c r="I58" s="10">
        <v>34704</v>
      </c>
      <c r="J58" s="10">
        <v>35188</v>
      </c>
    </row>
    <row r="59" spans="1:10">
      <c r="A59" t="s">
        <v>93</v>
      </c>
      <c r="B59" t="s">
        <v>727</v>
      </c>
      <c r="C59">
        <v>1</v>
      </c>
      <c r="D59">
        <v>6</v>
      </c>
      <c r="E59">
        <v>6</v>
      </c>
      <c r="F59">
        <v>2381.8000000000002</v>
      </c>
      <c r="G59">
        <v>396.97</v>
      </c>
      <c r="H59">
        <v>112</v>
      </c>
      <c r="I59" s="10">
        <v>34829</v>
      </c>
      <c r="J59" s="10">
        <v>35171</v>
      </c>
    </row>
    <row r="60" spans="1:10">
      <c r="A60" t="s">
        <v>140</v>
      </c>
      <c r="B60" t="s">
        <v>139</v>
      </c>
      <c r="C60">
        <v>1</v>
      </c>
      <c r="D60">
        <v>3</v>
      </c>
      <c r="E60">
        <v>3</v>
      </c>
      <c r="F60">
        <v>2213.35</v>
      </c>
      <c r="G60">
        <v>737.78</v>
      </c>
      <c r="H60">
        <v>38</v>
      </c>
      <c r="I60" s="10">
        <v>35046</v>
      </c>
      <c r="J60" s="10">
        <v>35174</v>
      </c>
    </row>
    <row r="61" spans="1:10">
      <c r="A61" t="s">
        <v>140</v>
      </c>
      <c r="B61" t="s">
        <v>775</v>
      </c>
      <c r="C61">
        <v>1</v>
      </c>
      <c r="D61">
        <v>4</v>
      </c>
      <c r="E61">
        <v>4</v>
      </c>
      <c r="F61">
        <v>1992.05</v>
      </c>
      <c r="G61">
        <v>498.01</v>
      </c>
      <c r="H61">
        <v>83</v>
      </c>
      <c r="I61" s="10">
        <v>35124</v>
      </c>
      <c r="J61" s="10">
        <v>35178</v>
      </c>
    </row>
    <row r="62" spans="1:10">
      <c r="A62" t="s">
        <v>93</v>
      </c>
      <c r="B62" t="s">
        <v>645</v>
      </c>
      <c r="C62">
        <v>1</v>
      </c>
      <c r="D62">
        <v>4</v>
      </c>
      <c r="E62">
        <v>4</v>
      </c>
      <c r="F62">
        <v>1984.36</v>
      </c>
      <c r="G62">
        <v>496.09</v>
      </c>
      <c r="H62">
        <v>114</v>
      </c>
      <c r="I62" s="10">
        <v>34695</v>
      </c>
      <c r="J62" s="10">
        <v>35104</v>
      </c>
    </row>
    <row r="63" spans="1:10">
      <c r="A63" t="s">
        <v>26</v>
      </c>
      <c r="B63" t="s">
        <v>760</v>
      </c>
      <c r="C63">
        <v>1</v>
      </c>
      <c r="D63">
        <v>3</v>
      </c>
      <c r="E63">
        <v>3</v>
      </c>
      <c r="F63">
        <v>1947.24</v>
      </c>
      <c r="G63">
        <v>649.08000000000004</v>
      </c>
      <c r="H63">
        <v>59</v>
      </c>
      <c r="I63" s="10">
        <v>34949</v>
      </c>
      <c r="J63" s="10">
        <v>35191</v>
      </c>
    </row>
    <row r="64" spans="1:10">
      <c r="A64" t="s">
        <v>26</v>
      </c>
      <c r="B64" t="s">
        <v>747</v>
      </c>
      <c r="C64">
        <v>1</v>
      </c>
      <c r="D64">
        <v>3</v>
      </c>
      <c r="E64">
        <v>3</v>
      </c>
      <c r="F64">
        <v>1571.2</v>
      </c>
      <c r="G64">
        <v>523.73</v>
      </c>
      <c r="H64">
        <v>89</v>
      </c>
      <c r="I64" s="10">
        <v>34900</v>
      </c>
      <c r="J64" s="10">
        <v>35103</v>
      </c>
    </row>
    <row r="65" spans="1:10">
      <c r="A65" t="s">
        <v>438</v>
      </c>
      <c r="B65" t="s">
        <v>482</v>
      </c>
      <c r="C65">
        <v>1</v>
      </c>
      <c r="D65">
        <v>2</v>
      </c>
      <c r="E65">
        <v>2</v>
      </c>
      <c r="F65">
        <v>1488.7</v>
      </c>
      <c r="G65">
        <v>744.35</v>
      </c>
      <c r="H65">
        <v>34</v>
      </c>
      <c r="I65" s="10">
        <v>34576</v>
      </c>
      <c r="J65" s="10">
        <v>35082</v>
      </c>
    </row>
    <row r="66" spans="1:10">
      <c r="A66" t="s">
        <v>140</v>
      </c>
      <c r="B66" t="s">
        <v>397</v>
      </c>
      <c r="C66">
        <v>1</v>
      </c>
      <c r="D66">
        <v>5</v>
      </c>
      <c r="E66">
        <v>5</v>
      </c>
      <c r="F66">
        <v>1480</v>
      </c>
      <c r="G66">
        <v>296</v>
      </c>
      <c r="H66">
        <v>98</v>
      </c>
      <c r="I66" s="10">
        <v>34550</v>
      </c>
      <c r="J66" s="10">
        <v>35046</v>
      </c>
    </row>
    <row r="67" spans="1:10">
      <c r="A67" t="s">
        <v>50</v>
      </c>
      <c r="B67" t="s">
        <v>656</v>
      </c>
      <c r="C67">
        <v>1</v>
      </c>
      <c r="D67">
        <v>5</v>
      </c>
      <c r="E67">
        <v>5</v>
      </c>
      <c r="F67">
        <v>836.7</v>
      </c>
      <c r="G67">
        <v>167.34</v>
      </c>
      <c r="H67">
        <v>42</v>
      </c>
      <c r="I67" s="10">
        <v>34697</v>
      </c>
      <c r="J67" s="10">
        <v>35159</v>
      </c>
    </row>
    <row r="68" spans="1:10">
      <c r="A68" t="s">
        <v>192</v>
      </c>
      <c r="B68" t="s">
        <v>722</v>
      </c>
      <c r="C68">
        <v>1</v>
      </c>
      <c r="D68">
        <v>3</v>
      </c>
      <c r="E68">
        <v>3</v>
      </c>
      <c r="F68">
        <v>522.5</v>
      </c>
      <c r="G68">
        <v>174.17</v>
      </c>
      <c r="H68">
        <v>62</v>
      </c>
      <c r="I68" s="10">
        <v>34823</v>
      </c>
      <c r="J68" s="10">
        <v>35096</v>
      </c>
    </row>
    <row r="69" spans="1:10">
      <c r="A69" t="s">
        <v>26</v>
      </c>
      <c r="B69" t="s">
        <v>718</v>
      </c>
      <c r="C69">
        <v>1</v>
      </c>
      <c r="D69">
        <v>2</v>
      </c>
      <c r="E69">
        <v>2</v>
      </c>
      <c r="F69">
        <v>357</v>
      </c>
      <c r="G69">
        <v>178.5</v>
      </c>
      <c r="H69">
        <v>20</v>
      </c>
      <c r="I69" s="10">
        <v>34810</v>
      </c>
      <c r="J69" s="10">
        <v>34872</v>
      </c>
    </row>
    <row r="70" spans="1:10">
      <c r="A70" t="s">
        <v>113</v>
      </c>
      <c r="B70" t="s">
        <v>702</v>
      </c>
      <c r="C70">
        <v>1</v>
      </c>
      <c r="D70">
        <v>4</v>
      </c>
      <c r="E70">
        <v>4</v>
      </c>
      <c r="F70">
        <v>249.7</v>
      </c>
      <c r="G70">
        <v>62.42</v>
      </c>
      <c r="H70">
        <v>22</v>
      </c>
      <c r="I70" s="10">
        <v>34752</v>
      </c>
      <c r="J70" s="10">
        <v>35095</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1058A-5A44-2B4D-BA2D-275BD6EB10B5}">
  <dimension ref="A1:M29"/>
  <sheetViews>
    <sheetView showGridLines="0" topLeftCell="A4" workbookViewId="0">
      <selection activeCell="B50" sqref="B50"/>
    </sheetView>
  </sheetViews>
  <sheetFormatPr baseColWidth="10" defaultRowHeight="13"/>
  <cols>
    <col min="2" max="2" width="25.33203125" customWidth="1"/>
    <col min="3" max="3" width="16.6640625" bestFit="1" customWidth="1"/>
    <col min="4" max="4" width="16" customWidth="1"/>
    <col min="5" max="5" width="17.83203125" bestFit="1" customWidth="1"/>
    <col min="6" max="6" width="25.1640625" bestFit="1" customWidth="1"/>
    <col min="7" max="7" width="16.6640625" bestFit="1" customWidth="1"/>
    <col min="8" max="8" width="10.33203125" bestFit="1" customWidth="1"/>
    <col min="9" max="9" width="12.5" bestFit="1" customWidth="1"/>
    <col min="10" max="10" width="20.5" bestFit="1" customWidth="1"/>
  </cols>
  <sheetData>
    <row r="1" spans="1:13" ht="22" thickBot="1">
      <c r="A1" s="19" t="s">
        <v>1588</v>
      </c>
      <c r="B1" s="20" t="s">
        <v>1589</v>
      </c>
      <c r="C1" s="20"/>
      <c r="D1" s="20"/>
      <c r="E1" s="20"/>
      <c r="F1" s="20"/>
      <c r="G1" s="33"/>
      <c r="H1" s="34"/>
      <c r="I1" s="35"/>
      <c r="J1" s="14"/>
      <c r="K1" s="14"/>
      <c r="L1" s="14"/>
      <c r="M1" s="14"/>
    </row>
    <row r="3" spans="1:13" ht="28">
      <c r="B3" s="16" t="s">
        <v>1642</v>
      </c>
      <c r="C3" s="16" t="s">
        <v>1645</v>
      </c>
      <c r="D3" s="16" t="s">
        <v>1643</v>
      </c>
      <c r="E3" s="16" t="s">
        <v>1644</v>
      </c>
    </row>
    <row r="4" spans="1:13" ht="20">
      <c r="B4" s="15">
        <v>461.15730337078651</v>
      </c>
      <c r="C4" s="15">
        <v>1163.1629213483141</v>
      </c>
      <c r="D4" s="17">
        <v>12936.302134831467</v>
      </c>
      <c r="E4" s="15">
        <v>8.5393258426966288</v>
      </c>
    </row>
    <row r="7" spans="1:13">
      <c r="B7" s="12" t="s">
        <v>8</v>
      </c>
      <c r="C7" t="s">
        <v>1618</v>
      </c>
      <c r="D7" t="s">
        <v>1587</v>
      </c>
      <c r="F7" s="12" t="s">
        <v>1619</v>
      </c>
      <c r="G7" t="s">
        <v>1618</v>
      </c>
      <c r="H7" t="s">
        <v>1647</v>
      </c>
      <c r="I7" t="s">
        <v>1646</v>
      </c>
    </row>
    <row r="8" spans="1:13">
      <c r="B8" s="13" t="s">
        <v>26</v>
      </c>
      <c r="C8">
        <v>13</v>
      </c>
      <c r="D8">
        <v>112</v>
      </c>
      <c r="F8" s="13" t="s">
        <v>1140</v>
      </c>
      <c r="G8">
        <v>13</v>
      </c>
      <c r="H8">
        <v>240</v>
      </c>
      <c r="I8">
        <v>570679.35000000009</v>
      </c>
    </row>
    <row r="9" spans="1:13">
      <c r="B9" s="13" t="s">
        <v>93</v>
      </c>
      <c r="C9">
        <v>11</v>
      </c>
      <c r="D9">
        <v>112</v>
      </c>
      <c r="F9" s="13" t="s">
        <v>1156</v>
      </c>
      <c r="G9">
        <v>48</v>
      </c>
      <c r="H9">
        <v>231</v>
      </c>
      <c r="I9">
        <v>202113.81000000006</v>
      </c>
    </row>
    <row r="10" spans="1:13">
      <c r="B10" s="13" t="s">
        <v>140</v>
      </c>
      <c r="C10">
        <v>10</v>
      </c>
      <c r="D10">
        <v>74</v>
      </c>
      <c r="F10" s="13" t="s">
        <v>1141</v>
      </c>
      <c r="G10">
        <v>28</v>
      </c>
      <c r="H10">
        <v>289</v>
      </c>
      <c r="I10">
        <v>378537.7300000001</v>
      </c>
    </row>
    <row r="11" spans="1:13">
      <c r="B11" s="13" t="s">
        <v>86</v>
      </c>
      <c r="C11">
        <v>9</v>
      </c>
      <c r="D11">
        <v>77</v>
      </c>
      <c r="F11" s="13" t="s">
        <v>1184</v>
      </c>
      <c r="G11">
        <v>89</v>
      </c>
      <c r="H11">
        <v>760</v>
      </c>
      <c r="I11">
        <v>1151330.8899999994</v>
      </c>
    </row>
    <row r="12" spans="1:13">
      <c r="B12" s="13" t="s">
        <v>18</v>
      </c>
      <c r="C12">
        <v>7</v>
      </c>
      <c r="D12">
        <v>50</v>
      </c>
    </row>
    <row r="13" spans="1:13">
      <c r="B13" s="13" t="s">
        <v>448</v>
      </c>
      <c r="C13">
        <v>5</v>
      </c>
      <c r="D13">
        <v>26</v>
      </c>
    </row>
    <row r="14" spans="1:13">
      <c r="B14" s="13" t="s">
        <v>50</v>
      </c>
      <c r="C14">
        <v>4</v>
      </c>
      <c r="D14">
        <v>20</v>
      </c>
    </row>
    <row r="15" spans="1:13">
      <c r="B15" s="13" t="s">
        <v>438</v>
      </c>
      <c r="C15">
        <v>4</v>
      </c>
      <c r="D15">
        <v>41</v>
      </c>
    </row>
    <row r="16" spans="1:13">
      <c r="B16" s="13" t="s">
        <v>192</v>
      </c>
      <c r="C16">
        <v>3</v>
      </c>
      <c r="D16">
        <v>27</v>
      </c>
    </row>
    <row r="17" spans="2:4">
      <c r="B17" s="13" t="s">
        <v>698</v>
      </c>
      <c r="C17">
        <v>3</v>
      </c>
      <c r="D17">
        <v>14</v>
      </c>
    </row>
    <row r="18" spans="2:4">
      <c r="B18" s="13" t="s">
        <v>113</v>
      </c>
      <c r="C18">
        <v>3</v>
      </c>
      <c r="D18">
        <v>24</v>
      </c>
    </row>
    <row r="19" spans="2:4">
      <c r="B19" s="13" t="s">
        <v>79</v>
      </c>
      <c r="C19">
        <v>2</v>
      </c>
      <c r="D19">
        <v>36</v>
      </c>
    </row>
    <row r="20" spans="2:4">
      <c r="B20" s="13" t="s">
        <v>417</v>
      </c>
      <c r="C20">
        <v>2</v>
      </c>
      <c r="D20">
        <v>17</v>
      </c>
    </row>
    <row r="21" spans="2:4">
      <c r="B21" s="13" t="s">
        <v>422</v>
      </c>
      <c r="C21">
        <v>2</v>
      </c>
      <c r="D21">
        <v>14</v>
      </c>
    </row>
    <row r="22" spans="2:4">
      <c r="B22" s="13" t="s">
        <v>605</v>
      </c>
      <c r="C22">
        <v>2</v>
      </c>
      <c r="D22">
        <v>13</v>
      </c>
    </row>
    <row r="23" spans="2:4">
      <c r="B23" s="13" t="s">
        <v>161</v>
      </c>
      <c r="C23">
        <v>2</v>
      </c>
      <c r="D23">
        <v>17</v>
      </c>
    </row>
    <row r="24" spans="2:4">
      <c r="B24" s="13" t="s">
        <v>176</v>
      </c>
      <c r="C24">
        <v>2</v>
      </c>
      <c r="D24">
        <v>21</v>
      </c>
    </row>
    <row r="25" spans="2:4">
      <c r="B25" s="13" t="s">
        <v>443</v>
      </c>
      <c r="C25">
        <v>2</v>
      </c>
      <c r="D25">
        <v>36</v>
      </c>
    </row>
    <row r="26" spans="2:4">
      <c r="B26" s="13" t="s">
        <v>121</v>
      </c>
      <c r="C26">
        <v>1</v>
      </c>
      <c r="D26">
        <v>5</v>
      </c>
    </row>
    <row r="27" spans="2:4">
      <c r="B27" s="13" t="s">
        <v>670</v>
      </c>
      <c r="C27">
        <v>1</v>
      </c>
      <c r="D27">
        <v>6</v>
      </c>
    </row>
    <row r="28" spans="2:4">
      <c r="B28" s="13" t="s">
        <v>552</v>
      </c>
      <c r="C28">
        <v>1</v>
      </c>
      <c r="D28">
        <v>18</v>
      </c>
    </row>
    <row r="29" spans="2:4">
      <c r="B29" s="13" t="s">
        <v>1184</v>
      </c>
      <c r="C29">
        <v>89</v>
      </c>
      <c r="D29">
        <v>760</v>
      </c>
    </row>
  </sheetData>
  <pageMargins left="0.7" right="0.7" top="0.75" bottom="0.75" header="0.3" footer="0.3"/>
  <drawing r:id="rId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BF32D2-DAEB-4EE3-8274-7BB1419A37DB}">
  <dimension ref="A1:U71"/>
  <sheetViews>
    <sheetView showGridLines="0" workbookViewId="0">
      <selection activeCell="A27" sqref="A27"/>
    </sheetView>
  </sheetViews>
  <sheetFormatPr baseColWidth="10" defaultColWidth="8.83203125" defaultRowHeight="13"/>
  <cols>
    <col min="12" max="12" width="10.5" bestFit="1" customWidth="1"/>
    <col min="13" max="13" width="13.1640625" bestFit="1" customWidth="1"/>
    <col min="14" max="14" width="17.5" bestFit="1" customWidth="1"/>
    <col min="15" max="15" width="14" bestFit="1" customWidth="1"/>
    <col min="16" max="16" width="27" bestFit="1" customWidth="1"/>
    <col min="17" max="17" width="15.83203125" bestFit="1" customWidth="1"/>
    <col min="18" max="18" width="25.33203125" bestFit="1" customWidth="1"/>
    <col min="19" max="19" width="21" bestFit="1" customWidth="1"/>
    <col min="20" max="20" width="16" bestFit="1" customWidth="1"/>
    <col min="21" max="21" width="14.5" bestFit="1" customWidth="1"/>
  </cols>
  <sheetData>
    <row r="1" spans="1:21" ht="14" thickBot="1">
      <c r="A1" s="43" t="s">
        <v>1185</v>
      </c>
      <c r="B1" s="44"/>
      <c r="C1" s="44"/>
      <c r="D1" s="44"/>
      <c r="E1" s="44"/>
      <c r="F1" s="44"/>
      <c r="G1" s="44"/>
      <c r="H1" s="44"/>
      <c r="I1" s="44"/>
      <c r="J1" s="45"/>
    </row>
    <row r="2" spans="1:21" ht="12.75" customHeight="1">
      <c r="A2" s="37" t="s">
        <v>1186</v>
      </c>
      <c r="B2" s="38"/>
      <c r="C2" s="38"/>
      <c r="D2" s="38"/>
      <c r="E2" s="38"/>
      <c r="F2" s="38"/>
      <c r="G2" s="38"/>
      <c r="H2" s="38"/>
      <c r="I2" s="38"/>
      <c r="J2" s="39"/>
      <c r="L2" t="s">
        <v>8</v>
      </c>
      <c r="M2" t="s">
        <v>5</v>
      </c>
      <c r="N2" t="s">
        <v>1177</v>
      </c>
      <c r="O2" t="s">
        <v>1131</v>
      </c>
      <c r="P2" t="s">
        <v>1138</v>
      </c>
      <c r="Q2" t="s">
        <v>1132</v>
      </c>
      <c r="R2" t="s">
        <v>1178</v>
      </c>
      <c r="S2" t="s">
        <v>1179</v>
      </c>
      <c r="T2" t="s">
        <v>1180</v>
      </c>
      <c r="U2" t="s">
        <v>1181</v>
      </c>
    </row>
    <row r="3" spans="1:21">
      <c r="A3" s="37"/>
      <c r="B3" s="38"/>
      <c r="C3" s="38"/>
      <c r="D3" s="38"/>
      <c r="E3" s="38"/>
      <c r="F3" s="38"/>
      <c r="G3" s="38"/>
      <c r="H3" s="38"/>
      <c r="I3" s="38"/>
      <c r="J3" s="39"/>
      <c r="L3" t="s">
        <v>93</v>
      </c>
      <c r="M3" t="s">
        <v>497</v>
      </c>
      <c r="N3">
        <v>1</v>
      </c>
      <c r="O3">
        <v>27</v>
      </c>
      <c r="P3">
        <v>27</v>
      </c>
      <c r="Q3">
        <v>103971.06</v>
      </c>
      <c r="R3">
        <v>3850.78</v>
      </c>
      <c r="S3">
        <v>3793</v>
      </c>
      <c r="T3" s="10">
        <v>34582</v>
      </c>
      <c r="U3" s="10">
        <v>35187</v>
      </c>
    </row>
    <row r="4" spans="1:21">
      <c r="A4" s="37"/>
      <c r="B4" s="38"/>
      <c r="C4" s="38"/>
      <c r="D4" s="38"/>
      <c r="E4" s="38"/>
      <c r="F4" s="38"/>
      <c r="G4" s="38"/>
      <c r="H4" s="38"/>
      <c r="I4" s="38"/>
      <c r="J4" s="39"/>
      <c r="L4" t="s">
        <v>443</v>
      </c>
      <c r="M4" t="s">
        <v>442</v>
      </c>
      <c r="N4">
        <v>1</v>
      </c>
      <c r="O4">
        <v>27</v>
      </c>
      <c r="P4">
        <v>27</v>
      </c>
      <c r="Q4">
        <v>88226.08</v>
      </c>
      <c r="R4">
        <v>3267.63</v>
      </c>
      <c r="S4">
        <v>3997</v>
      </c>
      <c r="T4" s="10">
        <v>34563</v>
      </c>
      <c r="U4" s="10">
        <v>35186</v>
      </c>
    </row>
    <row r="5" spans="1:21">
      <c r="A5" s="37"/>
      <c r="B5" s="38"/>
      <c r="C5" s="38"/>
      <c r="D5" s="38"/>
      <c r="E5" s="38"/>
      <c r="F5" s="38"/>
      <c r="G5" s="38"/>
      <c r="H5" s="38"/>
      <c r="I5" s="38"/>
      <c r="J5" s="39"/>
      <c r="L5" t="s">
        <v>26</v>
      </c>
      <c r="M5" t="s">
        <v>596</v>
      </c>
      <c r="N5">
        <v>1</v>
      </c>
      <c r="O5">
        <v>28</v>
      </c>
      <c r="P5">
        <v>28</v>
      </c>
      <c r="Q5">
        <v>85023</v>
      </c>
      <c r="R5">
        <v>3036.54</v>
      </c>
      <c r="S5">
        <v>4273</v>
      </c>
      <c r="T5" s="10">
        <v>34646</v>
      </c>
      <c r="U5" s="10">
        <v>35191</v>
      </c>
    </row>
    <row r="6" spans="1:21">
      <c r="A6" s="37"/>
      <c r="B6" s="38"/>
      <c r="C6" s="38"/>
      <c r="D6" s="38"/>
      <c r="E6" s="38"/>
      <c r="F6" s="38"/>
      <c r="G6" s="38"/>
      <c r="H6" s="38"/>
      <c r="I6" s="38"/>
      <c r="J6" s="39"/>
      <c r="L6" t="s">
        <v>26</v>
      </c>
      <c r="M6" t="s">
        <v>460</v>
      </c>
      <c r="N6">
        <v>1</v>
      </c>
      <c r="O6">
        <v>17</v>
      </c>
      <c r="P6">
        <v>17</v>
      </c>
      <c r="Q6">
        <v>49842.080000000002</v>
      </c>
      <c r="R6">
        <v>2931.89</v>
      </c>
      <c r="S6">
        <v>1311</v>
      </c>
      <c r="T6" s="10">
        <v>34568</v>
      </c>
      <c r="U6" s="10">
        <v>35191</v>
      </c>
    </row>
    <row r="7" spans="1:21">
      <c r="A7" s="37"/>
      <c r="B7" s="38"/>
      <c r="C7" s="38"/>
      <c r="D7" s="38"/>
      <c r="E7" s="38"/>
      <c r="F7" s="38"/>
      <c r="G7" s="38"/>
      <c r="H7" s="38"/>
      <c r="I7" s="38"/>
      <c r="J7" s="39"/>
      <c r="L7" t="s">
        <v>552</v>
      </c>
      <c r="M7" t="s">
        <v>550</v>
      </c>
      <c r="N7">
        <v>1</v>
      </c>
      <c r="O7">
        <v>18</v>
      </c>
      <c r="P7">
        <v>18</v>
      </c>
      <c r="Q7">
        <v>48636.959999999999</v>
      </c>
      <c r="R7">
        <v>2702.05</v>
      </c>
      <c r="S7">
        <v>1584</v>
      </c>
      <c r="T7" s="10">
        <v>34613</v>
      </c>
      <c r="U7" s="10">
        <v>35184</v>
      </c>
    </row>
    <row r="8" spans="1:21">
      <c r="A8" s="37"/>
      <c r="B8" s="38"/>
      <c r="C8" s="38"/>
      <c r="D8" s="38"/>
      <c r="E8" s="38"/>
      <c r="F8" s="38"/>
      <c r="G8" s="38"/>
      <c r="H8" s="38"/>
      <c r="I8" s="38"/>
      <c r="J8" s="39"/>
      <c r="L8" t="s">
        <v>86</v>
      </c>
      <c r="M8" t="s">
        <v>405</v>
      </c>
      <c r="N8">
        <v>3</v>
      </c>
      <c r="O8">
        <v>31</v>
      </c>
      <c r="P8">
        <v>10.33</v>
      </c>
      <c r="Q8">
        <v>47384.98</v>
      </c>
      <c r="R8">
        <v>1528.55</v>
      </c>
      <c r="S8">
        <v>1711</v>
      </c>
      <c r="T8" s="10">
        <v>34554</v>
      </c>
      <c r="U8" s="10">
        <v>35185</v>
      </c>
    </row>
    <row r="9" spans="1:21">
      <c r="A9" s="37"/>
      <c r="B9" s="38"/>
      <c r="C9" s="38"/>
      <c r="D9" s="38"/>
      <c r="E9" s="38"/>
      <c r="F9" s="38"/>
      <c r="G9" s="38"/>
      <c r="H9" s="38"/>
      <c r="I9" s="38"/>
      <c r="J9" s="39"/>
      <c r="L9" t="s">
        <v>18</v>
      </c>
      <c r="M9" t="s">
        <v>16</v>
      </c>
      <c r="N9">
        <v>6</v>
      </c>
      <c r="O9">
        <v>40</v>
      </c>
      <c r="P9">
        <v>6.67</v>
      </c>
      <c r="Q9">
        <v>44263.82</v>
      </c>
      <c r="R9">
        <v>1106.5999999999999</v>
      </c>
      <c r="S9">
        <v>2086</v>
      </c>
      <c r="T9" s="10">
        <v>34603</v>
      </c>
      <c r="U9" s="10">
        <v>35185</v>
      </c>
    </row>
    <row r="10" spans="1:21">
      <c r="A10" s="37"/>
      <c r="B10" s="38"/>
      <c r="C10" s="38"/>
      <c r="D10" s="38"/>
      <c r="E10" s="38"/>
      <c r="F10" s="38"/>
      <c r="G10" s="38"/>
      <c r="H10" s="38"/>
      <c r="I10" s="38"/>
      <c r="J10" s="39"/>
      <c r="L10" t="s">
        <v>86</v>
      </c>
      <c r="M10" t="s">
        <v>1150</v>
      </c>
      <c r="N10">
        <v>4</v>
      </c>
      <c r="O10">
        <v>29</v>
      </c>
      <c r="P10">
        <v>7.25</v>
      </c>
      <c r="Q10">
        <v>38053.629999999997</v>
      </c>
      <c r="R10">
        <v>1312.19</v>
      </c>
      <c r="S10">
        <v>1681</v>
      </c>
      <c r="T10" s="10">
        <v>34604</v>
      </c>
      <c r="U10" s="10">
        <v>35177</v>
      </c>
    </row>
    <row r="11" spans="1:21">
      <c r="A11" s="37"/>
      <c r="B11" s="38"/>
      <c r="C11" s="38"/>
      <c r="D11" s="38"/>
      <c r="E11" s="38"/>
      <c r="F11" s="38"/>
      <c r="G11" s="38"/>
      <c r="H11" s="38"/>
      <c r="I11" s="38"/>
      <c r="J11" s="39"/>
      <c r="L11" t="s">
        <v>192</v>
      </c>
      <c r="M11" t="s">
        <v>1143</v>
      </c>
      <c r="N11">
        <v>1</v>
      </c>
      <c r="O11">
        <v>13</v>
      </c>
      <c r="P11">
        <v>13</v>
      </c>
      <c r="Q11">
        <v>28872.19</v>
      </c>
      <c r="R11">
        <v>2220.94</v>
      </c>
      <c r="S11">
        <v>966</v>
      </c>
      <c r="T11" s="10">
        <v>34655</v>
      </c>
      <c r="U11" s="10">
        <v>35033</v>
      </c>
    </row>
    <row r="12" spans="1:21">
      <c r="A12" s="37"/>
      <c r="B12" s="38"/>
      <c r="C12" s="38"/>
      <c r="D12" s="38"/>
      <c r="E12" s="38"/>
      <c r="F12" s="38"/>
      <c r="G12" s="38"/>
      <c r="H12" s="38"/>
      <c r="I12" s="38"/>
      <c r="J12" s="39"/>
      <c r="L12" t="s">
        <v>79</v>
      </c>
      <c r="M12" t="s">
        <v>1145</v>
      </c>
      <c r="N12">
        <v>1</v>
      </c>
      <c r="O12">
        <v>18</v>
      </c>
      <c r="P12">
        <v>18</v>
      </c>
      <c r="Q12">
        <v>28757.56</v>
      </c>
      <c r="R12">
        <v>1597.64</v>
      </c>
      <c r="S12">
        <v>1184</v>
      </c>
      <c r="T12" s="10">
        <v>34570</v>
      </c>
      <c r="U12" s="10">
        <v>35191</v>
      </c>
    </row>
    <row r="13" spans="1:21">
      <c r="A13" s="37"/>
      <c r="B13" s="38"/>
      <c r="C13" s="38"/>
      <c r="D13" s="38"/>
      <c r="E13" s="38"/>
      <c r="F13" s="38"/>
      <c r="G13" s="38"/>
      <c r="H13" s="38"/>
      <c r="I13" s="38"/>
      <c r="J13" s="39"/>
      <c r="L13" t="s">
        <v>93</v>
      </c>
      <c r="M13" t="s">
        <v>592</v>
      </c>
      <c r="N13">
        <v>1</v>
      </c>
      <c r="O13">
        <v>13</v>
      </c>
      <c r="P13">
        <v>13</v>
      </c>
      <c r="Q13">
        <v>28748.38</v>
      </c>
      <c r="R13">
        <v>2211.41</v>
      </c>
      <c r="S13">
        <v>844</v>
      </c>
      <c r="T13" s="10">
        <v>34645</v>
      </c>
      <c r="U13" s="10">
        <v>35144</v>
      </c>
    </row>
    <row r="14" spans="1:21">
      <c r="A14" s="37"/>
      <c r="B14" s="38"/>
      <c r="C14" s="38"/>
      <c r="D14" s="38"/>
      <c r="E14" s="38"/>
      <c r="F14" s="38"/>
      <c r="G14" s="38"/>
      <c r="H14" s="38"/>
      <c r="I14" s="38"/>
      <c r="J14" s="39"/>
      <c r="L14" t="s">
        <v>79</v>
      </c>
      <c r="M14" t="s">
        <v>1148</v>
      </c>
      <c r="N14">
        <v>1</v>
      </c>
      <c r="O14">
        <v>18</v>
      </c>
      <c r="P14">
        <v>18</v>
      </c>
      <c r="Q14">
        <v>24927.58</v>
      </c>
      <c r="R14">
        <v>1384.87</v>
      </c>
      <c r="S14">
        <v>1001</v>
      </c>
      <c r="T14" s="10">
        <v>34589</v>
      </c>
      <c r="U14" s="10">
        <v>35158</v>
      </c>
    </row>
    <row r="15" spans="1:21">
      <c r="A15" s="37"/>
      <c r="B15" s="38"/>
      <c r="C15" s="38"/>
      <c r="D15" s="38"/>
      <c r="E15" s="38"/>
      <c r="F15" s="38"/>
      <c r="G15" s="38"/>
      <c r="H15" s="38"/>
      <c r="I15" s="38"/>
      <c r="J15" s="39"/>
      <c r="L15" t="s">
        <v>93</v>
      </c>
      <c r="M15" t="s">
        <v>1149</v>
      </c>
      <c r="N15">
        <v>1</v>
      </c>
      <c r="O15">
        <v>14</v>
      </c>
      <c r="P15">
        <v>14</v>
      </c>
      <c r="Q15">
        <v>23831.26</v>
      </c>
      <c r="R15">
        <v>1702.23</v>
      </c>
      <c r="S15">
        <v>1379</v>
      </c>
      <c r="T15" s="10">
        <v>34575</v>
      </c>
      <c r="U15" s="10">
        <v>35159</v>
      </c>
    </row>
    <row r="16" spans="1:21">
      <c r="A16" s="37"/>
      <c r="B16" s="38"/>
      <c r="C16" s="38"/>
      <c r="D16" s="38"/>
      <c r="E16" s="38"/>
      <c r="F16" s="38"/>
      <c r="G16" s="38"/>
      <c r="H16" s="38"/>
      <c r="I16" s="38"/>
      <c r="J16" s="39"/>
      <c r="L16" t="s">
        <v>448</v>
      </c>
      <c r="M16" t="s">
        <v>1162</v>
      </c>
      <c r="N16">
        <v>5</v>
      </c>
      <c r="O16">
        <v>26</v>
      </c>
      <c r="P16">
        <v>5.2</v>
      </c>
      <c r="Q16">
        <v>22922.080000000002</v>
      </c>
      <c r="R16">
        <v>881.62</v>
      </c>
      <c r="S16">
        <v>975</v>
      </c>
      <c r="T16" s="10">
        <v>34564</v>
      </c>
      <c r="U16" s="10">
        <v>35187</v>
      </c>
    </row>
    <row r="17" spans="1:21">
      <c r="A17" s="37"/>
      <c r="B17" s="38"/>
      <c r="C17" s="38"/>
      <c r="D17" s="38"/>
      <c r="E17" s="38"/>
      <c r="F17" s="38"/>
      <c r="G17" s="38"/>
      <c r="H17" s="38"/>
      <c r="I17" s="38"/>
      <c r="J17" s="39"/>
      <c r="L17" t="s">
        <v>417</v>
      </c>
      <c r="M17" t="s">
        <v>415</v>
      </c>
      <c r="N17">
        <v>1</v>
      </c>
      <c r="O17">
        <v>10</v>
      </c>
      <c r="P17">
        <v>10</v>
      </c>
      <c r="Q17">
        <v>21601.68</v>
      </c>
      <c r="R17">
        <v>2160.17</v>
      </c>
      <c r="S17">
        <v>925</v>
      </c>
      <c r="T17" s="10">
        <v>34555</v>
      </c>
      <c r="U17" s="10">
        <v>35160</v>
      </c>
    </row>
    <row r="18" spans="1:21">
      <c r="A18" s="37"/>
      <c r="B18" s="38"/>
      <c r="C18" s="38"/>
      <c r="D18" s="38"/>
      <c r="E18" s="38"/>
      <c r="F18" s="38"/>
      <c r="G18" s="38"/>
      <c r="H18" s="38"/>
      <c r="I18" s="38"/>
      <c r="J18" s="39"/>
      <c r="L18" t="s">
        <v>140</v>
      </c>
      <c r="M18" t="s">
        <v>609</v>
      </c>
      <c r="N18">
        <v>1</v>
      </c>
      <c r="O18">
        <v>16</v>
      </c>
      <c r="P18">
        <v>16</v>
      </c>
      <c r="Q18">
        <v>21170.5</v>
      </c>
      <c r="R18">
        <v>1323.16</v>
      </c>
      <c r="S18">
        <v>930</v>
      </c>
      <c r="T18" s="10">
        <v>34654</v>
      </c>
      <c r="U18" s="10">
        <v>35165</v>
      </c>
    </row>
    <row r="19" spans="1:21">
      <c r="A19" s="37"/>
      <c r="B19" s="38"/>
      <c r="C19" s="38"/>
      <c r="D19" s="38"/>
      <c r="E19" s="38"/>
      <c r="F19" s="38"/>
      <c r="G19" s="38"/>
      <c r="H19" s="38"/>
      <c r="I19" s="38"/>
      <c r="J19" s="39"/>
      <c r="L19" t="s">
        <v>438</v>
      </c>
      <c r="M19" t="s">
        <v>1153</v>
      </c>
      <c r="N19">
        <v>1</v>
      </c>
      <c r="O19">
        <v>17</v>
      </c>
      <c r="P19">
        <v>17</v>
      </c>
      <c r="Q19">
        <v>21041.26</v>
      </c>
      <c r="R19">
        <v>1237.72</v>
      </c>
      <c r="S19">
        <v>1026</v>
      </c>
      <c r="T19" s="10">
        <v>34562</v>
      </c>
      <c r="U19" s="10">
        <v>35179</v>
      </c>
    </row>
    <row r="20" spans="1:21">
      <c r="A20" s="37"/>
      <c r="B20" s="38"/>
      <c r="C20" s="38"/>
      <c r="D20" s="38"/>
      <c r="E20" s="38"/>
      <c r="F20" s="38"/>
      <c r="G20" s="38"/>
      <c r="H20" s="38"/>
      <c r="I20" s="38"/>
      <c r="J20" s="39"/>
      <c r="L20" t="s">
        <v>443</v>
      </c>
      <c r="M20" t="s">
        <v>631</v>
      </c>
      <c r="N20">
        <v>1</v>
      </c>
      <c r="O20">
        <v>9</v>
      </c>
      <c r="P20">
        <v>9</v>
      </c>
      <c r="Q20">
        <v>20073.86</v>
      </c>
      <c r="R20">
        <v>2230.4299999999998</v>
      </c>
      <c r="S20">
        <v>544</v>
      </c>
      <c r="T20" s="10">
        <v>34682</v>
      </c>
      <c r="U20" s="10">
        <v>35116</v>
      </c>
    </row>
    <row r="21" spans="1:21">
      <c r="A21" s="37"/>
      <c r="B21" s="38"/>
      <c r="C21" s="38"/>
      <c r="D21" s="38"/>
      <c r="E21" s="38"/>
      <c r="F21" s="38"/>
      <c r="G21" s="38"/>
      <c r="H21" s="38"/>
      <c r="I21" s="38"/>
      <c r="J21" s="39"/>
      <c r="L21" t="s">
        <v>140</v>
      </c>
      <c r="M21" t="s">
        <v>470</v>
      </c>
      <c r="N21">
        <v>1</v>
      </c>
      <c r="O21">
        <v>11</v>
      </c>
      <c r="P21">
        <v>11</v>
      </c>
      <c r="Q21">
        <v>18534.080000000002</v>
      </c>
      <c r="R21">
        <v>1684.92</v>
      </c>
      <c r="S21">
        <v>666</v>
      </c>
      <c r="T21" s="10">
        <v>34571</v>
      </c>
      <c r="U21" s="10">
        <v>35107</v>
      </c>
    </row>
    <row r="22" spans="1:21">
      <c r="A22" s="37"/>
      <c r="B22" s="38"/>
      <c r="C22" s="38"/>
      <c r="D22" s="38"/>
      <c r="E22" s="38"/>
      <c r="F22" s="38"/>
      <c r="G22" s="38"/>
      <c r="H22" s="38"/>
      <c r="I22" s="38"/>
      <c r="J22" s="39"/>
      <c r="L22" t="s">
        <v>192</v>
      </c>
      <c r="M22" t="s">
        <v>682</v>
      </c>
      <c r="N22">
        <v>1</v>
      </c>
      <c r="O22">
        <v>11</v>
      </c>
      <c r="P22">
        <v>11</v>
      </c>
      <c r="Q22">
        <v>18089.38</v>
      </c>
      <c r="R22">
        <v>1644.49</v>
      </c>
      <c r="S22">
        <v>824</v>
      </c>
      <c r="T22" s="10">
        <v>34719</v>
      </c>
      <c r="U22" s="10">
        <v>35181</v>
      </c>
    </row>
    <row r="23" spans="1:21">
      <c r="A23" s="37"/>
      <c r="B23" s="38"/>
      <c r="C23" s="38"/>
      <c r="D23" s="38"/>
      <c r="E23" s="38"/>
      <c r="F23" s="38"/>
      <c r="G23" s="38"/>
      <c r="H23" s="38"/>
      <c r="I23" s="38"/>
      <c r="J23" s="39"/>
      <c r="L23" t="s">
        <v>26</v>
      </c>
      <c r="M23" t="s">
        <v>738</v>
      </c>
      <c r="N23">
        <v>1</v>
      </c>
      <c r="O23">
        <v>9</v>
      </c>
      <c r="P23">
        <v>9</v>
      </c>
      <c r="Q23">
        <v>17797.45</v>
      </c>
      <c r="R23">
        <v>1977.49</v>
      </c>
      <c r="S23">
        <v>310</v>
      </c>
      <c r="T23" s="10">
        <v>34856</v>
      </c>
      <c r="U23" s="10">
        <v>35192</v>
      </c>
    </row>
    <row r="24" spans="1:21">
      <c r="A24" s="37"/>
      <c r="B24" s="38"/>
      <c r="C24" s="38"/>
      <c r="D24" s="38"/>
      <c r="E24" s="38"/>
      <c r="F24" s="38"/>
      <c r="G24" s="38"/>
      <c r="H24" s="38"/>
      <c r="I24" s="38"/>
      <c r="J24" s="39"/>
      <c r="L24" t="s">
        <v>93</v>
      </c>
      <c r="M24" t="s">
        <v>517</v>
      </c>
      <c r="N24">
        <v>1</v>
      </c>
      <c r="O24">
        <v>14</v>
      </c>
      <c r="P24">
        <v>14</v>
      </c>
      <c r="Q24">
        <v>17631.439999999999</v>
      </c>
      <c r="R24">
        <v>1259.3900000000001</v>
      </c>
      <c r="S24">
        <v>684</v>
      </c>
      <c r="T24" s="10">
        <v>34590</v>
      </c>
      <c r="U24" s="10">
        <v>35163</v>
      </c>
    </row>
    <row r="25" spans="1:21" ht="14" thickBot="1">
      <c r="A25" s="40"/>
      <c r="B25" s="41"/>
      <c r="C25" s="41"/>
      <c r="D25" s="41"/>
      <c r="E25" s="41"/>
      <c r="F25" s="41"/>
      <c r="G25" s="41"/>
      <c r="H25" s="41"/>
      <c r="I25" s="41"/>
      <c r="J25" s="42"/>
      <c r="L25" t="s">
        <v>26</v>
      </c>
      <c r="M25" t="s">
        <v>487</v>
      </c>
      <c r="N25">
        <v>1</v>
      </c>
      <c r="O25">
        <v>12</v>
      </c>
      <c r="P25">
        <v>12</v>
      </c>
      <c r="Q25">
        <v>17532.36</v>
      </c>
      <c r="R25">
        <v>1461.03</v>
      </c>
      <c r="S25">
        <v>893</v>
      </c>
      <c r="T25" s="10">
        <v>34577</v>
      </c>
      <c r="U25" s="10">
        <v>35150</v>
      </c>
    </row>
    <row r="26" spans="1:21">
      <c r="L26" t="s">
        <v>161</v>
      </c>
      <c r="M26" t="s">
        <v>1155</v>
      </c>
      <c r="N26">
        <v>1</v>
      </c>
      <c r="O26">
        <v>6</v>
      </c>
      <c r="P26">
        <v>6</v>
      </c>
      <c r="Q26">
        <v>16585.009999999998</v>
      </c>
      <c r="R26">
        <v>2764.17</v>
      </c>
      <c r="S26">
        <v>364</v>
      </c>
      <c r="T26" s="10">
        <v>34667</v>
      </c>
      <c r="U26" s="10">
        <v>35093</v>
      </c>
    </row>
    <row r="27" spans="1:21">
      <c r="L27" t="s">
        <v>161</v>
      </c>
      <c r="M27" t="s">
        <v>1157</v>
      </c>
      <c r="N27">
        <v>1</v>
      </c>
      <c r="O27">
        <v>11</v>
      </c>
      <c r="P27">
        <v>11</v>
      </c>
      <c r="Q27">
        <v>15843.92</v>
      </c>
      <c r="R27">
        <v>1440.36</v>
      </c>
      <c r="S27">
        <v>792</v>
      </c>
      <c r="T27" s="10">
        <v>34697</v>
      </c>
      <c r="U27" s="10">
        <v>35187</v>
      </c>
    </row>
    <row r="28" spans="1:21">
      <c r="L28" t="s">
        <v>422</v>
      </c>
      <c r="M28" t="s">
        <v>1158</v>
      </c>
      <c r="N28">
        <v>1</v>
      </c>
      <c r="O28">
        <v>8</v>
      </c>
      <c r="P28">
        <v>8</v>
      </c>
      <c r="Q28">
        <v>15612.88</v>
      </c>
      <c r="R28">
        <v>1951.61</v>
      </c>
      <c r="S28">
        <v>662</v>
      </c>
      <c r="T28" s="10">
        <v>34558</v>
      </c>
      <c r="U28" s="10">
        <v>35170</v>
      </c>
    </row>
    <row r="29" spans="1:21">
      <c r="L29" t="s">
        <v>438</v>
      </c>
      <c r="M29" t="s">
        <v>525</v>
      </c>
      <c r="N29">
        <v>1</v>
      </c>
      <c r="O29">
        <v>12</v>
      </c>
      <c r="P29">
        <v>12</v>
      </c>
      <c r="Q29">
        <v>15402.68</v>
      </c>
      <c r="R29">
        <v>1283.56</v>
      </c>
      <c r="S29">
        <v>787</v>
      </c>
      <c r="T29" s="10">
        <v>34593</v>
      </c>
      <c r="U29" s="10">
        <v>35188</v>
      </c>
    </row>
    <row r="30" spans="1:21">
      <c r="L30" t="s">
        <v>176</v>
      </c>
      <c r="M30" t="s">
        <v>474</v>
      </c>
      <c r="N30">
        <v>1</v>
      </c>
      <c r="O30">
        <v>14</v>
      </c>
      <c r="P30">
        <v>14</v>
      </c>
      <c r="Q30">
        <v>15378.7</v>
      </c>
      <c r="R30">
        <v>1098.48</v>
      </c>
      <c r="S30">
        <v>707</v>
      </c>
      <c r="T30" s="10">
        <v>34572</v>
      </c>
      <c r="U30" s="10">
        <v>35081</v>
      </c>
    </row>
    <row r="31" spans="1:21">
      <c r="L31" t="s">
        <v>26</v>
      </c>
      <c r="M31" t="s">
        <v>564</v>
      </c>
      <c r="N31">
        <v>1</v>
      </c>
      <c r="O31">
        <v>9</v>
      </c>
      <c r="P31">
        <v>9</v>
      </c>
      <c r="Q31">
        <v>14638.06</v>
      </c>
      <c r="R31">
        <v>1626.45</v>
      </c>
      <c r="S31">
        <v>570</v>
      </c>
      <c r="T31" s="10">
        <v>34621</v>
      </c>
      <c r="U31" s="10">
        <v>35174</v>
      </c>
    </row>
    <row r="32" spans="1:21">
      <c r="L32" t="s">
        <v>438</v>
      </c>
      <c r="M32" t="s">
        <v>688</v>
      </c>
      <c r="N32">
        <v>1</v>
      </c>
      <c r="O32">
        <v>10</v>
      </c>
      <c r="P32">
        <v>10</v>
      </c>
      <c r="Q32">
        <v>13143.38</v>
      </c>
      <c r="R32">
        <v>1314.34</v>
      </c>
      <c r="S32">
        <v>810</v>
      </c>
      <c r="T32" s="10">
        <v>34736</v>
      </c>
      <c r="U32" s="10">
        <v>35171</v>
      </c>
    </row>
    <row r="33" spans="12:21">
      <c r="L33" t="s">
        <v>93</v>
      </c>
      <c r="M33" t="s">
        <v>1160</v>
      </c>
      <c r="N33">
        <v>1</v>
      </c>
      <c r="O33">
        <v>9</v>
      </c>
      <c r="P33">
        <v>9</v>
      </c>
      <c r="Q33">
        <v>11863.8</v>
      </c>
      <c r="R33">
        <v>1318.2</v>
      </c>
      <c r="S33">
        <v>615</v>
      </c>
      <c r="T33" s="10">
        <v>34565</v>
      </c>
      <c r="U33" s="10">
        <v>35188</v>
      </c>
    </row>
    <row r="34" spans="12:21">
      <c r="L34" t="s">
        <v>140</v>
      </c>
      <c r="M34" t="s">
        <v>693</v>
      </c>
      <c r="N34">
        <v>1</v>
      </c>
      <c r="O34">
        <v>5</v>
      </c>
      <c r="P34">
        <v>5</v>
      </c>
      <c r="Q34">
        <v>11666.9</v>
      </c>
      <c r="R34">
        <v>2333.38</v>
      </c>
      <c r="S34">
        <v>354</v>
      </c>
      <c r="T34" s="10">
        <v>34738</v>
      </c>
      <c r="U34" s="10">
        <v>35086</v>
      </c>
    </row>
    <row r="35" spans="12:21">
      <c r="L35" t="s">
        <v>605</v>
      </c>
      <c r="M35" t="s">
        <v>604</v>
      </c>
      <c r="N35">
        <v>2</v>
      </c>
      <c r="O35">
        <v>13</v>
      </c>
      <c r="P35">
        <v>6.5</v>
      </c>
      <c r="Q35">
        <v>11472.36</v>
      </c>
      <c r="R35">
        <v>882.49</v>
      </c>
      <c r="S35">
        <v>533</v>
      </c>
      <c r="T35" s="10">
        <v>34652</v>
      </c>
      <c r="U35" s="10">
        <v>35193</v>
      </c>
    </row>
    <row r="36" spans="12:21">
      <c r="L36" t="s">
        <v>26</v>
      </c>
      <c r="M36" t="s">
        <v>492</v>
      </c>
      <c r="N36">
        <v>1</v>
      </c>
      <c r="O36">
        <v>9</v>
      </c>
      <c r="P36">
        <v>9</v>
      </c>
      <c r="Q36">
        <v>11441.63</v>
      </c>
      <c r="R36">
        <v>1271.29</v>
      </c>
      <c r="S36">
        <v>327</v>
      </c>
      <c r="T36" s="10">
        <v>34578</v>
      </c>
      <c r="U36" s="10">
        <v>35179</v>
      </c>
    </row>
    <row r="37" spans="12:21">
      <c r="L37" t="s">
        <v>50</v>
      </c>
      <c r="M37" t="s">
        <v>560</v>
      </c>
      <c r="N37">
        <v>1</v>
      </c>
      <c r="O37">
        <v>8</v>
      </c>
      <c r="P37">
        <v>8</v>
      </c>
      <c r="Q37">
        <v>10769.86</v>
      </c>
      <c r="R37">
        <v>1346.23</v>
      </c>
      <c r="S37">
        <v>352</v>
      </c>
      <c r="T37" s="10">
        <v>34619</v>
      </c>
      <c r="U37" s="10">
        <v>35167</v>
      </c>
    </row>
    <row r="38" spans="12:21">
      <c r="L38" t="s">
        <v>417</v>
      </c>
      <c r="M38" t="s">
        <v>742</v>
      </c>
      <c r="N38">
        <v>1</v>
      </c>
      <c r="O38">
        <v>7</v>
      </c>
      <c r="P38">
        <v>7</v>
      </c>
      <c r="Q38">
        <v>9736.08</v>
      </c>
      <c r="R38">
        <v>1390.87</v>
      </c>
      <c r="S38">
        <v>320</v>
      </c>
      <c r="T38" s="10">
        <v>34857</v>
      </c>
      <c r="U38" s="10">
        <v>35192</v>
      </c>
    </row>
    <row r="39" spans="12:21">
      <c r="L39" t="s">
        <v>140</v>
      </c>
      <c r="M39" t="s">
        <v>627</v>
      </c>
      <c r="N39">
        <v>1</v>
      </c>
      <c r="O39">
        <v>13</v>
      </c>
      <c r="P39">
        <v>13</v>
      </c>
      <c r="Q39">
        <v>9292.2000000000007</v>
      </c>
      <c r="R39">
        <v>714.78</v>
      </c>
      <c r="S39">
        <v>432</v>
      </c>
      <c r="T39" s="10">
        <v>34680</v>
      </c>
      <c r="U39" s="10">
        <v>35157</v>
      </c>
    </row>
    <row r="40" spans="12:21">
      <c r="L40" t="s">
        <v>422</v>
      </c>
      <c r="M40" t="s">
        <v>421</v>
      </c>
      <c r="N40">
        <v>1</v>
      </c>
      <c r="O40">
        <v>6</v>
      </c>
      <c r="P40">
        <v>6</v>
      </c>
      <c r="Q40">
        <v>9289.08</v>
      </c>
      <c r="R40">
        <v>1548.18</v>
      </c>
      <c r="S40">
        <v>373</v>
      </c>
      <c r="T40" s="10">
        <v>34557</v>
      </c>
      <c r="U40" s="10">
        <v>35174</v>
      </c>
    </row>
    <row r="41" spans="12:21">
      <c r="L41" t="s">
        <v>140</v>
      </c>
      <c r="M41" t="s">
        <v>411</v>
      </c>
      <c r="N41">
        <v>1</v>
      </c>
      <c r="O41">
        <v>10</v>
      </c>
      <c r="P41">
        <v>10</v>
      </c>
      <c r="Q41">
        <v>9182.43</v>
      </c>
      <c r="R41">
        <v>918.24</v>
      </c>
      <c r="S41">
        <v>434</v>
      </c>
      <c r="T41" s="10">
        <v>34554</v>
      </c>
      <c r="U41" s="10">
        <v>35118</v>
      </c>
    </row>
    <row r="42" spans="12:21">
      <c r="L42" t="s">
        <v>86</v>
      </c>
      <c r="M42" t="s">
        <v>706</v>
      </c>
      <c r="N42">
        <v>1</v>
      </c>
      <c r="O42">
        <v>8</v>
      </c>
      <c r="P42">
        <v>8</v>
      </c>
      <c r="Q42">
        <v>8140.54</v>
      </c>
      <c r="R42">
        <v>1017.57</v>
      </c>
      <c r="S42">
        <v>301</v>
      </c>
      <c r="T42" s="10">
        <v>34753</v>
      </c>
      <c r="U42" s="10">
        <v>35172</v>
      </c>
    </row>
    <row r="43" spans="12:21">
      <c r="L43" t="s">
        <v>93</v>
      </c>
      <c r="M43" t="s">
        <v>556</v>
      </c>
      <c r="N43">
        <v>1</v>
      </c>
      <c r="O43">
        <v>9</v>
      </c>
      <c r="P43">
        <v>9</v>
      </c>
      <c r="Q43">
        <v>8102.62</v>
      </c>
      <c r="R43">
        <v>900.29</v>
      </c>
      <c r="S43">
        <v>439</v>
      </c>
      <c r="T43" s="10">
        <v>34617</v>
      </c>
      <c r="U43" s="10">
        <v>34988</v>
      </c>
    </row>
    <row r="44" spans="12:21">
      <c r="L44" t="s">
        <v>698</v>
      </c>
      <c r="M44" t="s">
        <v>697</v>
      </c>
      <c r="N44">
        <v>3</v>
      </c>
      <c r="O44">
        <v>14</v>
      </c>
      <c r="P44">
        <v>4.67</v>
      </c>
      <c r="Q44">
        <v>7738.1</v>
      </c>
      <c r="R44">
        <v>552.72</v>
      </c>
      <c r="S44">
        <v>304</v>
      </c>
      <c r="T44" s="10">
        <v>34739</v>
      </c>
      <c r="U44" s="10">
        <v>35184</v>
      </c>
    </row>
    <row r="45" spans="12:21">
      <c r="L45" t="s">
        <v>113</v>
      </c>
      <c r="M45" t="s">
        <v>501</v>
      </c>
      <c r="N45">
        <v>1</v>
      </c>
      <c r="O45">
        <v>10</v>
      </c>
      <c r="P45">
        <v>10</v>
      </c>
      <c r="Q45">
        <v>7176.22</v>
      </c>
      <c r="R45">
        <v>717.62</v>
      </c>
      <c r="S45">
        <v>433</v>
      </c>
      <c r="T45" s="10">
        <v>34584</v>
      </c>
      <c r="U45" s="10">
        <v>35170</v>
      </c>
    </row>
    <row r="46" spans="12:21">
      <c r="L46" t="s">
        <v>18</v>
      </c>
      <c r="M46" t="s">
        <v>583</v>
      </c>
      <c r="N46">
        <v>1</v>
      </c>
      <c r="O46">
        <v>10</v>
      </c>
      <c r="P46">
        <v>10</v>
      </c>
      <c r="Q46">
        <v>6146.3</v>
      </c>
      <c r="R46">
        <v>614.63</v>
      </c>
      <c r="S46">
        <v>295</v>
      </c>
      <c r="T46" s="10">
        <v>34634</v>
      </c>
      <c r="U46" s="10">
        <v>35160</v>
      </c>
    </row>
    <row r="47" spans="12:21">
      <c r="L47" t="s">
        <v>86</v>
      </c>
      <c r="M47" t="s">
        <v>430</v>
      </c>
      <c r="N47">
        <v>1</v>
      </c>
      <c r="O47">
        <v>9</v>
      </c>
      <c r="P47">
        <v>9</v>
      </c>
      <c r="Q47">
        <v>6068.2</v>
      </c>
      <c r="R47">
        <v>674.24</v>
      </c>
      <c r="S47">
        <v>267</v>
      </c>
      <c r="T47" s="10">
        <v>34561</v>
      </c>
      <c r="U47" s="10">
        <v>35163</v>
      </c>
    </row>
    <row r="48" spans="12:21">
      <c r="L48" t="s">
        <v>26</v>
      </c>
      <c r="M48" t="s">
        <v>569</v>
      </c>
      <c r="N48">
        <v>2</v>
      </c>
      <c r="O48">
        <v>11</v>
      </c>
      <c r="P48">
        <v>5.5</v>
      </c>
      <c r="Q48">
        <v>6044.6</v>
      </c>
      <c r="R48">
        <v>549.51</v>
      </c>
      <c r="S48">
        <v>145</v>
      </c>
      <c r="T48" s="10">
        <v>34625</v>
      </c>
      <c r="U48" s="10">
        <v>35186</v>
      </c>
    </row>
    <row r="49" spans="12:21">
      <c r="L49" t="s">
        <v>113</v>
      </c>
      <c r="M49" t="s">
        <v>534</v>
      </c>
      <c r="N49">
        <v>1</v>
      </c>
      <c r="O49">
        <v>10</v>
      </c>
      <c r="P49">
        <v>10</v>
      </c>
      <c r="Q49">
        <v>5996.84</v>
      </c>
      <c r="R49">
        <v>599.67999999999995</v>
      </c>
      <c r="S49">
        <v>283</v>
      </c>
      <c r="T49" s="10">
        <v>34600</v>
      </c>
      <c r="U49" s="10">
        <v>35165</v>
      </c>
    </row>
    <row r="50" spans="12:21">
      <c r="L50" t="s">
        <v>50</v>
      </c>
      <c r="M50" t="s">
        <v>521</v>
      </c>
      <c r="N50">
        <v>2</v>
      </c>
      <c r="O50">
        <v>7</v>
      </c>
      <c r="P50">
        <v>3.5</v>
      </c>
      <c r="Q50">
        <v>5339.14</v>
      </c>
      <c r="R50">
        <v>762.73</v>
      </c>
      <c r="S50">
        <v>245</v>
      </c>
      <c r="T50" s="10">
        <v>34591</v>
      </c>
      <c r="U50" s="10">
        <v>35178</v>
      </c>
    </row>
    <row r="51" spans="12:21">
      <c r="L51" t="s">
        <v>121</v>
      </c>
      <c r="M51" t="s">
        <v>678</v>
      </c>
      <c r="N51">
        <v>1</v>
      </c>
      <c r="O51">
        <v>5</v>
      </c>
      <c r="P51">
        <v>5</v>
      </c>
      <c r="Q51">
        <v>5112.8</v>
      </c>
      <c r="R51">
        <v>1022.56</v>
      </c>
      <c r="S51">
        <v>128</v>
      </c>
      <c r="T51" s="10">
        <v>34717</v>
      </c>
      <c r="U51" s="10">
        <v>35152</v>
      </c>
    </row>
    <row r="52" spans="12:21">
      <c r="L52" t="s">
        <v>93</v>
      </c>
      <c r="M52" t="s">
        <v>508</v>
      </c>
      <c r="N52">
        <v>1</v>
      </c>
      <c r="O52">
        <v>5</v>
      </c>
      <c r="P52">
        <v>5</v>
      </c>
      <c r="Q52">
        <v>5042.2</v>
      </c>
      <c r="R52">
        <v>1008.44</v>
      </c>
      <c r="S52">
        <v>172</v>
      </c>
      <c r="T52" s="10">
        <v>34586</v>
      </c>
      <c r="U52" s="10">
        <v>35166</v>
      </c>
    </row>
    <row r="53" spans="12:21">
      <c r="L53" t="s">
        <v>140</v>
      </c>
      <c r="M53" t="s">
        <v>579</v>
      </c>
      <c r="N53">
        <v>2</v>
      </c>
      <c r="O53">
        <v>7</v>
      </c>
      <c r="P53">
        <v>3.5</v>
      </c>
      <c r="Q53">
        <v>4788.0600000000004</v>
      </c>
      <c r="R53">
        <v>684.01</v>
      </c>
      <c r="S53">
        <v>149</v>
      </c>
      <c r="T53" s="10">
        <v>34628</v>
      </c>
      <c r="U53" s="10">
        <v>35178</v>
      </c>
    </row>
    <row r="54" spans="12:21">
      <c r="L54" t="s">
        <v>93</v>
      </c>
      <c r="M54" t="s">
        <v>1168</v>
      </c>
      <c r="N54">
        <v>1</v>
      </c>
      <c r="O54">
        <v>6</v>
      </c>
      <c r="P54">
        <v>6</v>
      </c>
      <c r="Q54">
        <v>4778.1400000000003</v>
      </c>
      <c r="R54">
        <v>796.36</v>
      </c>
      <c r="S54">
        <v>253</v>
      </c>
      <c r="T54" s="10">
        <v>34551</v>
      </c>
      <c r="U54" s="10">
        <v>35177</v>
      </c>
    </row>
    <row r="55" spans="12:21">
      <c r="L55" t="s">
        <v>93</v>
      </c>
      <c r="M55" t="s">
        <v>92</v>
      </c>
      <c r="N55">
        <v>1</v>
      </c>
      <c r="O55">
        <v>5</v>
      </c>
      <c r="P55">
        <v>5</v>
      </c>
      <c r="Q55">
        <v>3339.5</v>
      </c>
      <c r="R55">
        <v>667.9</v>
      </c>
      <c r="S55">
        <v>114</v>
      </c>
      <c r="T55" s="10">
        <v>34967</v>
      </c>
      <c r="U55" s="10">
        <v>35170</v>
      </c>
    </row>
    <row r="56" spans="12:21">
      <c r="L56" t="s">
        <v>176</v>
      </c>
      <c r="M56" t="s">
        <v>756</v>
      </c>
      <c r="N56">
        <v>1</v>
      </c>
      <c r="O56">
        <v>7</v>
      </c>
      <c r="P56">
        <v>7</v>
      </c>
      <c r="Q56">
        <v>3161.35</v>
      </c>
      <c r="R56">
        <v>451.62</v>
      </c>
      <c r="S56">
        <v>148</v>
      </c>
      <c r="T56" s="10">
        <v>34941</v>
      </c>
      <c r="U56" s="10">
        <v>35192</v>
      </c>
    </row>
    <row r="57" spans="12:21">
      <c r="L57" t="s">
        <v>26</v>
      </c>
      <c r="M57" t="s">
        <v>751</v>
      </c>
      <c r="N57">
        <v>1</v>
      </c>
      <c r="O57">
        <v>4</v>
      </c>
      <c r="P57">
        <v>4</v>
      </c>
      <c r="Q57">
        <v>3076.47</v>
      </c>
      <c r="R57">
        <v>769.12</v>
      </c>
      <c r="S57">
        <v>181</v>
      </c>
      <c r="T57" s="10">
        <v>34906</v>
      </c>
      <c r="U57" s="10">
        <v>35138</v>
      </c>
    </row>
    <row r="58" spans="12:21">
      <c r="L58" t="s">
        <v>26</v>
      </c>
      <c r="M58" t="s">
        <v>674</v>
      </c>
      <c r="N58">
        <v>1</v>
      </c>
      <c r="O58">
        <v>5</v>
      </c>
      <c r="P58">
        <v>5</v>
      </c>
      <c r="Q58">
        <v>3063.2</v>
      </c>
      <c r="R58">
        <v>612.64</v>
      </c>
      <c r="S58">
        <v>122</v>
      </c>
      <c r="T58" s="10">
        <v>34705</v>
      </c>
      <c r="U58" s="10">
        <v>34981</v>
      </c>
    </row>
    <row r="59" spans="12:21">
      <c r="L59" t="s">
        <v>670</v>
      </c>
      <c r="M59" t="s">
        <v>668</v>
      </c>
      <c r="N59">
        <v>1</v>
      </c>
      <c r="O59">
        <v>6</v>
      </c>
      <c r="P59">
        <v>6</v>
      </c>
      <c r="Q59">
        <v>2940.35</v>
      </c>
      <c r="R59">
        <v>490.06</v>
      </c>
      <c r="S59">
        <v>193</v>
      </c>
      <c r="T59" s="10">
        <v>34704</v>
      </c>
      <c r="U59" s="10">
        <v>35188</v>
      </c>
    </row>
    <row r="60" spans="12:21">
      <c r="L60" t="s">
        <v>93</v>
      </c>
      <c r="M60" t="s">
        <v>727</v>
      </c>
      <c r="N60">
        <v>1</v>
      </c>
      <c r="O60">
        <v>6</v>
      </c>
      <c r="P60">
        <v>6</v>
      </c>
      <c r="Q60">
        <v>2381.8000000000002</v>
      </c>
      <c r="R60">
        <v>396.97</v>
      </c>
      <c r="S60">
        <v>112</v>
      </c>
      <c r="T60" s="10">
        <v>34829</v>
      </c>
      <c r="U60" s="10">
        <v>35171</v>
      </c>
    </row>
    <row r="61" spans="12:21">
      <c r="L61" t="s">
        <v>140</v>
      </c>
      <c r="M61" t="s">
        <v>139</v>
      </c>
      <c r="N61">
        <v>1</v>
      </c>
      <c r="O61">
        <v>3</v>
      </c>
      <c r="P61">
        <v>3</v>
      </c>
      <c r="Q61">
        <v>2213.35</v>
      </c>
      <c r="R61">
        <v>737.78</v>
      </c>
      <c r="S61">
        <v>38</v>
      </c>
      <c r="T61" s="10">
        <v>35046</v>
      </c>
      <c r="U61" s="10">
        <v>35174</v>
      </c>
    </row>
    <row r="62" spans="12:21">
      <c r="L62" t="s">
        <v>140</v>
      </c>
      <c r="M62" t="s">
        <v>775</v>
      </c>
      <c r="N62">
        <v>1</v>
      </c>
      <c r="O62">
        <v>4</v>
      </c>
      <c r="P62">
        <v>4</v>
      </c>
      <c r="Q62">
        <v>1992.05</v>
      </c>
      <c r="R62">
        <v>498.01</v>
      </c>
      <c r="S62">
        <v>83</v>
      </c>
      <c r="T62" s="10">
        <v>35124</v>
      </c>
      <c r="U62" s="10">
        <v>35178</v>
      </c>
    </row>
    <row r="63" spans="12:21">
      <c r="L63" t="s">
        <v>93</v>
      </c>
      <c r="M63" t="s">
        <v>645</v>
      </c>
      <c r="N63">
        <v>1</v>
      </c>
      <c r="O63">
        <v>4</v>
      </c>
      <c r="P63">
        <v>4</v>
      </c>
      <c r="Q63">
        <v>1984.36</v>
      </c>
      <c r="R63">
        <v>496.09</v>
      </c>
      <c r="S63">
        <v>114</v>
      </c>
      <c r="T63" s="10">
        <v>34695</v>
      </c>
      <c r="U63" s="10">
        <v>35104</v>
      </c>
    </row>
    <row r="64" spans="12:21">
      <c r="L64" t="s">
        <v>26</v>
      </c>
      <c r="M64" t="s">
        <v>760</v>
      </c>
      <c r="N64">
        <v>1</v>
      </c>
      <c r="O64">
        <v>3</v>
      </c>
      <c r="P64">
        <v>3</v>
      </c>
      <c r="Q64">
        <v>1947.24</v>
      </c>
      <c r="R64">
        <v>649.08000000000004</v>
      </c>
      <c r="S64">
        <v>59</v>
      </c>
      <c r="T64" s="10">
        <v>34949</v>
      </c>
      <c r="U64" s="10">
        <v>35191</v>
      </c>
    </row>
    <row r="65" spans="12:21">
      <c r="L65" t="s">
        <v>26</v>
      </c>
      <c r="M65" t="s">
        <v>747</v>
      </c>
      <c r="N65">
        <v>1</v>
      </c>
      <c r="O65">
        <v>3</v>
      </c>
      <c r="P65">
        <v>3</v>
      </c>
      <c r="Q65">
        <v>1571.2</v>
      </c>
      <c r="R65">
        <v>523.73</v>
      </c>
      <c r="S65">
        <v>89</v>
      </c>
      <c r="T65" s="10">
        <v>34900</v>
      </c>
      <c r="U65" s="10">
        <v>35103</v>
      </c>
    </row>
    <row r="66" spans="12:21">
      <c r="L66" t="s">
        <v>438</v>
      </c>
      <c r="M66" t="s">
        <v>482</v>
      </c>
      <c r="N66">
        <v>1</v>
      </c>
      <c r="O66">
        <v>2</v>
      </c>
      <c r="P66">
        <v>2</v>
      </c>
      <c r="Q66">
        <v>1488.7</v>
      </c>
      <c r="R66">
        <v>744.35</v>
      </c>
      <c r="S66">
        <v>34</v>
      </c>
      <c r="T66" s="10">
        <v>34576</v>
      </c>
      <c r="U66" s="10">
        <v>35082</v>
      </c>
    </row>
    <row r="67" spans="12:21">
      <c r="L67" t="s">
        <v>140</v>
      </c>
      <c r="M67" t="s">
        <v>397</v>
      </c>
      <c r="N67">
        <v>1</v>
      </c>
      <c r="O67">
        <v>5</v>
      </c>
      <c r="P67">
        <v>5</v>
      </c>
      <c r="Q67">
        <v>1480</v>
      </c>
      <c r="R67">
        <v>296</v>
      </c>
      <c r="S67">
        <v>98</v>
      </c>
      <c r="T67" s="10">
        <v>34550</v>
      </c>
      <c r="U67" s="10">
        <v>35046</v>
      </c>
    </row>
    <row r="68" spans="12:21">
      <c r="L68" t="s">
        <v>50</v>
      </c>
      <c r="M68" t="s">
        <v>656</v>
      </c>
      <c r="N68">
        <v>1</v>
      </c>
      <c r="O68">
        <v>5</v>
      </c>
      <c r="P68">
        <v>5</v>
      </c>
      <c r="Q68">
        <v>836.7</v>
      </c>
      <c r="R68">
        <v>167.34</v>
      </c>
      <c r="S68">
        <v>42</v>
      </c>
      <c r="T68" s="10">
        <v>34697</v>
      </c>
      <c r="U68" s="10">
        <v>35159</v>
      </c>
    </row>
    <row r="69" spans="12:21">
      <c r="L69" t="s">
        <v>192</v>
      </c>
      <c r="M69" t="s">
        <v>722</v>
      </c>
      <c r="N69">
        <v>1</v>
      </c>
      <c r="O69">
        <v>3</v>
      </c>
      <c r="P69">
        <v>3</v>
      </c>
      <c r="Q69">
        <v>522.5</v>
      </c>
      <c r="R69">
        <v>174.17</v>
      </c>
      <c r="S69">
        <v>62</v>
      </c>
      <c r="T69" s="10">
        <v>34823</v>
      </c>
      <c r="U69" s="10">
        <v>35096</v>
      </c>
    </row>
    <row r="70" spans="12:21">
      <c r="L70" t="s">
        <v>26</v>
      </c>
      <c r="M70" t="s">
        <v>718</v>
      </c>
      <c r="N70">
        <v>1</v>
      </c>
      <c r="O70">
        <v>2</v>
      </c>
      <c r="P70">
        <v>2</v>
      </c>
      <c r="Q70">
        <v>357</v>
      </c>
      <c r="R70">
        <v>178.5</v>
      </c>
      <c r="S70">
        <v>20</v>
      </c>
      <c r="T70" s="10">
        <v>34810</v>
      </c>
      <c r="U70" s="10">
        <v>34872</v>
      </c>
    </row>
    <row r="71" spans="12:21">
      <c r="L71" t="s">
        <v>113</v>
      </c>
      <c r="M71" t="s">
        <v>702</v>
      </c>
      <c r="N71">
        <v>1</v>
      </c>
      <c r="O71">
        <v>4</v>
      </c>
      <c r="P71">
        <v>4</v>
      </c>
      <c r="Q71">
        <v>249.7</v>
      </c>
      <c r="R71">
        <v>62.42</v>
      </c>
      <c r="S71">
        <v>22</v>
      </c>
      <c r="T71" s="10">
        <v>34752</v>
      </c>
      <c r="U71" s="10">
        <v>35095</v>
      </c>
    </row>
  </sheetData>
  <mergeCells count="2">
    <mergeCell ref="A2:J25"/>
    <mergeCell ref="A1:J1"/>
  </mergeCells>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4B4239-D6A8-485C-862C-012AAE03E07A}">
  <dimension ref="A1:I90"/>
  <sheetViews>
    <sheetView workbookViewId="0">
      <selection activeCell="D93" sqref="D93"/>
    </sheetView>
  </sheetViews>
  <sheetFormatPr baseColWidth="10" defaultColWidth="8.83203125" defaultRowHeight="13"/>
  <cols>
    <col min="1" max="1" width="13.6640625" bestFit="1" customWidth="1"/>
    <col min="2" max="2" width="31.5" bestFit="1" customWidth="1"/>
    <col min="3" max="3" width="10.5" bestFit="1" customWidth="1"/>
    <col min="4" max="4" width="14.1640625" bestFit="1" customWidth="1"/>
    <col min="5" max="5" width="13.6640625" bestFit="1" customWidth="1"/>
    <col min="6" max="6" width="18.5" bestFit="1" customWidth="1"/>
    <col min="7" max="7" width="23.5" bestFit="1" customWidth="1"/>
    <col min="8" max="8" width="20.83203125" bestFit="1" customWidth="1"/>
    <col min="9" max="9" width="15.6640625" bestFit="1" customWidth="1"/>
  </cols>
  <sheetData>
    <row r="1" spans="1:9">
      <c r="A1" t="s">
        <v>381</v>
      </c>
      <c r="B1" t="s">
        <v>1</v>
      </c>
      <c r="C1" t="s">
        <v>8</v>
      </c>
      <c r="D1" t="s">
        <v>1187</v>
      </c>
      <c r="E1" t="s">
        <v>1188</v>
      </c>
      <c r="F1" t="s">
        <v>1133</v>
      </c>
      <c r="G1" t="s">
        <v>1189</v>
      </c>
      <c r="H1" t="s">
        <v>1190</v>
      </c>
      <c r="I1" t="s">
        <v>1191</v>
      </c>
    </row>
    <row r="2" spans="1:9">
      <c r="A2" t="s">
        <v>494</v>
      </c>
      <c r="B2" t="s">
        <v>495</v>
      </c>
      <c r="C2" t="s">
        <v>93</v>
      </c>
      <c r="D2">
        <v>27</v>
      </c>
      <c r="E2">
        <v>103971.06</v>
      </c>
      <c r="F2">
        <v>3850.78</v>
      </c>
      <c r="G2">
        <v>10956</v>
      </c>
      <c r="H2" t="s">
        <v>1115</v>
      </c>
      <c r="I2" t="s">
        <v>1192</v>
      </c>
    </row>
    <row r="3" spans="1:9">
      <c r="A3" t="s">
        <v>439</v>
      </c>
      <c r="B3" t="s">
        <v>440</v>
      </c>
      <c r="C3" t="s">
        <v>443</v>
      </c>
      <c r="D3">
        <v>27</v>
      </c>
      <c r="E3">
        <v>88226.08</v>
      </c>
      <c r="F3">
        <v>3267.63</v>
      </c>
      <c r="G3">
        <v>10957</v>
      </c>
      <c r="H3" t="s">
        <v>1121</v>
      </c>
      <c r="I3" t="s">
        <v>1192</v>
      </c>
    </row>
    <row r="4" spans="1:9">
      <c r="A4" t="s">
        <v>593</v>
      </c>
      <c r="B4" t="s">
        <v>594</v>
      </c>
      <c r="C4" t="s">
        <v>26</v>
      </c>
      <c r="D4">
        <v>28</v>
      </c>
      <c r="E4">
        <v>85023</v>
      </c>
      <c r="F4">
        <v>3036.54</v>
      </c>
      <c r="G4">
        <v>10952</v>
      </c>
      <c r="H4" t="s">
        <v>1119</v>
      </c>
      <c r="I4" t="s">
        <v>1192</v>
      </c>
    </row>
    <row r="5" spans="1:9">
      <c r="A5" t="s">
        <v>457</v>
      </c>
      <c r="B5" t="s">
        <v>458</v>
      </c>
      <c r="C5" t="s">
        <v>26</v>
      </c>
      <c r="D5">
        <v>17</v>
      </c>
      <c r="E5">
        <v>49842.080000000002</v>
      </c>
      <c r="F5">
        <v>2931.89</v>
      </c>
      <c r="G5">
        <v>10952</v>
      </c>
      <c r="H5" t="s">
        <v>1121</v>
      </c>
      <c r="I5" t="s">
        <v>1192</v>
      </c>
    </row>
    <row r="6" spans="1:9">
      <c r="A6" t="s">
        <v>547</v>
      </c>
      <c r="B6" t="s">
        <v>548</v>
      </c>
      <c r="C6" t="s">
        <v>552</v>
      </c>
      <c r="D6">
        <v>18</v>
      </c>
      <c r="E6">
        <v>48636.959999999999</v>
      </c>
      <c r="F6">
        <v>2702.05</v>
      </c>
      <c r="G6">
        <v>10959</v>
      </c>
      <c r="H6" t="s">
        <v>1121</v>
      </c>
      <c r="I6" t="s">
        <v>1192</v>
      </c>
    </row>
    <row r="7" spans="1:9">
      <c r="A7" t="s">
        <v>402</v>
      </c>
      <c r="B7" t="s">
        <v>403</v>
      </c>
      <c r="C7" t="s">
        <v>86</v>
      </c>
      <c r="D7">
        <v>12</v>
      </c>
      <c r="E7">
        <v>30107.37</v>
      </c>
      <c r="F7">
        <v>2508.9499999999998</v>
      </c>
      <c r="G7">
        <v>10962</v>
      </c>
      <c r="H7" t="s">
        <v>1115</v>
      </c>
      <c r="I7" t="s">
        <v>1192</v>
      </c>
    </row>
    <row r="8" spans="1:9">
      <c r="A8" t="s">
        <v>610</v>
      </c>
      <c r="B8" t="s">
        <v>1142</v>
      </c>
      <c r="C8" t="s">
        <v>192</v>
      </c>
      <c r="D8">
        <v>13</v>
      </c>
      <c r="E8">
        <v>28872.19</v>
      </c>
      <c r="F8">
        <v>2220.94</v>
      </c>
      <c r="G8">
        <v>11110</v>
      </c>
      <c r="H8" t="s">
        <v>1119</v>
      </c>
      <c r="I8" t="s">
        <v>1192</v>
      </c>
    </row>
    <row r="9" spans="1:9">
      <c r="A9" t="s">
        <v>462</v>
      </c>
      <c r="B9" t="s">
        <v>1144</v>
      </c>
      <c r="C9" t="s">
        <v>79</v>
      </c>
      <c r="D9">
        <v>18</v>
      </c>
      <c r="E9">
        <v>28757.56</v>
      </c>
      <c r="F9">
        <v>1597.64</v>
      </c>
      <c r="G9">
        <v>10952</v>
      </c>
      <c r="H9" t="s">
        <v>1115</v>
      </c>
      <c r="I9" t="s">
        <v>1192</v>
      </c>
    </row>
    <row r="10" spans="1:9">
      <c r="A10" t="s">
        <v>589</v>
      </c>
      <c r="B10" t="s">
        <v>1146</v>
      </c>
      <c r="C10" t="s">
        <v>93</v>
      </c>
      <c r="D10">
        <v>13</v>
      </c>
      <c r="E10">
        <v>28748.38</v>
      </c>
      <c r="F10">
        <v>2211.41</v>
      </c>
      <c r="G10">
        <v>10999</v>
      </c>
      <c r="H10" t="s">
        <v>1115</v>
      </c>
      <c r="I10" t="s">
        <v>1192</v>
      </c>
    </row>
    <row r="11" spans="1:9">
      <c r="A11" t="s">
        <v>509</v>
      </c>
      <c r="B11" t="s">
        <v>1147</v>
      </c>
      <c r="C11" t="s">
        <v>79</v>
      </c>
      <c r="D11">
        <v>18</v>
      </c>
      <c r="E11">
        <v>24927.58</v>
      </c>
      <c r="F11">
        <v>1384.87</v>
      </c>
      <c r="G11">
        <v>10985</v>
      </c>
      <c r="H11" t="s">
        <v>1115</v>
      </c>
      <c r="I11" t="s">
        <v>1192</v>
      </c>
    </row>
    <row r="12" spans="1:9">
      <c r="A12" t="s">
        <v>475</v>
      </c>
      <c r="B12" t="s">
        <v>476</v>
      </c>
      <c r="C12" t="s">
        <v>93</v>
      </c>
      <c r="D12">
        <v>14</v>
      </c>
      <c r="E12">
        <v>23831.26</v>
      </c>
      <c r="F12">
        <v>1702.23</v>
      </c>
      <c r="G12">
        <v>10984</v>
      </c>
      <c r="H12" t="s">
        <v>1129</v>
      </c>
      <c r="I12" t="s">
        <v>1192</v>
      </c>
    </row>
    <row r="13" spans="1:9">
      <c r="A13" t="s">
        <v>661</v>
      </c>
      <c r="B13" t="s">
        <v>662</v>
      </c>
      <c r="C13" t="s">
        <v>86</v>
      </c>
      <c r="D13">
        <v>12</v>
      </c>
      <c r="E13">
        <v>23690.42</v>
      </c>
      <c r="F13">
        <v>1974.2</v>
      </c>
      <c r="G13">
        <v>10970</v>
      </c>
      <c r="H13" t="s">
        <v>1115</v>
      </c>
      <c r="I13" s="9" t="s">
        <v>1192</v>
      </c>
    </row>
    <row r="14" spans="1:9">
      <c r="A14" t="s">
        <v>412</v>
      </c>
      <c r="B14" t="s">
        <v>1151</v>
      </c>
      <c r="C14" t="s">
        <v>417</v>
      </c>
      <c r="D14">
        <v>10</v>
      </c>
      <c r="E14">
        <v>21601.68</v>
      </c>
      <c r="F14">
        <v>2160.17</v>
      </c>
      <c r="G14">
        <v>10983</v>
      </c>
      <c r="H14" t="s">
        <v>1115</v>
      </c>
      <c r="I14" t="s">
        <v>1192</v>
      </c>
    </row>
    <row r="15" spans="1:9">
      <c r="A15" t="s">
        <v>606</v>
      </c>
      <c r="B15" t="s">
        <v>607</v>
      </c>
      <c r="C15" t="s">
        <v>140</v>
      </c>
      <c r="D15">
        <v>16</v>
      </c>
      <c r="E15">
        <v>21170.5</v>
      </c>
      <c r="F15">
        <v>1323.16</v>
      </c>
      <c r="G15">
        <v>10978</v>
      </c>
      <c r="H15" t="s">
        <v>1129</v>
      </c>
      <c r="I15" t="s">
        <v>1192</v>
      </c>
    </row>
    <row r="16" spans="1:9">
      <c r="A16" t="s">
        <v>433</v>
      </c>
      <c r="B16" t="s">
        <v>1152</v>
      </c>
      <c r="C16" t="s">
        <v>438</v>
      </c>
      <c r="D16">
        <v>17</v>
      </c>
      <c r="E16">
        <v>21041.26</v>
      </c>
      <c r="F16">
        <v>1237.72</v>
      </c>
      <c r="G16">
        <v>10964</v>
      </c>
      <c r="H16" t="s">
        <v>1115</v>
      </c>
      <c r="I16" t="s">
        <v>1192</v>
      </c>
    </row>
    <row r="17" spans="1:9">
      <c r="A17" t="s">
        <v>628</v>
      </c>
      <c r="B17" t="s">
        <v>629</v>
      </c>
      <c r="C17" t="s">
        <v>443</v>
      </c>
      <c r="D17">
        <v>9</v>
      </c>
      <c r="E17">
        <v>20073.86</v>
      </c>
      <c r="F17">
        <v>2230.4299999999998</v>
      </c>
      <c r="G17">
        <v>11027</v>
      </c>
      <c r="H17" t="s">
        <v>1121</v>
      </c>
      <c r="I17" t="s">
        <v>1193</v>
      </c>
    </row>
    <row r="18" spans="1:9">
      <c r="A18" t="s">
        <v>467</v>
      </c>
      <c r="B18" t="s">
        <v>1154</v>
      </c>
      <c r="C18" t="s">
        <v>140</v>
      </c>
      <c r="D18">
        <v>11</v>
      </c>
      <c r="E18">
        <v>18534.080000000002</v>
      </c>
      <c r="F18">
        <v>1684.92</v>
      </c>
      <c r="G18">
        <v>11036</v>
      </c>
      <c r="H18" t="s">
        <v>1115</v>
      </c>
      <c r="I18" t="s">
        <v>1192</v>
      </c>
    </row>
    <row r="19" spans="1:9">
      <c r="A19" t="s">
        <v>679</v>
      </c>
      <c r="B19" t="s">
        <v>680</v>
      </c>
      <c r="C19" t="s">
        <v>192</v>
      </c>
      <c r="D19">
        <v>11</v>
      </c>
      <c r="E19">
        <v>18089.38</v>
      </c>
      <c r="F19">
        <v>1644.49</v>
      </c>
      <c r="G19">
        <v>10962</v>
      </c>
      <c r="H19" t="s">
        <v>1117</v>
      </c>
      <c r="I19" t="s">
        <v>1192</v>
      </c>
    </row>
    <row r="20" spans="1:9">
      <c r="A20" t="s">
        <v>735</v>
      </c>
      <c r="B20" t="s">
        <v>736</v>
      </c>
      <c r="C20" t="s">
        <v>26</v>
      </c>
      <c r="D20">
        <v>9</v>
      </c>
      <c r="E20">
        <v>17797.45</v>
      </c>
      <c r="F20">
        <v>1977.49</v>
      </c>
      <c r="G20">
        <v>10951</v>
      </c>
      <c r="H20" t="s">
        <v>1115</v>
      </c>
      <c r="I20" t="s">
        <v>1193</v>
      </c>
    </row>
    <row r="21" spans="1:9">
      <c r="A21" t="s">
        <v>514</v>
      </c>
      <c r="B21" t="s">
        <v>515</v>
      </c>
      <c r="C21" t="s">
        <v>93</v>
      </c>
      <c r="D21">
        <v>14</v>
      </c>
      <c r="E21">
        <v>17631.439999999999</v>
      </c>
      <c r="F21">
        <v>1259.3900000000001</v>
      </c>
      <c r="G21">
        <v>10980</v>
      </c>
      <c r="H21" t="s">
        <v>1121</v>
      </c>
      <c r="I21" t="s">
        <v>1192</v>
      </c>
    </row>
    <row r="22" spans="1:9">
      <c r="A22" t="s">
        <v>484</v>
      </c>
      <c r="B22" t="s">
        <v>485</v>
      </c>
      <c r="C22" t="s">
        <v>26</v>
      </c>
      <c r="D22">
        <v>12</v>
      </c>
      <c r="E22">
        <v>17532.36</v>
      </c>
      <c r="F22">
        <v>1461.03</v>
      </c>
      <c r="G22">
        <v>10993</v>
      </c>
      <c r="H22" t="s">
        <v>1115</v>
      </c>
      <c r="I22" t="s">
        <v>1192</v>
      </c>
    </row>
    <row r="23" spans="1:9">
      <c r="A23" t="s">
        <v>616</v>
      </c>
      <c r="B23" t="s">
        <v>617</v>
      </c>
      <c r="C23" t="s">
        <v>161</v>
      </c>
      <c r="D23">
        <v>6</v>
      </c>
      <c r="E23">
        <v>16585.009999999998</v>
      </c>
      <c r="F23">
        <v>2764.17</v>
      </c>
      <c r="G23">
        <v>11050</v>
      </c>
      <c r="H23" t="s">
        <v>1119</v>
      </c>
      <c r="I23" t="s">
        <v>1193</v>
      </c>
    </row>
    <row r="24" spans="1:9">
      <c r="A24" t="s">
        <v>638</v>
      </c>
      <c r="B24" t="s">
        <v>639</v>
      </c>
      <c r="C24" t="s">
        <v>18</v>
      </c>
      <c r="D24">
        <v>9</v>
      </c>
      <c r="E24">
        <v>16215.32</v>
      </c>
      <c r="F24">
        <v>1801.7</v>
      </c>
      <c r="G24">
        <v>11013</v>
      </c>
      <c r="H24" t="s">
        <v>1119</v>
      </c>
      <c r="I24" t="s">
        <v>1193</v>
      </c>
    </row>
    <row r="25" spans="1:9">
      <c r="A25" t="s">
        <v>657</v>
      </c>
      <c r="B25" t="s">
        <v>658</v>
      </c>
      <c r="C25" t="s">
        <v>161</v>
      </c>
      <c r="D25">
        <v>11</v>
      </c>
      <c r="E25">
        <v>15843.92</v>
      </c>
      <c r="F25">
        <v>1440.36</v>
      </c>
      <c r="G25">
        <v>10956</v>
      </c>
      <c r="H25" t="s">
        <v>1117</v>
      </c>
      <c r="I25" t="s">
        <v>1192</v>
      </c>
    </row>
    <row r="26" spans="1:9">
      <c r="A26" t="s">
        <v>423</v>
      </c>
      <c r="B26" t="s">
        <v>424</v>
      </c>
      <c r="C26" t="s">
        <v>422</v>
      </c>
      <c r="D26">
        <v>8</v>
      </c>
      <c r="E26">
        <v>15612.88</v>
      </c>
      <c r="F26">
        <v>1951.61</v>
      </c>
      <c r="G26">
        <v>10973</v>
      </c>
      <c r="H26" t="s">
        <v>1129</v>
      </c>
      <c r="I26" t="s">
        <v>1193</v>
      </c>
    </row>
    <row r="27" spans="1:9">
      <c r="A27" t="s">
        <v>522</v>
      </c>
      <c r="B27" t="s">
        <v>523</v>
      </c>
      <c r="C27" t="s">
        <v>438</v>
      </c>
      <c r="D27">
        <v>12</v>
      </c>
      <c r="E27">
        <v>15402.68</v>
      </c>
      <c r="F27">
        <v>1283.56</v>
      </c>
      <c r="G27">
        <v>10955</v>
      </c>
      <c r="H27" t="s">
        <v>1121</v>
      </c>
      <c r="I27" t="s">
        <v>1192</v>
      </c>
    </row>
    <row r="28" spans="1:9">
      <c r="A28" t="s">
        <v>471</v>
      </c>
      <c r="B28" t="s">
        <v>472</v>
      </c>
      <c r="C28" t="s">
        <v>176</v>
      </c>
      <c r="D28">
        <v>14</v>
      </c>
      <c r="E28">
        <v>15378.7</v>
      </c>
      <c r="F28">
        <v>1098.48</v>
      </c>
      <c r="G28">
        <v>11062</v>
      </c>
      <c r="H28" t="s">
        <v>1121</v>
      </c>
      <c r="I28" t="s">
        <v>1192</v>
      </c>
    </row>
    <row r="29" spans="1:9">
      <c r="A29" t="s">
        <v>561</v>
      </c>
      <c r="B29" t="s">
        <v>562</v>
      </c>
      <c r="C29" t="s">
        <v>26</v>
      </c>
      <c r="D29">
        <v>9</v>
      </c>
      <c r="E29">
        <v>14638.06</v>
      </c>
      <c r="F29">
        <v>1626.45</v>
      </c>
      <c r="G29">
        <v>10969</v>
      </c>
      <c r="H29" t="s">
        <v>1119</v>
      </c>
      <c r="I29" t="s">
        <v>1193</v>
      </c>
    </row>
    <row r="30" spans="1:9">
      <c r="A30" t="s">
        <v>685</v>
      </c>
      <c r="B30" t="s">
        <v>686</v>
      </c>
      <c r="C30" t="s">
        <v>438</v>
      </c>
      <c r="D30">
        <v>10</v>
      </c>
      <c r="E30">
        <v>13143.38</v>
      </c>
      <c r="F30">
        <v>1314.34</v>
      </c>
      <c r="G30">
        <v>10972</v>
      </c>
      <c r="H30" t="s">
        <v>1119</v>
      </c>
      <c r="I30" t="s">
        <v>1192</v>
      </c>
    </row>
    <row r="31" spans="1:9">
      <c r="A31" t="s">
        <v>632</v>
      </c>
      <c r="B31" t="s">
        <v>633</v>
      </c>
      <c r="C31" t="s">
        <v>18</v>
      </c>
      <c r="D31">
        <v>12</v>
      </c>
      <c r="E31">
        <v>12899.15</v>
      </c>
      <c r="F31">
        <v>1074.93</v>
      </c>
      <c r="G31">
        <v>10973</v>
      </c>
      <c r="H31" t="s">
        <v>1123</v>
      </c>
      <c r="I31" t="s">
        <v>1192</v>
      </c>
    </row>
    <row r="32" spans="1:9">
      <c r="A32" t="s">
        <v>449</v>
      </c>
      <c r="B32" t="s">
        <v>1159</v>
      </c>
      <c r="C32" t="s">
        <v>93</v>
      </c>
      <c r="D32">
        <v>9</v>
      </c>
      <c r="E32">
        <v>11863.8</v>
      </c>
      <c r="F32">
        <v>1318.2</v>
      </c>
      <c r="G32">
        <v>10955</v>
      </c>
      <c r="H32" t="s">
        <v>1129</v>
      </c>
      <c r="I32" t="s">
        <v>1193</v>
      </c>
    </row>
    <row r="33" spans="1:9">
      <c r="A33" t="s">
        <v>690</v>
      </c>
      <c r="B33" t="s">
        <v>691</v>
      </c>
      <c r="C33" t="s">
        <v>140</v>
      </c>
      <c r="D33">
        <v>5</v>
      </c>
      <c r="E33">
        <v>11666.9</v>
      </c>
      <c r="F33">
        <v>2333.38</v>
      </c>
      <c r="G33">
        <v>11057</v>
      </c>
      <c r="H33" t="s">
        <v>1119</v>
      </c>
      <c r="I33" t="s">
        <v>1193</v>
      </c>
    </row>
    <row r="34" spans="1:9">
      <c r="A34" t="s">
        <v>489</v>
      </c>
      <c r="B34" t="s">
        <v>490</v>
      </c>
      <c r="C34" t="s">
        <v>26</v>
      </c>
      <c r="D34">
        <v>9</v>
      </c>
      <c r="E34">
        <v>11441.63</v>
      </c>
      <c r="F34">
        <v>1271.29</v>
      </c>
      <c r="G34">
        <v>10964</v>
      </c>
      <c r="H34" t="s">
        <v>1119</v>
      </c>
      <c r="I34" t="s">
        <v>1193</v>
      </c>
    </row>
    <row r="35" spans="1:9">
      <c r="A35" t="s">
        <v>557</v>
      </c>
      <c r="B35" t="s">
        <v>1161</v>
      </c>
      <c r="C35" t="s">
        <v>50</v>
      </c>
      <c r="D35">
        <v>8</v>
      </c>
      <c r="E35">
        <v>10769.86</v>
      </c>
      <c r="F35">
        <v>1346.23</v>
      </c>
      <c r="G35">
        <v>10976</v>
      </c>
      <c r="H35" t="s">
        <v>1119</v>
      </c>
      <c r="I35" t="s">
        <v>1193</v>
      </c>
    </row>
    <row r="36" spans="1:9">
      <c r="A36" t="s">
        <v>527</v>
      </c>
      <c r="B36" t="s">
        <v>528</v>
      </c>
      <c r="C36" t="s">
        <v>86</v>
      </c>
      <c r="D36">
        <v>10</v>
      </c>
      <c r="E36">
        <v>10612.8</v>
      </c>
      <c r="F36">
        <v>1061.28</v>
      </c>
      <c r="G36">
        <v>11008</v>
      </c>
      <c r="H36" t="s">
        <v>1119</v>
      </c>
      <c r="I36" t="s">
        <v>1192</v>
      </c>
    </row>
    <row r="37" spans="1:9">
      <c r="A37" t="s">
        <v>502</v>
      </c>
      <c r="B37" t="s">
        <v>503</v>
      </c>
      <c r="C37" t="s">
        <v>448</v>
      </c>
      <c r="D37">
        <v>9</v>
      </c>
      <c r="E37">
        <v>10452.15</v>
      </c>
      <c r="F37">
        <v>1161.3499999999999</v>
      </c>
      <c r="G37">
        <v>10990</v>
      </c>
      <c r="H37" t="s">
        <v>1115</v>
      </c>
      <c r="I37" t="s">
        <v>1193</v>
      </c>
    </row>
    <row r="38" spans="1:9">
      <c r="A38" t="s">
        <v>739</v>
      </c>
      <c r="B38" t="s">
        <v>740</v>
      </c>
      <c r="C38" t="s">
        <v>417</v>
      </c>
      <c r="D38">
        <v>7</v>
      </c>
      <c r="E38">
        <v>9736.08</v>
      </c>
      <c r="F38">
        <v>1390.87</v>
      </c>
      <c r="G38">
        <v>10951</v>
      </c>
      <c r="H38" t="s">
        <v>1119</v>
      </c>
      <c r="I38" t="s">
        <v>1193</v>
      </c>
    </row>
    <row r="39" spans="1:9">
      <c r="A39" t="s">
        <v>624</v>
      </c>
      <c r="B39" t="s">
        <v>625</v>
      </c>
      <c r="C39" t="s">
        <v>140</v>
      </c>
      <c r="D39">
        <v>13</v>
      </c>
      <c r="E39">
        <v>9292.2000000000007</v>
      </c>
      <c r="F39">
        <v>714.78</v>
      </c>
      <c r="G39">
        <v>10986</v>
      </c>
      <c r="H39" t="s">
        <v>1115</v>
      </c>
      <c r="I39" t="s">
        <v>1193</v>
      </c>
    </row>
    <row r="40" spans="1:9">
      <c r="A40" t="s">
        <v>418</v>
      </c>
      <c r="B40" t="s">
        <v>419</v>
      </c>
      <c r="C40" t="s">
        <v>422</v>
      </c>
      <c r="D40">
        <v>6</v>
      </c>
      <c r="E40">
        <v>9289.08</v>
      </c>
      <c r="F40">
        <v>1548.18</v>
      </c>
      <c r="G40">
        <v>10969</v>
      </c>
      <c r="H40" t="s">
        <v>1123</v>
      </c>
      <c r="I40" t="s">
        <v>1193</v>
      </c>
    </row>
    <row r="41" spans="1:9">
      <c r="A41" t="s">
        <v>408</v>
      </c>
      <c r="B41" t="s">
        <v>409</v>
      </c>
      <c r="C41" t="s">
        <v>140</v>
      </c>
      <c r="D41">
        <v>10</v>
      </c>
      <c r="E41">
        <v>9182.43</v>
      </c>
      <c r="F41">
        <v>918.24</v>
      </c>
      <c r="G41">
        <v>11025</v>
      </c>
      <c r="H41" t="s">
        <v>1115</v>
      </c>
      <c r="I41" t="s">
        <v>1193</v>
      </c>
    </row>
    <row r="42" spans="1:9">
      <c r="A42" t="s">
        <v>646</v>
      </c>
      <c r="B42" t="s">
        <v>647</v>
      </c>
      <c r="C42" t="s">
        <v>18</v>
      </c>
      <c r="D42">
        <v>5</v>
      </c>
      <c r="E42">
        <v>8236.35</v>
      </c>
      <c r="F42">
        <v>1647.27</v>
      </c>
      <c r="G42">
        <v>10958</v>
      </c>
      <c r="H42" t="s">
        <v>1121</v>
      </c>
      <c r="I42" t="s">
        <v>1193</v>
      </c>
    </row>
    <row r="43" spans="1:9">
      <c r="A43" t="s">
        <v>703</v>
      </c>
      <c r="B43" t="s">
        <v>704</v>
      </c>
      <c r="C43" t="s">
        <v>86</v>
      </c>
      <c r="D43">
        <v>8</v>
      </c>
      <c r="E43">
        <v>8140.54</v>
      </c>
      <c r="F43">
        <v>1017.57</v>
      </c>
      <c r="G43">
        <v>10971</v>
      </c>
      <c r="H43" t="s">
        <v>1123</v>
      </c>
      <c r="I43" t="s">
        <v>1193</v>
      </c>
    </row>
    <row r="44" spans="1:9">
      <c r="A44" t="s">
        <v>553</v>
      </c>
      <c r="B44" t="s">
        <v>554</v>
      </c>
      <c r="C44" t="s">
        <v>93</v>
      </c>
      <c r="D44">
        <v>9</v>
      </c>
      <c r="E44">
        <v>8102.62</v>
      </c>
      <c r="F44">
        <v>900.29</v>
      </c>
      <c r="G44">
        <v>11155</v>
      </c>
      <c r="H44" t="s">
        <v>1121</v>
      </c>
      <c r="I44" t="s">
        <v>1193</v>
      </c>
    </row>
    <row r="45" spans="1:9">
      <c r="A45" t="s">
        <v>498</v>
      </c>
      <c r="B45" t="s">
        <v>499</v>
      </c>
      <c r="C45" t="s">
        <v>113</v>
      </c>
      <c r="D45">
        <v>10</v>
      </c>
      <c r="E45">
        <v>7176.22</v>
      </c>
      <c r="F45">
        <v>717.62</v>
      </c>
      <c r="G45">
        <v>10973</v>
      </c>
      <c r="H45" t="s">
        <v>1115</v>
      </c>
      <c r="I45" t="s">
        <v>1193</v>
      </c>
    </row>
    <row r="46" spans="1:9">
      <c r="A46" t="s">
        <v>650</v>
      </c>
      <c r="B46" t="s">
        <v>1163</v>
      </c>
      <c r="C46" t="s">
        <v>448</v>
      </c>
      <c r="D46">
        <v>7</v>
      </c>
      <c r="E46">
        <v>7023.98</v>
      </c>
      <c r="F46">
        <v>1003.43</v>
      </c>
      <c r="G46">
        <v>11020</v>
      </c>
      <c r="H46" t="s">
        <v>1115</v>
      </c>
      <c r="I46" t="s">
        <v>1193</v>
      </c>
    </row>
    <row r="47" spans="1:9">
      <c r="A47" t="s">
        <v>543</v>
      </c>
      <c r="B47" t="s">
        <v>1164</v>
      </c>
      <c r="C47" t="s">
        <v>86</v>
      </c>
      <c r="D47">
        <v>6</v>
      </c>
      <c r="E47">
        <v>6850.66</v>
      </c>
      <c r="F47">
        <v>1141.78</v>
      </c>
      <c r="G47">
        <v>11029</v>
      </c>
      <c r="H47" t="s">
        <v>1119</v>
      </c>
      <c r="I47" t="s">
        <v>1193</v>
      </c>
    </row>
    <row r="48" spans="1:9">
      <c r="A48" t="s">
        <v>453</v>
      </c>
      <c r="B48" t="s">
        <v>1165</v>
      </c>
      <c r="C48" t="s">
        <v>86</v>
      </c>
      <c r="D48">
        <v>9</v>
      </c>
      <c r="E48">
        <v>6664.81</v>
      </c>
      <c r="F48">
        <v>740.53</v>
      </c>
      <c r="G48">
        <v>10958</v>
      </c>
      <c r="H48" t="s">
        <v>1117</v>
      </c>
      <c r="I48" t="s">
        <v>1193</v>
      </c>
    </row>
    <row r="49" spans="1:9">
      <c r="A49" t="s">
        <v>601</v>
      </c>
      <c r="B49" t="s">
        <v>602</v>
      </c>
      <c r="C49" t="s">
        <v>605</v>
      </c>
      <c r="D49">
        <v>8</v>
      </c>
      <c r="E49">
        <v>6427.42</v>
      </c>
      <c r="F49">
        <v>803.43</v>
      </c>
      <c r="G49">
        <v>10970</v>
      </c>
      <c r="H49" t="s">
        <v>1117</v>
      </c>
      <c r="I49" t="s">
        <v>1193</v>
      </c>
    </row>
    <row r="50" spans="1:9">
      <c r="A50" t="s">
        <v>580</v>
      </c>
      <c r="B50" t="s">
        <v>581</v>
      </c>
      <c r="C50" t="s">
        <v>18</v>
      </c>
      <c r="D50">
        <v>10</v>
      </c>
      <c r="E50">
        <v>6146.3</v>
      </c>
      <c r="F50">
        <v>614.63</v>
      </c>
      <c r="G50">
        <v>10983</v>
      </c>
      <c r="H50" t="s">
        <v>1115</v>
      </c>
      <c r="I50" t="s">
        <v>1193</v>
      </c>
    </row>
    <row r="51" spans="1:9">
      <c r="A51" t="s">
        <v>427</v>
      </c>
      <c r="B51" t="s">
        <v>428</v>
      </c>
      <c r="C51" t="s">
        <v>86</v>
      </c>
      <c r="D51">
        <v>9</v>
      </c>
      <c r="E51">
        <v>6068.2</v>
      </c>
      <c r="F51">
        <v>674.24</v>
      </c>
      <c r="G51">
        <v>10980</v>
      </c>
      <c r="H51" t="s">
        <v>1115</v>
      </c>
      <c r="I51" t="s">
        <v>1193</v>
      </c>
    </row>
    <row r="52" spans="1:9">
      <c r="A52" t="s">
        <v>531</v>
      </c>
      <c r="B52" t="s">
        <v>532</v>
      </c>
      <c r="C52" t="s">
        <v>113</v>
      </c>
      <c r="D52">
        <v>10</v>
      </c>
      <c r="E52">
        <v>5996.84</v>
      </c>
      <c r="F52">
        <v>599.67999999999995</v>
      </c>
      <c r="G52">
        <v>10978</v>
      </c>
      <c r="H52" t="s">
        <v>1121</v>
      </c>
      <c r="I52" t="s">
        <v>1193</v>
      </c>
    </row>
    <row r="53" spans="1:9">
      <c r="A53" t="s">
        <v>675</v>
      </c>
      <c r="B53" t="s">
        <v>1166</v>
      </c>
      <c r="C53" t="s">
        <v>121</v>
      </c>
      <c r="D53">
        <v>5</v>
      </c>
      <c r="E53">
        <v>5112.8</v>
      </c>
      <c r="F53">
        <v>1022.56</v>
      </c>
      <c r="G53">
        <v>10991</v>
      </c>
      <c r="H53" t="s">
        <v>1115</v>
      </c>
      <c r="I53" t="s">
        <v>1193</v>
      </c>
    </row>
    <row r="54" spans="1:9">
      <c r="A54" t="s">
        <v>613</v>
      </c>
      <c r="B54" t="s">
        <v>614</v>
      </c>
      <c r="C54" t="s">
        <v>605</v>
      </c>
      <c r="D54">
        <v>5</v>
      </c>
      <c r="E54">
        <v>5044.9399999999996</v>
      </c>
      <c r="F54">
        <v>1008.99</v>
      </c>
      <c r="G54">
        <v>10950</v>
      </c>
      <c r="H54" t="s">
        <v>1123</v>
      </c>
      <c r="I54" t="s">
        <v>1193</v>
      </c>
    </row>
    <row r="55" spans="1:9">
      <c r="A55" t="s">
        <v>505</v>
      </c>
      <c r="B55" t="s">
        <v>506</v>
      </c>
      <c r="C55" t="s">
        <v>93</v>
      </c>
      <c r="D55">
        <v>5</v>
      </c>
      <c r="E55">
        <v>5042.2</v>
      </c>
      <c r="F55">
        <v>1008.44</v>
      </c>
      <c r="G55">
        <v>10977</v>
      </c>
      <c r="H55" t="s">
        <v>1119</v>
      </c>
      <c r="I55" t="s">
        <v>1193</v>
      </c>
    </row>
    <row r="56" spans="1:9">
      <c r="A56" t="s">
        <v>398</v>
      </c>
      <c r="B56" t="s">
        <v>1167</v>
      </c>
      <c r="C56" t="s">
        <v>93</v>
      </c>
      <c r="D56">
        <v>6</v>
      </c>
      <c r="E56">
        <v>4778.1400000000003</v>
      </c>
      <c r="F56">
        <v>796.36</v>
      </c>
      <c r="G56">
        <v>10966</v>
      </c>
      <c r="H56" t="s">
        <v>1115</v>
      </c>
      <c r="I56" t="s">
        <v>1194</v>
      </c>
    </row>
    <row r="57" spans="1:9">
      <c r="A57" t="s">
        <v>535</v>
      </c>
      <c r="B57" t="s">
        <v>536</v>
      </c>
      <c r="C57" t="s">
        <v>18</v>
      </c>
      <c r="D57">
        <v>9</v>
      </c>
      <c r="E57">
        <v>4589.8999999999996</v>
      </c>
      <c r="F57">
        <v>509.99</v>
      </c>
      <c r="G57">
        <v>10976</v>
      </c>
      <c r="H57" t="s">
        <v>1123</v>
      </c>
      <c r="I57" t="s">
        <v>1194</v>
      </c>
    </row>
    <row r="58" spans="1:9">
      <c r="A58" t="s">
        <v>598</v>
      </c>
      <c r="B58" t="s">
        <v>1169</v>
      </c>
      <c r="C58" t="s">
        <v>50</v>
      </c>
      <c r="D58">
        <v>3</v>
      </c>
      <c r="E58">
        <v>4232.8500000000004</v>
      </c>
      <c r="F58">
        <v>1410.95</v>
      </c>
      <c r="G58">
        <v>10965</v>
      </c>
      <c r="H58" t="s">
        <v>1123</v>
      </c>
      <c r="I58" t="s">
        <v>1194</v>
      </c>
    </row>
    <row r="59" spans="1:9">
      <c r="A59" t="s">
        <v>620</v>
      </c>
      <c r="B59" t="s">
        <v>621</v>
      </c>
      <c r="C59" t="s">
        <v>86</v>
      </c>
      <c r="D59">
        <v>7</v>
      </c>
      <c r="E59">
        <v>4107.55</v>
      </c>
      <c r="F59">
        <v>586.79</v>
      </c>
      <c r="G59">
        <v>11109</v>
      </c>
      <c r="H59" t="s">
        <v>1115</v>
      </c>
      <c r="I59" t="s">
        <v>1194</v>
      </c>
    </row>
    <row r="60" spans="1:9">
      <c r="A60" t="s">
        <v>586</v>
      </c>
      <c r="B60" t="s">
        <v>1170</v>
      </c>
      <c r="C60" t="s">
        <v>448</v>
      </c>
      <c r="D60">
        <v>5</v>
      </c>
      <c r="E60">
        <v>3942.2</v>
      </c>
      <c r="F60">
        <v>788.44</v>
      </c>
      <c r="G60">
        <v>10956</v>
      </c>
      <c r="H60" t="s">
        <v>1115</v>
      </c>
      <c r="I60" t="s">
        <v>1194</v>
      </c>
    </row>
    <row r="61" spans="1:9">
      <c r="A61" t="s">
        <v>694</v>
      </c>
      <c r="B61" t="s">
        <v>1171</v>
      </c>
      <c r="C61" t="s">
        <v>698</v>
      </c>
      <c r="D61">
        <v>5</v>
      </c>
      <c r="E61">
        <v>3460.2</v>
      </c>
      <c r="F61">
        <v>692.04</v>
      </c>
      <c r="G61">
        <v>10959</v>
      </c>
      <c r="H61" t="s">
        <v>1121</v>
      </c>
      <c r="I61" t="s">
        <v>1194</v>
      </c>
    </row>
    <row r="62" spans="1:9">
      <c r="A62" t="s">
        <v>539</v>
      </c>
      <c r="B62" t="s">
        <v>1172</v>
      </c>
      <c r="C62" t="s">
        <v>86</v>
      </c>
      <c r="D62">
        <v>4</v>
      </c>
      <c r="E62">
        <v>3405</v>
      </c>
      <c r="F62">
        <v>851.25</v>
      </c>
      <c r="G62">
        <v>10966</v>
      </c>
      <c r="H62" t="s">
        <v>1129</v>
      </c>
      <c r="I62" t="s">
        <v>1194</v>
      </c>
    </row>
    <row r="63" spans="1:9">
      <c r="A63" t="s">
        <v>573</v>
      </c>
      <c r="B63" t="s">
        <v>574</v>
      </c>
      <c r="C63" t="s">
        <v>26</v>
      </c>
      <c r="D63">
        <v>4</v>
      </c>
      <c r="E63">
        <v>3361</v>
      </c>
      <c r="F63">
        <v>840.25</v>
      </c>
      <c r="G63">
        <v>10957</v>
      </c>
      <c r="H63" t="s">
        <v>1115</v>
      </c>
      <c r="I63" t="s">
        <v>1194</v>
      </c>
    </row>
    <row r="64" spans="1:9">
      <c r="A64" t="s">
        <v>762</v>
      </c>
      <c r="B64" t="s">
        <v>763</v>
      </c>
      <c r="C64" t="s">
        <v>93</v>
      </c>
      <c r="D64">
        <v>5</v>
      </c>
      <c r="E64">
        <v>3339.5</v>
      </c>
      <c r="F64">
        <v>667.9</v>
      </c>
      <c r="G64">
        <v>10973</v>
      </c>
      <c r="H64" t="s">
        <v>1117</v>
      </c>
      <c r="I64" t="s">
        <v>1194</v>
      </c>
    </row>
    <row r="65" spans="1:9">
      <c r="A65" t="s">
        <v>765</v>
      </c>
      <c r="B65" t="s">
        <v>766</v>
      </c>
      <c r="C65" t="s">
        <v>140</v>
      </c>
      <c r="D65">
        <v>3</v>
      </c>
      <c r="E65">
        <v>3172.16</v>
      </c>
      <c r="F65">
        <v>1057.3900000000001</v>
      </c>
      <c r="G65">
        <v>10965</v>
      </c>
      <c r="H65" t="s">
        <v>1115</v>
      </c>
      <c r="I65" t="s">
        <v>1194</v>
      </c>
    </row>
    <row r="66" spans="1:9">
      <c r="A66" t="s">
        <v>753</v>
      </c>
      <c r="B66" t="s">
        <v>754</v>
      </c>
      <c r="C66" t="s">
        <v>176</v>
      </c>
      <c r="D66">
        <v>7</v>
      </c>
      <c r="E66">
        <v>3161.35</v>
      </c>
      <c r="F66">
        <v>451.62</v>
      </c>
      <c r="G66">
        <v>10951</v>
      </c>
      <c r="H66" t="s">
        <v>1115</v>
      </c>
      <c r="I66" t="s">
        <v>1194</v>
      </c>
    </row>
    <row r="67" spans="1:9">
      <c r="A67" t="s">
        <v>748</v>
      </c>
      <c r="B67" t="s">
        <v>749</v>
      </c>
      <c r="C67" t="s">
        <v>26</v>
      </c>
      <c r="D67">
        <v>4</v>
      </c>
      <c r="E67">
        <v>3076.47</v>
      </c>
      <c r="F67">
        <v>769.12</v>
      </c>
      <c r="G67">
        <v>11005</v>
      </c>
      <c r="H67" t="s">
        <v>1117</v>
      </c>
      <c r="I67" t="s">
        <v>1194</v>
      </c>
    </row>
    <row r="68" spans="1:9">
      <c r="A68" t="s">
        <v>671</v>
      </c>
      <c r="B68" t="s">
        <v>672</v>
      </c>
      <c r="C68" t="s">
        <v>26</v>
      </c>
      <c r="D68">
        <v>5</v>
      </c>
      <c r="E68">
        <v>3063.2</v>
      </c>
      <c r="F68">
        <v>612.64</v>
      </c>
      <c r="G68">
        <v>11162</v>
      </c>
      <c r="H68" t="s">
        <v>1125</v>
      </c>
      <c r="I68" t="s">
        <v>1194</v>
      </c>
    </row>
    <row r="69" spans="1:9">
      <c r="A69" t="s">
        <v>665</v>
      </c>
      <c r="B69" t="s">
        <v>1110</v>
      </c>
      <c r="C69" t="s">
        <v>670</v>
      </c>
      <c r="D69">
        <v>6</v>
      </c>
      <c r="E69">
        <v>2940.35</v>
      </c>
      <c r="F69">
        <v>490.06</v>
      </c>
      <c r="G69">
        <v>10955</v>
      </c>
      <c r="H69" t="s">
        <v>1115</v>
      </c>
      <c r="I69" t="s">
        <v>1194</v>
      </c>
    </row>
    <row r="70" spans="1:9">
      <c r="A70" t="s">
        <v>712</v>
      </c>
      <c r="B70" t="s">
        <v>713</v>
      </c>
      <c r="C70" t="s">
        <v>698</v>
      </c>
      <c r="D70">
        <v>4</v>
      </c>
      <c r="E70">
        <v>2768.1</v>
      </c>
      <c r="F70">
        <v>692.02</v>
      </c>
      <c r="G70">
        <v>10990</v>
      </c>
      <c r="H70" t="s">
        <v>1119</v>
      </c>
      <c r="I70" t="s">
        <v>1194</v>
      </c>
    </row>
    <row r="71" spans="1:9">
      <c r="A71" t="s">
        <v>566</v>
      </c>
      <c r="B71" t="s">
        <v>567</v>
      </c>
      <c r="C71" t="s">
        <v>26</v>
      </c>
      <c r="D71">
        <v>7</v>
      </c>
      <c r="E71">
        <v>2683.6</v>
      </c>
      <c r="F71">
        <v>383.37</v>
      </c>
      <c r="G71">
        <v>11005</v>
      </c>
      <c r="H71" t="s">
        <v>1115</v>
      </c>
      <c r="I71" t="s">
        <v>1194</v>
      </c>
    </row>
    <row r="72" spans="1:9">
      <c r="A72" t="s">
        <v>724</v>
      </c>
      <c r="B72" t="s">
        <v>725</v>
      </c>
      <c r="C72" t="s">
        <v>93</v>
      </c>
      <c r="D72">
        <v>6</v>
      </c>
      <c r="E72">
        <v>2381.8000000000002</v>
      </c>
      <c r="F72">
        <v>396.97</v>
      </c>
      <c r="G72">
        <v>10972</v>
      </c>
      <c r="H72" t="s">
        <v>1115</v>
      </c>
      <c r="I72" t="s">
        <v>1194</v>
      </c>
    </row>
    <row r="73" spans="1:9">
      <c r="A73" t="s">
        <v>769</v>
      </c>
      <c r="B73" t="s">
        <v>1173</v>
      </c>
      <c r="C73" t="s">
        <v>140</v>
      </c>
      <c r="D73">
        <v>3</v>
      </c>
      <c r="E73">
        <v>2213.35</v>
      </c>
      <c r="F73">
        <v>737.78</v>
      </c>
      <c r="G73">
        <v>10969</v>
      </c>
      <c r="H73" t="s">
        <v>1115</v>
      </c>
      <c r="I73" t="s">
        <v>1194</v>
      </c>
    </row>
    <row r="74" spans="1:9">
      <c r="A74" t="s">
        <v>772</v>
      </c>
      <c r="B74" t="s">
        <v>773</v>
      </c>
      <c r="C74" t="s">
        <v>140</v>
      </c>
      <c r="D74">
        <v>4</v>
      </c>
      <c r="E74">
        <v>1992.05</v>
      </c>
      <c r="F74">
        <v>498.01</v>
      </c>
      <c r="G74">
        <v>10965</v>
      </c>
      <c r="H74" t="s">
        <v>1115</v>
      </c>
      <c r="I74" t="s">
        <v>1195</v>
      </c>
    </row>
    <row r="75" spans="1:9">
      <c r="A75" t="s">
        <v>642</v>
      </c>
      <c r="B75" t="s">
        <v>643</v>
      </c>
      <c r="C75" t="s">
        <v>93</v>
      </c>
      <c r="D75">
        <v>4</v>
      </c>
      <c r="E75">
        <v>1984.36</v>
      </c>
      <c r="F75">
        <v>496.09</v>
      </c>
      <c r="G75">
        <v>11039</v>
      </c>
      <c r="H75" t="s">
        <v>1121</v>
      </c>
      <c r="I75" t="s">
        <v>1195</v>
      </c>
    </row>
    <row r="76" spans="1:9">
      <c r="A76" t="s">
        <v>757</v>
      </c>
      <c r="B76" t="s">
        <v>758</v>
      </c>
      <c r="C76" t="s">
        <v>26</v>
      </c>
      <c r="D76">
        <v>3</v>
      </c>
      <c r="E76">
        <v>1947.24</v>
      </c>
      <c r="F76">
        <v>649.08000000000004</v>
      </c>
      <c r="G76">
        <v>10952</v>
      </c>
      <c r="H76" t="s">
        <v>1115</v>
      </c>
      <c r="I76" t="s">
        <v>1195</v>
      </c>
    </row>
    <row r="77" spans="1:9">
      <c r="A77" t="s">
        <v>708</v>
      </c>
      <c r="B77" t="s">
        <v>709</v>
      </c>
      <c r="C77" t="s">
        <v>18</v>
      </c>
      <c r="D77">
        <v>3</v>
      </c>
      <c r="E77">
        <v>1719.1</v>
      </c>
      <c r="F77">
        <v>573.03</v>
      </c>
      <c r="G77">
        <v>11025</v>
      </c>
      <c r="H77" t="s">
        <v>1123</v>
      </c>
      <c r="I77" t="s">
        <v>1195</v>
      </c>
    </row>
    <row r="78" spans="1:9">
      <c r="A78" t="s">
        <v>576</v>
      </c>
      <c r="B78" t="s">
        <v>577</v>
      </c>
      <c r="C78" t="s">
        <v>140</v>
      </c>
      <c r="D78">
        <v>4</v>
      </c>
      <c r="E78">
        <v>1615.9</v>
      </c>
      <c r="F78">
        <v>403.98</v>
      </c>
      <c r="G78">
        <v>11001</v>
      </c>
      <c r="H78" t="s">
        <v>1115</v>
      </c>
      <c r="I78" t="s">
        <v>1195</v>
      </c>
    </row>
    <row r="79" spans="1:9">
      <c r="A79" t="s">
        <v>744</v>
      </c>
      <c r="B79" t="s">
        <v>745</v>
      </c>
      <c r="C79" t="s">
        <v>26</v>
      </c>
      <c r="D79">
        <v>3</v>
      </c>
      <c r="E79">
        <v>1571.2</v>
      </c>
      <c r="F79">
        <v>523.73</v>
      </c>
      <c r="G79">
        <v>11040</v>
      </c>
      <c r="H79" t="s">
        <v>1115</v>
      </c>
      <c r="I79" t="s">
        <v>1195</v>
      </c>
    </row>
    <row r="80" spans="1:9">
      <c r="A80" t="s">
        <v>732</v>
      </c>
      <c r="B80" t="s">
        <v>733</v>
      </c>
      <c r="C80" t="s">
        <v>698</v>
      </c>
      <c r="D80">
        <v>5</v>
      </c>
      <c r="E80">
        <v>1509.8</v>
      </c>
      <c r="F80">
        <v>301.95999999999998</v>
      </c>
      <c r="G80">
        <v>10979</v>
      </c>
      <c r="H80" t="s">
        <v>1115</v>
      </c>
      <c r="I80" t="s">
        <v>1195</v>
      </c>
    </row>
    <row r="81" spans="1:9">
      <c r="A81" t="s">
        <v>479</v>
      </c>
      <c r="B81" t="s">
        <v>480</v>
      </c>
      <c r="C81" t="s">
        <v>438</v>
      </c>
      <c r="D81">
        <v>2</v>
      </c>
      <c r="E81">
        <v>1488.7</v>
      </c>
      <c r="F81">
        <v>744.35</v>
      </c>
      <c r="G81">
        <v>11061</v>
      </c>
      <c r="H81" t="s">
        <v>1115</v>
      </c>
      <c r="I81" t="s">
        <v>1195</v>
      </c>
    </row>
    <row r="82" spans="1:9">
      <c r="A82" t="s">
        <v>394</v>
      </c>
      <c r="B82" t="s">
        <v>395</v>
      </c>
      <c r="C82" t="s">
        <v>140</v>
      </c>
      <c r="D82">
        <v>5</v>
      </c>
      <c r="E82">
        <v>1480</v>
      </c>
      <c r="F82">
        <v>296</v>
      </c>
      <c r="G82">
        <v>11097</v>
      </c>
      <c r="H82" t="s">
        <v>1123</v>
      </c>
      <c r="I82" t="s">
        <v>1195</v>
      </c>
    </row>
    <row r="83" spans="1:9">
      <c r="A83" t="s">
        <v>570</v>
      </c>
      <c r="B83" t="s">
        <v>571</v>
      </c>
      <c r="C83" t="s">
        <v>448</v>
      </c>
      <c r="D83">
        <v>4</v>
      </c>
      <c r="E83">
        <v>1402.95</v>
      </c>
      <c r="F83">
        <v>350.74</v>
      </c>
      <c r="G83">
        <v>10985</v>
      </c>
      <c r="H83" t="s">
        <v>1121</v>
      </c>
      <c r="I83" t="s">
        <v>1195</v>
      </c>
    </row>
    <row r="84" spans="1:9">
      <c r="A84" t="s">
        <v>518</v>
      </c>
      <c r="B84" t="s">
        <v>519</v>
      </c>
      <c r="C84" t="s">
        <v>50</v>
      </c>
      <c r="D84">
        <v>4</v>
      </c>
      <c r="E84">
        <v>1106.29</v>
      </c>
      <c r="F84">
        <v>276.57</v>
      </c>
      <c r="G84">
        <v>10987</v>
      </c>
      <c r="H84" t="s">
        <v>1129</v>
      </c>
      <c r="I84" t="s">
        <v>1195</v>
      </c>
    </row>
    <row r="85" spans="1:9">
      <c r="A85" t="s">
        <v>653</v>
      </c>
      <c r="B85" t="s">
        <v>1174</v>
      </c>
      <c r="C85" t="s">
        <v>50</v>
      </c>
      <c r="D85">
        <v>5</v>
      </c>
      <c r="E85">
        <v>836.7</v>
      </c>
      <c r="F85">
        <v>167.34</v>
      </c>
      <c r="G85">
        <v>10984</v>
      </c>
      <c r="H85" t="s">
        <v>1119</v>
      </c>
      <c r="I85" t="s">
        <v>1195</v>
      </c>
    </row>
    <row r="86" spans="1:9">
      <c r="A86" t="s">
        <v>728</v>
      </c>
      <c r="B86" t="s">
        <v>729</v>
      </c>
      <c r="C86" t="s">
        <v>18</v>
      </c>
      <c r="D86">
        <v>2</v>
      </c>
      <c r="E86">
        <v>604</v>
      </c>
      <c r="F86">
        <v>302</v>
      </c>
      <c r="G86">
        <v>11085</v>
      </c>
      <c r="H86" t="s">
        <v>1115</v>
      </c>
      <c r="I86" t="s">
        <v>1195</v>
      </c>
    </row>
    <row r="87" spans="1:9">
      <c r="A87" t="s">
        <v>719</v>
      </c>
      <c r="B87" t="s">
        <v>720</v>
      </c>
      <c r="C87" t="s">
        <v>192</v>
      </c>
      <c r="D87">
        <v>3</v>
      </c>
      <c r="E87">
        <v>522.5</v>
      </c>
      <c r="F87">
        <v>174.17</v>
      </c>
      <c r="G87">
        <v>11047</v>
      </c>
      <c r="H87" t="s">
        <v>1115</v>
      </c>
      <c r="I87" t="s">
        <v>1195</v>
      </c>
    </row>
    <row r="88" spans="1:9">
      <c r="A88" t="s">
        <v>715</v>
      </c>
      <c r="B88" t="s">
        <v>716</v>
      </c>
      <c r="C88" t="s">
        <v>26</v>
      </c>
      <c r="D88">
        <v>2</v>
      </c>
      <c r="E88">
        <v>357</v>
      </c>
      <c r="F88">
        <v>178.5</v>
      </c>
      <c r="G88">
        <v>11271</v>
      </c>
      <c r="H88" t="s">
        <v>1121</v>
      </c>
      <c r="I88" t="s">
        <v>1195</v>
      </c>
    </row>
    <row r="89" spans="1:9">
      <c r="A89" t="s">
        <v>699</v>
      </c>
      <c r="B89" t="s">
        <v>700</v>
      </c>
      <c r="C89" t="s">
        <v>113</v>
      </c>
      <c r="D89">
        <v>4</v>
      </c>
      <c r="E89">
        <v>249.7</v>
      </c>
      <c r="F89">
        <v>62.42</v>
      </c>
      <c r="G89">
        <v>11048</v>
      </c>
      <c r="H89" t="s">
        <v>1119</v>
      </c>
      <c r="I89" t="s">
        <v>1195</v>
      </c>
    </row>
    <row r="90" spans="1:9">
      <c r="A90" t="s">
        <v>444</v>
      </c>
      <c r="B90" t="s">
        <v>445</v>
      </c>
      <c r="C90" t="s">
        <v>448</v>
      </c>
      <c r="D90">
        <v>1</v>
      </c>
      <c r="E90">
        <v>100.8</v>
      </c>
      <c r="F90">
        <v>100.8</v>
      </c>
      <c r="G90">
        <v>11579</v>
      </c>
      <c r="H90" t="s">
        <v>1119</v>
      </c>
      <c r="I90" t="s">
        <v>1195</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5C52F-FF32-C84B-B0A9-4D366594BDF5}">
  <dimension ref="A1:J25"/>
  <sheetViews>
    <sheetView showGridLines="0" topLeftCell="A8" workbookViewId="0">
      <selection activeCell="B53" sqref="B53"/>
    </sheetView>
  </sheetViews>
  <sheetFormatPr baseColWidth="10" defaultRowHeight="13"/>
  <cols>
    <col min="2" max="2" width="10.6640625" bestFit="1" customWidth="1"/>
    <col min="3" max="3" width="14.5" bestFit="1" customWidth="1"/>
    <col min="4" max="4" width="11.33203125" bestFit="1" customWidth="1"/>
    <col min="5" max="5" width="12.83203125" bestFit="1" customWidth="1"/>
    <col min="6" max="6" width="13.1640625" bestFit="1" customWidth="1"/>
    <col min="7" max="7" width="12.33203125" bestFit="1" customWidth="1"/>
    <col min="8" max="8" width="14.5" bestFit="1" customWidth="1"/>
    <col min="9" max="9" width="11.33203125" bestFit="1" customWidth="1"/>
    <col min="10" max="10" width="12.83203125" bestFit="1" customWidth="1"/>
    <col min="11" max="11" width="5" bestFit="1" customWidth="1"/>
    <col min="12" max="12" width="5.83203125" bestFit="1" customWidth="1"/>
    <col min="13" max="13" width="8" bestFit="1" customWidth="1"/>
    <col min="14" max="14" width="11.6640625" bestFit="1" customWidth="1"/>
    <col min="15" max="15" width="9" bestFit="1" customWidth="1"/>
    <col min="16" max="16" width="12.1640625" bestFit="1" customWidth="1"/>
    <col min="17" max="17" width="5.33203125" bestFit="1" customWidth="1"/>
    <col min="18" max="18" width="9.33203125" bestFit="1" customWidth="1"/>
    <col min="19" max="19" width="8" bestFit="1" customWidth="1"/>
    <col min="20" max="20" width="8.6640625" bestFit="1" customWidth="1"/>
    <col min="21" max="21" width="5" bestFit="1" customWidth="1"/>
    <col min="22" max="22" width="6.6640625" bestFit="1" customWidth="1"/>
    <col min="23" max="23" width="10.1640625" bestFit="1" customWidth="1"/>
    <col min="24" max="24" width="5.33203125" bestFit="1" customWidth="1"/>
    <col min="25" max="25" width="7.33203125" bestFit="1" customWidth="1"/>
    <col min="26" max="26" width="12.33203125" bestFit="1" customWidth="1"/>
    <col min="27" max="27" width="8" bestFit="1" customWidth="1"/>
    <col min="28" max="28" width="5" bestFit="1" customWidth="1"/>
    <col min="29" max="29" width="7.83203125" bestFit="1" customWidth="1"/>
    <col min="30" max="30" width="12.83203125" bestFit="1" customWidth="1"/>
    <col min="31" max="31" width="6" bestFit="1" customWidth="1"/>
    <col min="32" max="32" width="11" bestFit="1" customWidth="1"/>
    <col min="33" max="33" width="8" bestFit="1" customWidth="1"/>
    <col min="34" max="34" width="6.83203125" bestFit="1" customWidth="1"/>
    <col min="35" max="35" width="7" bestFit="1" customWidth="1"/>
    <col min="36" max="36" width="4.6640625" bestFit="1" customWidth="1"/>
    <col min="37" max="37" width="6.6640625" bestFit="1" customWidth="1"/>
    <col min="38" max="38" width="7.1640625" bestFit="1" customWidth="1"/>
    <col min="39" max="39" width="6.6640625" bestFit="1" customWidth="1"/>
    <col min="40" max="40" width="5.1640625" bestFit="1" customWidth="1"/>
    <col min="41" max="41" width="12" bestFit="1" customWidth="1"/>
    <col min="42" max="42" width="10" bestFit="1" customWidth="1"/>
    <col min="43" max="43" width="9.1640625" bestFit="1" customWidth="1"/>
    <col min="44" max="44" width="6.6640625" bestFit="1" customWidth="1"/>
    <col min="45" max="45" width="9.5" bestFit="1" customWidth="1"/>
    <col min="46" max="46" width="8.6640625" bestFit="1" customWidth="1"/>
    <col min="47" max="47" width="9.6640625" bestFit="1" customWidth="1"/>
    <col min="48" max="48" width="6.83203125" bestFit="1" customWidth="1"/>
    <col min="49" max="49" width="5" bestFit="1" customWidth="1"/>
    <col min="50" max="50" width="5.5" bestFit="1" customWidth="1"/>
    <col min="51" max="51" width="8" bestFit="1" customWidth="1"/>
    <col min="52" max="52" width="12.5" bestFit="1" customWidth="1"/>
    <col min="53" max="53" width="6.33203125" bestFit="1" customWidth="1"/>
    <col min="54" max="54" width="8.33203125" bestFit="1" customWidth="1"/>
    <col min="55" max="55" width="13" bestFit="1" customWidth="1"/>
    <col min="56" max="56" width="10.5" bestFit="1" customWidth="1"/>
    <col min="57" max="57" width="8.33203125" bestFit="1" customWidth="1"/>
    <col min="58" max="58" width="12.6640625" bestFit="1" customWidth="1"/>
    <col min="59" max="59" width="13" bestFit="1" customWidth="1"/>
    <col min="60" max="61" width="6.83203125" bestFit="1" customWidth="1"/>
    <col min="62" max="62" width="7.5" bestFit="1" customWidth="1"/>
    <col min="63" max="63" width="10.1640625" bestFit="1" customWidth="1"/>
    <col min="64" max="64" width="8" bestFit="1" customWidth="1"/>
    <col min="65" max="65" width="6.33203125" bestFit="1" customWidth="1"/>
    <col min="66" max="66" width="8.6640625" bestFit="1" customWidth="1"/>
    <col min="67" max="67" width="10.5" bestFit="1" customWidth="1"/>
    <col min="68" max="68" width="10" bestFit="1" customWidth="1"/>
    <col min="69" max="69" width="9.5" bestFit="1" customWidth="1"/>
    <col min="70" max="70" width="10.6640625" bestFit="1" customWidth="1"/>
    <col min="71" max="71" width="9.5" bestFit="1" customWidth="1"/>
    <col min="72" max="72" width="10.6640625" bestFit="1" customWidth="1"/>
  </cols>
  <sheetData>
    <row r="1" spans="1:10" ht="22" thickBot="1">
      <c r="A1" s="19" t="s">
        <v>1590</v>
      </c>
      <c r="B1" s="20" t="s">
        <v>1591</v>
      </c>
      <c r="C1" s="20"/>
      <c r="D1" s="20"/>
      <c r="E1" s="20"/>
      <c r="F1" s="20"/>
      <c r="G1" s="35"/>
      <c r="H1" s="14"/>
      <c r="I1" s="14"/>
    </row>
    <row r="3" spans="1:10">
      <c r="B3" s="12" t="s">
        <v>8</v>
      </c>
      <c r="C3" t="s">
        <v>1182</v>
      </c>
      <c r="D3" t="s">
        <v>1587</v>
      </c>
      <c r="E3" t="s">
        <v>1586</v>
      </c>
      <c r="G3" s="12" t="s">
        <v>5</v>
      </c>
      <c r="H3" t="s">
        <v>1182</v>
      </c>
      <c r="I3" t="s">
        <v>1587</v>
      </c>
      <c r="J3" t="s">
        <v>1586</v>
      </c>
    </row>
    <row r="4" spans="1:10">
      <c r="B4" s="13" t="s">
        <v>26</v>
      </c>
      <c r="C4">
        <v>13</v>
      </c>
      <c r="D4">
        <v>112</v>
      </c>
      <c r="E4">
        <v>212334.29000000004</v>
      </c>
      <c r="G4" s="13" t="s">
        <v>16</v>
      </c>
      <c r="H4">
        <v>6</v>
      </c>
      <c r="I4">
        <v>40</v>
      </c>
      <c r="J4">
        <v>44263.82</v>
      </c>
    </row>
    <row r="5" spans="1:10">
      <c r="B5" s="13" t="s">
        <v>93</v>
      </c>
      <c r="C5">
        <v>11</v>
      </c>
      <c r="D5">
        <v>112</v>
      </c>
      <c r="E5">
        <v>211674.56</v>
      </c>
      <c r="G5" s="13" t="s">
        <v>1162</v>
      </c>
      <c r="H5">
        <v>5</v>
      </c>
      <c r="I5">
        <v>26</v>
      </c>
      <c r="J5">
        <v>22922.080000000002</v>
      </c>
    </row>
    <row r="6" spans="1:10">
      <c r="B6" s="13" t="s">
        <v>140</v>
      </c>
      <c r="C6">
        <v>10</v>
      </c>
      <c r="D6">
        <v>74</v>
      </c>
      <c r="E6">
        <v>80319.570000000022</v>
      </c>
      <c r="G6" s="13" t="s">
        <v>1150</v>
      </c>
      <c r="H6">
        <v>4</v>
      </c>
      <c r="I6">
        <v>29</v>
      </c>
      <c r="J6">
        <v>38053.629999999997</v>
      </c>
    </row>
    <row r="7" spans="1:10">
      <c r="B7" s="13" t="s">
        <v>86</v>
      </c>
      <c r="C7">
        <v>9</v>
      </c>
      <c r="D7">
        <v>77</v>
      </c>
      <c r="E7">
        <v>99647.349999999991</v>
      </c>
      <c r="G7" s="13" t="s">
        <v>405</v>
      </c>
      <c r="H7">
        <v>3</v>
      </c>
      <c r="I7">
        <v>31</v>
      </c>
      <c r="J7">
        <v>47384.98</v>
      </c>
    </row>
    <row r="8" spans="1:10">
      <c r="B8" s="13" t="s">
        <v>18</v>
      </c>
      <c r="C8">
        <v>7</v>
      </c>
      <c r="D8">
        <v>50</v>
      </c>
      <c r="E8">
        <v>50410.12</v>
      </c>
      <c r="G8" s="13" t="s">
        <v>697</v>
      </c>
      <c r="H8">
        <v>3</v>
      </c>
      <c r="I8">
        <v>14</v>
      </c>
      <c r="J8">
        <v>7738.1</v>
      </c>
    </row>
    <row r="9" spans="1:10">
      <c r="B9" s="13" t="s">
        <v>448</v>
      </c>
      <c r="C9">
        <v>5</v>
      </c>
      <c r="D9">
        <v>26</v>
      </c>
      <c r="E9">
        <v>22922.080000000002</v>
      </c>
      <c r="G9" s="13" t="s">
        <v>569</v>
      </c>
      <c r="H9">
        <v>2</v>
      </c>
      <c r="I9">
        <v>11</v>
      </c>
      <c r="J9">
        <v>6044.6</v>
      </c>
    </row>
    <row r="10" spans="1:10">
      <c r="B10" s="13" t="s">
        <v>438</v>
      </c>
      <c r="C10">
        <v>4</v>
      </c>
      <c r="D10">
        <v>41</v>
      </c>
      <c r="E10">
        <v>51076.02</v>
      </c>
      <c r="G10" s="13" t="s">
        <v>604</v>
      </c>
      <c r="H10">
        <v>2</v>
      </c>
      <c r="I10">
        <v>13</v>
      </c>
      <c r="J10">
        <v>11472.36</v>
      </c>
    </row>
    <row r="11" spans="1:10">
      <c r="B11" s="13" t="s">
        <v>50</v>
      </c>
      <c r="C11">
        <v>4</v>
      </c>
      <c r="D11">
        <v>20</v>
      </c>
      <c r="E11">
        <v>16945.7</v>
      </c>
      <c r="G11" s="13" t="s">
        <v>579</v>
      </c>
      <c r="H11">
        <v>2</v>
      </c>
      <c r="I11">
        <v>7</v>
      </c>
      <c r="J11">
        <v>4788.0600000000004</v>
      </c>
    </row>
    <row r="12" spans="1:10">
      <c r="B12" s="13" t="s">
        <v>192</v>
      </c>
      <c r="C12">
        <v>3</v>
      </c>
      <c r="D12">
        <v>27</v>
      </c>
      <c r="E12">
        <v>47484.07</v>
      </c>
      <c r="G12" s="13" t="s">
        <v>521</v>
      </c>
      <c r="H12">
        <v>2</v>
      </c>
      <c r="I12">
        <v>7</v>
      </c>
      <c r="J12">
        <v>5339.14</v>
      </c>
    </row>
    <row r="13" spans="1:10">
      <c r="B13" s="13" t="s">
        <v>698</v>
      </c>
      <c r="C13">
        <v>3</v>
      </c>
      <c r="D13">
        <v>14</v>
      </c>
      <c r="E13">
        <v>7738.1</v>
      </c>
      <c r="G13" s="13" t="s">
        <v>1184</v>
      </c>
      <c r="H13">
        <v>29</v>
      </c>
      <c r="I13">
        <v>178</v>
      </c>
      <c r="J13">
        <v>188006.77</v>
      </c>
    </row>
    <row r="14" spans="1:10">
      <c r="B14" s="13" t="s">
        <v>113</v>
      </c>
      <c r="C14">
        <v>3</v>
      </c>
      <c r="D14">
        <v>24</v>
      </c>
      <c r="E14">
        <v>13422.760000000002</v>
      </c>
    </row>
    <row r="15" spans="1:10">
      <c r="B15" s="13" t="s">
        <v>79</v>
      </c>
      <c r="C15">
        <v>2</v>
      </c>
      <c r="D15">
        <v>36</v>
      </c>
      <c r="E15">
        <v>53685.14</v>
      </c>
    </row>
    <row r="16" spans="1:10">
      <c r="B16" s="13" t="s">
        <v>443</v>
      </c>
      <c r="C16">
        <v>2</v>
      </c>
      <c r="D16">
        <v>36</v>
      </c>
      <c r="E16">
        <v>108299.94</v>
      </c>
    </row>
    <row r="17" spans="2:5">
      <c r="B17" s="13" t="s">
        <v>417</v>
      </c>
      <c r="C17">
        <v>2</v>
      </c>
      <c r="D17">
        <v>17</v>
      </c>
      <c r="E17">
        <v>31337.760000000002</v>
      </c>
    </row>
    <row r="18" spans="2:5">
      <c r="B18" s="13" t="s">
        <v>605</v>
      </c>
      <c r="C18">
        <v>2</v>
      </c>
      <c r="D18">
        <v>13</v>
      </c>
      <c r="E18">
        <v>11472.36</v>
      </c>
    </row>
    <row r="19" spans="2:5">
      <c r="B19" s="13" t="s">
        <v>422</v>
      </c>
      <c r="C19">
        <v>2</v>
      </c>
      <c r="D19">
        <v>14</v>
      </c>
      <c r="E19">
        <v>24901.96</v>
      </c>
    </row>
    <row r="20" spans="2:5">
      <c r="B20" s="13" t="s">
        <v>176</v>
      </c>
      <c r="C20">
        <v>2</v>
      </c>
      <c r="D20">
        <v>21</v>
      </c>
      <c r="E20">
        <v>18540.05</v>
      </c>
    </row>
    <row r="21" spans="2:5">
      <c r="B21" s="13" t="s">
        <v>161</v>
      </c>
      <c r="C21">
        <v>2</v>
      </c>
      <c r="D21">
        <v>17</v>
      </c>
      <c r="E21">
        <v>32428.93</v>
      </c>
    </row>
    <row r="22" spans="2:5">
      <c r="B22" s="13" t="s">
        <v>552</v>
      </c>
      <c r="C22">
        <v>1</v>
      </c>
      <c r="D22">
        <v>18</v>
      </c>
      <c r="E22">
        <v>48636.959999999999</v>
      </c>
    </row>
    <row r="23" spans="2:5">
      <c r="B23" s="13" t="s">
        <v>670</v>
      </c>
      <c r="C23">
        <v>1</v>
      </c>
      <c r="D23">
        <v>6</v>
      </c>
      <c r="E23">
        <v>2940.35</v>
      </c>
    </row>
    <row r="24" spans="2:5">
      <c r="B24" s="13" t="s">
        <v>121</v>
      </c>
      <c r="C24">
        <v>1</v>
      </c>
      <c r="D24">
        <v>5</v>
      </c>
      <c r="E24">
        <v>5112.8</v>
      </c>
    </row>
    <row r="25" spans="2:5">
      <c r="B25" s="13" t="s">
        <v>1184</v>
      </c>
      <c r="C25">
        <v>89</v>
      </c>
      <c r="D25">
        <v>760</v>
      </c>
      <c r="E25">
        <v>1151330.8700000003</v>
      </c>
    </row>
  </sheetData>
  <pageMargins left="0.7" right="0.7" top="0.75" bottom="0.75" header="0.3" footer="0.3"/>
  <drawing r:id="rId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5BDE89-44BD-4365-8A22-54A30C810883}">
  <dimension ref="A1:T91"/>
  <sheetViews>
    <sheetView showGridLines="0" workbookViewId="0">
      <selection activeCell="A63" sqref="A63"/>
    </sheetView>
  </sheetViews>
  <sheetFormatPr baseColWidth="10" defaultColWidth="8.83203125" defaultRowHeight="13"/>
  <cols>
    <col min="12" max="12" width="13.6640625" bestFit="1" customWidth="1"/>
    <col min="13" max="13" width="31.5" bestFit="1" customWidth="1"/>
    <col min="14" max="14" width="10.5" bestFit="1" customWidth="1"/>
    <col min="15" max="15" width="14.1640625" bestFit="1" customWidth="1"/>
    <col min="16" max="16" width="13.6640625" bestFit="1" customWidth="1"/>
    <col min="17" max="17" width="18.5" bestFit="1" customWidth="1"/>
    <col min="18" max="18" width="23.5" bestFit="1" customWidth="1"/>
    <col min="19" max="19" width="20.83203125" bestFit="1" customWidth="1"/>
    <col min="20" max="20" width="15.6640625" bestFit="1" customWidth="1"/>
  </cols>
  <sheetData>
    <row r="1" spans="1:20" ht="14" thickBot="1">
      <c r="A1" s="43" t="s">
        <v>1196</v>
      </c>
      <c r="B1" s="44"/>
      <c r="C1" s="44"/>
      <c r="D1" s="44"/>
      <c r="E1" s="44"/>
      <c r="F1" s="44"/>
      <c r="G1" s="44"/>
      <c r="H1" s="44"/>
      <c r="I1" s="44"/>
      <c r="J1" s="45"/>
      <c r="K1" s="9"/>
    </row>
    <row r="2" spans="1:20" ht="14.25" customHeight="1">
      <c r="A2" s="37" t="s">
        <v>1197</v>
      </c>
      <c r="B2" s="38"/>
      <c r="C2" s="38"/>
      <c r="D2" s="38"/>
      <c r="E2" s="38"/>
      <c r="F2" s="38"/>
      <c r="G2" s="38"/>
      <c r="H2" s="38"/>
      <c r="I2" s="38"/>
      <c r="J2" s="39"/>
      <c r="K2" s="5"/>
      <c r="L2" t="s">
        <v>381</v>
      </c>
      <c r="M2" t="s">
        <v>1</v>
      </c>
      <c r="N2" t="s">
        <v>8</v>
      </c>
      <c r="O2" t="s">
        <v>1187</v>
      </c>
      <c r="P2" t="s">
        <v>1188</v>
      </c>
      <c r="Q2" t="s">
        <v>1133</v>
      </c>
      <c r="R2" t="s">
        <v>1189</v>
      </c>
      <c r="S2" t="s">
        <v>1190</v>
      </c>
      <c r="T2" t="s">
        <v>1191</v>
      </c>
    </row>
    <row r="3" spans="1:20">
      <c r="A3" s="37"/>
      <c r="B3" s="38"/>
      <c r="C3" s="38"/>
      <c r="D3" s="38"/>
      <c r="E3" s="38"/>
      <c r="F3" s="38"/>
      <c r="G3" s="38"/>
      <c r="H3" s="38"/>
      <c r="I3" s="38"/>
      <c r="J3" s="39"/>
      <c r="K3" s="5"/>
      <c r="L3" t="s">
        <v>494</v>
      </c>
      <c r="M3" t="s">
        <v>495</v>
      </c>
      <c r="N3" t="s">
        <v>93</v>
      </c>
      <c r="O3">
        <v>27</v>
      </c>
      <c r="P3">
        <v>103971.06</v>
      </c>
      <c r="Q3">
        <v>3850.78</v>
      </c>
      <c r="R3">
        <v>10956</v>
      </c>
      <c r="S3" t="s">
        <v>1115</v>
      </c>
      <c r="T3" t="s">
        <v>1192</v>
      </c>
    </row>
    <row r="4" spans="1:20">
      <c r="A4" s="37"/>
      <c r="B4" s="38"/>
      <c r="C4" s="38"/>
      <c r="D4" s="38"/>
      <c r="E4" s="38"/>
      <c r="F4" s="38"/>
      <c r="G4" s="38"/>
      <c r="H4" s="38"/>
      <c r="I4" s="38"/>
      <c r="J4" s="39"/>
      <c r="K4" s="5"/>
      <c r="L4" t="s">
        <v>439</v>
      </c>
      <c r="M4" t="s">
        <v>440</v>
      </c>
      <c r="N4" t="s">
        <v>443</v>
      </c>
      <c r="O4">
        <v>27</v>
      </c>
      <c r="P4">
        <v>88226.08</v>
      </c>
      <c r="Q4">
        <v>3267.63</v>
      </c>
      <c r="R4">
        <v>10957</v>
      </c>
      <c r="S4" t="s">
        <v>1121</v>
      </c>
      <c r="T4" t="s">
        <v>1192</v>
      </c>
    </row>
    <row r="5" spans="1:20">
      <c r="A5" s="37"/>
      <c r="B5" s="38"/>
      <c r="C5" s="38"/>
      <c r="D5" s="38"/>
      <c r="E5" s="38"/>
      <c r="F5" s="38"/>
      <c r="G5" s="38"/>
      <c r="H5" s="38"/>
      <c r="I5" s="38"/>
      <c r="J5" s="39"/>
      <c r="K5" s="5"/>
      <c r="L5" t="s">
        <v>593</v>
      </c>
      <c r="M5" t="s">
        <v>594</v>
      </c>
      <c r="N5" t="s">
        <v>26</v>
      </c>
      <c r="O5">
        <v>28</v>
      </c>
      <c r="P5">
        <v>85023</v>
      </c>
      <c r="Q5">
        <v>3036.54</v>
      </c>
      <c r="R5">
        <v>10952</v>
      </c>
      <c r="S5" t="s">
        <v>1119</v>
      </c>
      <c r="T5" t="s">
        <v>1192</v>
      </c>
    </row>
    <row r="6" spans="1:20">
      <c r="A6" s="37"/>
      <c r="B6" s="38"/>
      <c r="C6" s="38"/>
      <c r="D6" s="38"/>
      <c r="E6" s="38"/>
      <c r="F6" s="38"/>
      <c r="G6" s="38"/>
      <c r="H6" s="38"/>
      <c r="I6" s="38"/>
      <c r="J6" s="39"/>
      <c r="K6" s="5"/>
      <c r="L6" t="s">
        <v>457</v>
      </c>
      <c r="M6" t="s">
        <v>458</v>
      </c>
      <c r="N6" t="s">
        <v>26</v>
      </c>
      <c r="O6">
        <v>17</v>
      </c>
      <c r="P6">
        <v>49842.080000000002</v>
      </c>
      <c r="Q6">
        <v>2931.89</v>
      </c>
      <c r="R6">
        <v>10952</v>
      </c>
      <c r="S6" t="s">
        <v>1121</v>
      </c>
      <c r="T6" t="s">
        <v>1192</v>
      </c>
    </row>
    <row r="7" spans="1:20">
      <c r="A7" s="37"/>
      <c r="B7" s="38"/>
      <c r="C7" s="38"/>
      <c r="D7" s="38"/>
      <c r="E7" s="38"/>
      <c r="F7" s="38"/>
      <c r="G7" s="38"/>
      <c r="H7" s="38"/>
      <c r="I7" s="38"/>
      <c r="J7" s="39"/>
      <c r="K7" s="5"/>
      <c r="L7" t="s">
        <v>547</v>
      </c>
      <c r="M7" t="s">
        <v>548</v>
      </c>
      <c r="N7" t="s">
        <v>552</v>
      </c>
      <c r="O7">
        <v>18</v>
      </c>
      <c r="P7">
        <v>48636.959999999999</v>
      </c>
      <c r="Q7">
        <v>2702.05</v>
      </c>
      <c r="R7">
        <v>10959</v>
      </c>
      <c r="S7" t="s">
        <v>1121</v>
      </c>
      <c r="T7" t="s">
        <v>1192</v>
      </c>
    </row>
    <row r="8" spans="1:20">
      <c r="A8" s="37"/>
      <c r="B8" s="38"/>
      <c r="C8" s="38"/>
      <c r="D8" s="38"/>
      <c r="E8" s="38"/>
      <c r="F8" s="38"/>
      <c r="G8" s="38"/>
      <c r="H8" s="38"/>
      <c r="I8" s="38"/>
      <c r="J8" s="39"/>
      <c r="K8" s="5"/>
      <c r="L8" t="s">
        <v>402</v>
      </c>
      <c r="M8" t="s">
        <v>403</v>
      </c>
      <c r="N8" t="s">
        <v>86</v>
      </c>
      <c r="O8">
        <v>12</v>
      </c>
      <c r="P8">
        <v>30107.37</v>
      </c>
      <c r="Q8">
        <v>2508.9499999999998</v>
      </c>
      <c r="R8">
        <v>10962</v>
      </c>
      <c r="S8" t="s">
        <v>1115</v>
      </c>
      <c r="T8" t="s">
        <v>1192</v>
      </c>
    </row>
    <row r="9" spans="1:20">
      <c r="A9" s="37"/>
      <c r="B9" s="38"/>
      <c r="C9" s="38"/>
      <c r="D9" s="38"/>
      <c r="E9" s="38"/>
      <c r="F9" s="38"/>
      <c r="G9" s="38"/>
      <c r="H9" s="38"/>
      <c r="I9" s="38"/>
      <c r="J9" s="39"/>
      <c r="K9" s="5"/>
      <c r="L9" t="s">
        <v>610</v>
      </c>
      <c r="M9" t="s">
        <v>1142</v>
      </c>
      <c r="N9" t="s">
        <v>192</v>
      </c>
      <c r="O9">
        <v>13</v>
      </c>
      <c r="P9">
        <v>28872.19</v>
      </c>
      <c r="Q9">
        <v>2220.94</v>
      </c>
      <c r="R9">
        <v>11110</v>
      </c>
      <c r="S9" t="s">
        <v>1119</v>
      </c>
      <c r="T9" t="s">
        <v>1192</v>
      </c>
    </row>
    <row r="10" spans="1:20">
      <c r="A10" s="37"/>
      <c r="B10" s="38"/>
      <c r="C10" s="38"/>
      <c r="D10" s="38"/>
      <c r="E10" s="38"/>
      <c r="F10" s="38"/>
      <c r="G10" s="38"/>
      <c r="H10" s="38"/>
      <c r="I10" s="38"/>
      <c r="J10" s="39"/>
      <c r="K10" s="5"/>
      <c r="L10" t="s">
        <v>462</v>
      </c>
      <c r="M10" t="s">
        <v>1144</v>
      </c>
      <c r="N10" t="s">
        <v>79</v>
      </c>
      <c r="O10">
        <v>18</v>
      </c>
      <c r="P10">
        <v>28757.56</v>
      </c>
      <c r="Q10">
        <v>1597.64</v>
      </c>
      <c r="R10">
        <v>10952</v>
      </c>
      <c r="S10" t="s">
        <v>1115</v>
      </c>
      <c r="T10" t="s">
        <v>1192</v>
      </c>
    </row>
    <row r="11" spans="1:20">
      <c r="A11" s="37"/>
      <c r="B11" s="38"/>
      <c r="C11" s="38"/>
      <c r="D11" s="38"/>
      <c r="E11" s="38"/>
      <c r="F11" s="38"/>
      <c r="G11" s="38"/>
      <c r="H11" s="38"/>
      <c r="I11" s="38"/>
      <c r="J11" s="39"/>
      <c r="K11" s="5"/>
      <c r="L11" t="s">
        <v>589</v>
      </c>
      <c r="M11" t="s">
        <v>1146</v>
      </c>
      <c r="N11" t="s">
        <v>93</v>
      </c>
      <c r="O11">
        <v>13</v>
      </c>
      <c r="P11">
        <v>28748.38</v>
      </c>
      <c r="Q11">
        <v>2211.41</v>
      </c>
      <c r="R11">
        <v>10999</v>
      </c>
      <c r="S11" t="s">
        <v>1115</v>
      </c>
      <c r="T11" t="s">
        <v>1192</v>
      </c>
    </row>
    <row r="12" spans="1:20">
      <c r="A12" s="37"/>
      <c r="B12" s="38"/>
      <c r="C12" s="38"/>
      <c r="D12" s="38"/>
      <c r="E12" s="38"/>
      <c r="F12" s="38"/>
      <c r="G12" s="38"/>
      <c r="H12" s="38"/>
      <c r="I12" s="38"/>
      <c r="J12" s="39"/>
      <c r="K12" s="5"/>
      <c r="L12" t="s">
        <v>509</v>
      </c>
      <c r="M12" t="s">
        <v>1147</v>
      </c>
      <c r="N12" t="s">
        <v>79</v>
      </c>
      <c r="O12">
        <v>18</v>
      </c>
      <c r="P12">
        <v>24927.58</v>
      </c>
      <c r="Q12">
        <v>1384.87</v>
      </c>
      <c r="R12">
        <v>10985</v>
      </c>
      <c r="S12" t="s">
        <v>1115</v>
      </c>
      <c r="T12" t="s">
        <v>1192</v>
      </c>
    </row>
    <row r="13" spans="1:20">
      <c r="A13" s="37"/>
      <c r="B13" s="38"/>
      <c r="C13" s="38"/>
      <c r="D13" s="38"/>
      <c r="E13" s="38"/>
      <c r="F13" s="38"/>
      <c r="G13" s="38"/>
      <c r="H13" s="38"/>
      <c r="I13" s="38"/>
      <c r="J13" s="39"/>
      <c r="K13" s="5"/>
      <c r="L13" t="s">
        <v>475</v>
      </c>
      <c r="M13" t="s">
        <v>476</v>
      </c>
      <c r="N13" t="s">
        <v>93</v>
      </c>
      <c r="O13">
        <v>14</v>
      </c>
      <c r="P13">
        <v>23831.26</v>
      </c>
      <c r="Q13">
        <v>1702.23</v>
      </c>
      <c r="R13">
        <v>10984</v>
      </c>
      <c r="S13" t="s">
        <v>1129</v>
      </c>
      <c r="T13" t="s">
        <v>1192</v>
      </c>
    </row>
    <row r="14" spans="1:20">
      <c r="A14" s="37"/>
      <c r="B14" s="38"/>
      <c r="C14" s="38"/>
      <c r="D14" s="38"/>
      <c r="E14" s="38"/>
      <c r="F14" s="38"/>
      <c r="G14" s="38"/>
      <c r="H14" s="38"/>
      <c r="I14" s="38"/>
      <c r="J14" s="39"/>
      <c r="K14" s="5"/>
      <c r="L14" t="s">
        <v>661</v>
      </c>
      <c r="M14" t="s">
        <v>662</v>
      </c>
      <c r="N14" t="s">
        <v>86</v>
      </c>
      <c r="O14">
        <v>12</v>
      </c>
      <c r="P14">
        <v>23690.42</v>
      </c>
      <c r="Q14">
        <v>1974.2</v>
      </c>
      <c r="R14">
        <v>10970</v>
      </c>
      <c r="S14" t="s">
        <v>1115</v>
      </c>
      <c r="T14" s="9" t="s">
        <v>1192</v>
      </c>
    </row>
    <row r="15" spans="1:20">
      <c r="A15" s="37"/>
      <c r="B15" s="38"/>
      <c r="C15" s="38"/>
      <c r="D15" s="38"/>
      <c r="E15" s="38"/>
      <c r="F15" s="38"/>
      <c r="G15" s="38"/>
      <c r="H15" s="38"/>
      <c r="I15" s="38"/>
      <c r="J15" s="39"/>
      <c r="K15" s="5"/>
      <c r="L15" t="s">
        <v>412</v>
      </c>
      <c r="M15" t="s">
        <v>1151</v>
      </c>
      <c r="N15" t="s">
        <v>417</v>
      </c>
      <c r="O15">
        <v>10</v>
      </c>
      <c r="P15">
        <v>21601.68</v>
      </c>
      <c r="Q15">
        <v>2160.17</v>
      </c>
      <c r="R15">
        <v>10983</v>
      </c>
      <c r="S15" t="s">
        <v>1115</v>
      </c>
      <c r="T15" t="s">
        <v>1192</v>
      </c>
    </row>
    <row r="16" spans="1:20">
      <c r="A16" s="37"/>
      <c r="B16" s="38"/>
      <c r="C16" s="38"/>
      <c r="D16" s="38"/>
      <c r="E16" s="38"/>
      <c r="F16" s="38"/>
      <c r="G16" s="38"/>
      <c r="H16" s="38"/>
      <c r="I16" s="38"/>
      <c r="J16" s="39"/>
      <c r="K16" s="5"/>
      <c r="L16" t="s">
        <v>606</v>
      </c>
      <c r="M16" t="s">
        <v>607</v>
      </c>
      <c r="N16" t="s">
        <v>140</v>
      </c>
      <c r="O16">
        <v>16</v>
      </c>
      <c r="P16">
        <v>21170.5</v>
      </c>
      <c r="Q16">
        <v>1323.16</v>
      </c>
      <c r="R16">
        <v>10978</v>
      </c>
      <c r="S16" t="s">
        <v>1129</v>
      </c>
      <c r="T16" t="s">
        <v>1192</v>
      </c>
    </row>
    <row r="17" spans="1:20">
      <c r="A17" s="37"/>
      <c r="B17" s="38"/>
      <c r="C17" s="38"/>
      <c r="D17" s="38"/>
      <c r="E17" s="38"/>
      <c r="F17" s="38"/>
      <c r="G17" s="38"/>
      <c r="H17" s="38"/>
      <c r="I17" s="38"/>
      <c r="J17" s="39"/>
      <c r="K17" s="5"/>
      <c r="L17" t="s">
        <v>433</v>
      </c>
      <c r="M17" t="s">
        <v>1152</v>
      </c>
      <c r="N17" t="s">
        <v>438</v>
      </c>
      <c r="O17">
        <v>17</v>
      </c>
      <c r="P17">
        <v>21041.26</v>
      </c>
      <c r="Q17">
        <v>1237.72</v>
      </c>
      <c r="R17">
        <v>10964</v>
      </c>
      <c r="S17" t="s">
        <v>1115</v>
      </c>
      <c r="T17" t="s">
        <v>1192</v>
      </c>
    </row>
    <row r="18" spans="1:20">
      <c r="A18" s="37"/>
      <c r="B18" s="38"/>
      <c r="C18" s="38"/>
      <c r="D18" s="38"/>
      <c r="E18" s="38"/>
      <c r="F18" s="38"/>
      <c r="G18" s="38"/>
      <c r="H18" s="38"/>
      <c r="I18" s="38"/>
      <c r="J18" s="39"/>
      <c r="K18" s="5"/>
      <c r="L18" t="s">
        <v>628</v>
      </c>
      <c r="M18" t="s">
        <v>629</v>
      </c>
      <c r="N18" t="s">
        <v>443</v>
      </c>
      <c r="O18">
        <v>9</v>
      </c>
      <c r="P18">
        <v>20073.86</v>
      </c>
      <c r="Q18">
        <v>2230.4299999999998</v>
      </c>
      <c r="R18">
        <v>11027</v>
      </c>
      <c r="S18" t="s">
        <v>1121</v>
      </c>
      <c r="T18" t="s">
        <v>1193</v>
      </c>
    </row>
    <row r="19" spans="1:20">
      <c r="A19" s="37"/>
      <c r="B19" s="38"/>
      <c r="C19" s="38"/>
      <c r="D19" s="38"/>
      <c r="E19" s="38"/>
      <c r="F19" s="38"/>
      <c r="G19" s="38"/>
      <c r="H19" s="38"/>
      <c r="I19" s="38"/>
      <c r="J19" s="39"/>
      <c r="K19" s="5"/>
      <c r="L19" t="s">
        <v>467</v>
      </c>
      <c r="M19" t="s">
        <v>1154</v>
      </c>
      <c r="N19" t="s">
        <v>140</v>
      </c>
      <c r="O19">
        <v>11</v>
      </c>
      <c r="P19">
        <v>18534.080000000002</v>
      </c>
      <c r="Q19">
        <v>1684.92</v>
      </c>
      <c r="R19">
        <v>11036</v>
      </c>
      <c r="S19" t="s">
        <v>1115</v>
      </c>
      <c r="T19" t="s">
        <v>1192</v>
      </c>
    </row>
    <row r="20" spans="1:20">
      <c r="A20" s="37"/>
      <c r="B20" s="38"/>
      <c r="C20" s="38"/>
      <c r="D20" s="38"/>
      <c r="E20" s="38"/>
      <c r="F20" s="38"/>
      <c r="G20" s="38"/>
      <c r="H20" s="38"/>
      <c r="I20" s="38"/>
      <c r="J20" s="39"/>
      <c r="K20" s="5"/>
      <c r="L20" t="s">
        <v>679</v>
      </c>
      <c r="M20" t="s">
        <v>680</v>
      </c>
      <c r="N20" t="s">
        <v>192</v>
      </c>
      <c r="O20">
        <v>11</v>
      </c>
      <c r="P20">
        <v>18089.38</v>
      </c>
      <c r="Q20">
        <v>1644.49</v>
      </c>
      <c r="R20">
        <v>10962</v>
      </c>
      <c r="S20" t="s">
        <v>1117</v>
      </c>
      <c r="T20" t="s">
        <v>1192</v>
      </c>
    </row>
    <row r="21" spans="1:20">
      <c r="A21" s="37"/>
      <c r="B21" s="38"/>
      <c r="C21" s="38"/>
      <c r="D21" s="38"/>
      <c r="E21" s="38"/>
      <c r="F21" s="38"/>
      <c r="G21" s="38"/>
      <c r="H21" s="38"/>
      <c r="I21" s="38"/>
      <c r="J21" s="39"/>
      <c r="K21" s="5"/>
      <c r="L21" t="s">
        <v>735</v>
      </c>
      <c r="M21" t="s">
        <v>736</v>
      </c>
      <c r="N21" t="s">
        <v>26</v>
      </c>
      <c r="O21">
        <v>9</v>
      </c>
      <c r="P21">
        <v>17797.45</v>
      </c>
      <c r="Q21">
        <v>1977.49</v>
      </c>
      <c r="R21">
        <v>10951</v>
      </c>
      <c r="S21" t="s">
        <v>1115</v>
      </c>
      <c r="T21" t="s">
        <v>1193</v>
      </c>
    </row>
    <row r="22" spans="1:20">
      <c r="A22" s="37"/>
      <c r="B22" s="38"/>
      <c r="C22" s="38"/>
      <c r="D22" s="38"/>
      <c r="E22" s="38"/>
      <c r="F22" s="38"/>
      <c r="G22" s="38"/>
      <c r="H22" s="38"/>
      <c r="I22" s="38"/>
      <c r="J22" s="39"/>
      <c r="K22" s="5"/>
      <c r="L22" t="s">
        <v>514</v>
      </c>
      <c r="M22" t="s">
        <v>515</v>
      </c>
      <c r="N22" t="s">
        <v>93</v>
      </c>
      <c r="O22">
        <v>14</v>
      </c>
      <c r="P22">
        <v>17631.439999999999</v>
      </c>
      <c r="Q22">
        <v>1259.3900000000001</v>
      </c>
      <c r="R22">
        <v>10980</v>
      </c>
      <c r="S22" t="s">
        <v>1121</v>
      </c>
      <c r="T22" t="s">
        <v>1192</v>
      </c>
    </row>
    <row r="23" spans="1:20">
      <c r="A23" s="37"/>
      <c r="B23" s="38"/>
      <c r="C23" s="38"/>
      <c r="D23" s="38"/>
      <c r="E23" s="38"/>
      <c r="F23" s="38"/>
      <c r="G23" s="38"/>
      <c r="H23" s="38"/>
      <c r="I23" s="38"/>
      <c r="J23" s="39"/>
      <c r="K23" s="5"/>
      <c r="L23" t="s">
        <v>484</v>
      </c>
      <c r="M23" t="s">
        <v>485</v>
      </c>
      <c r="N23" t="s">
        <v>26</v>
      </c>
      <c r="O23">
        <v>12</v>
      </c>
      <c r="P23">
        <v>17532.36</v>
      </c>
      <c r="Q23">
        <v>1461.03</v>
      </c>
      <c r="R23">
        <v>10993</v>
      </c>
      <c r="S23" t="s">
        <v>1115</v>
      </c>
      <c r="T23" t="s">
        <v>1192</v>
      </c>
    </row>
    <row r="24" spans="1:20">
      <c r="A24" s="37"/>
      <c r="B24" s="38"/>
      <c r="C24" s="38"/>
      <c r="D24" s="38"/>
      <c r="E24" s="38"/>
      <c r="F24" s="38"/>
      <c r="G24" s="38"/>
      <c r="H24" s="38"/>
      <c r="I24" s="38"/>
      <c r="J24" s="39"/>
      <c r="K24" s="5"/>
      <c r="L24" t="s">
        <v>616</v>
      </c>
      <c r="M24" t="s">
        <v>617</v>
      </c>
      <c r="N24" t="s">
        <v>161</v>
      </c>
      <c r="O24">
        <v>6</v>
      </c>
      <c r="P24">
        <v>16585.009999999998</v>
      </c>
      <c r="Q24">
        <v>2764.17</v>
      </c>
      <c r="R24">
        <v>11050</v>
      </c>
      <c r="S24" t="s">
        <v>1119</v>
      </c>
      <c r="T24" t="s">
        <v>1193</v>
      </c>
    </row>
    <row r="25" spans="1:20">
      <c r="A25" s="37"/>
      <c r="B25" s="38"/>
      <c r="C25" s="38"/>
      <c r="D25" s="38"/>
      <c r="E25" s="38"/>
      <c r="F25" s="38"/>
      <c r="G25" s="38"/>
      <c r="H25" s="38"/>
      <c r="I25" s="38"/>
      <c r="J25" s="39"/>
      <c r="K25" s="5"/>
      <c r="L25" t="s">
        <v>638</v>
      </c>
      <c r="M25" t="s">
        <v>639</v>
      </c>
      <c r="N25" t="s">
        <v>18</v>
      </c>
      <c r="O25">
        <v>9</v>
      </c>
      <c r="P25">
        <v>16215.32</v>
      </c>
      <c r="Q25">
        <v>1801.7</v>
      </c>
      <c r="R25">
        <v>11013</v>
      </c>
      <c r="S25" t="s">
        <v>1119</v>
      </c>
      <c r="T25" t="s">
        <v>1193</v>
      </c>
    </row>
    <row r="26" spans="1:20">
      <c r="A26" s="37"/>
      <c r="B26" s="38"/>
      <c r="C26" s="38"/>
      <c r="D26" s="38"/>
      <c r="E26" s="38"/>
      <c r="F26" s="38"/>
      <c r="G26" s="38"/>
      <c r="H26" s="38"/>
      <c r="I26" s="38"/>
      <c r="J26" s="39"/>
      <c r="K26" s="5"/>
      <c r="L26" t="s">
        <v>657</v>
      </c>
      <c r="M26" t="s">
        <v>658</v>
      </c>
      <c r="N26" t="s">
        <v>161</v>
      </c>
      <c r="O26">
        <v>11</v>
      </c>
      <c r="P26">
        <v>15843.92</v>
      </c>
      <c r="Q26">
        <v>1440.36</v>
      </c>
      <c r="R26">
        <v>10956</v>
      </c>
      <c r="S26" t="s">
        <v>1117</v>
      </c>
      <c r="T26" t="s">
        <v>1192</v>
      </c>
    </row>
    <row r="27" spans="1:20">
      <c r="A27" s="37"/>
      <c r="B27" s="38"/>
      <c r="C27" s="38"/>
      <c r="D27" s="38"/>
      <c r="E27" s="38"/>
      <c r="F27" s="38"/>
      <c r="G27" s="38"/>
      <c r="H27" s="38"/>
      <c r="I27" s="38"/>
      <c r="J27" s="39"/>
      <c r="K27" s="5"/>
      <c r="L27" t="s">
        <v>423</v>
      </c>
      <c r="M27" t="s">
        <v>424</v>
      </c>
      <c r="N27" t="s">
        <v>422</v>
      </c>
      <c r="O27">
        <v>8</v>
      </c>
      <c r="P27">
        <v>15612.88</v>
      </c>
      <c r="Q27">
        <v>1951.61</v>
      </c>
      <c r="R27">
        <v>10973</v>
      </c>
      <c r="S27" t="s">
        <v>1129</v>
      </c>
      <c r="T27" t="s">
        <v>1193</v>
      </c>
    </row>
    <row r="28" spans="1:20">
      <c r="A28" s="37"/>
      <c r="B28" s="38"/>
      <c r="C28" s="38"/>
      <c r="D28" s="38"/>
      <c r="E28" s="38"/>
      <c r="F28" s="38"/>
      <c r="G28" s="38"/>
      <c r="H28" s="38"/>
      <c r="I28" s="38"/>
      <c r="J28" s="39"/>
      <c r="K28" s="5"/>
      <c r="L28" t="s">
        <v>522</v>
      </c>
      <c r="M28" t="s">
        <v>523</v>
      </c>
      <c r="N28" t="s">
        <v>438</v>
      </c>
      <c r="O28">
        <v>12</v>
      </c>
      <c r="P28">
        <v>15402.68</v>
      </c>
      <c r="Q28">
        <v>1283.56</v>
      </c>
      <c r="R28">
        <v>10955</v>
      </c>
      <c r="S28" t="s">
        <v>1121</v>
      </c>
      <c r="T28" t="s">
        <v>1192</v>
      </c>
    </row>
    <row r="29" spans="1:20">
      <c r="A29" s="37"/>
      <c r="B29" s="38"/>
      <c r="C29" s="38"/>
      <c r="D29" s="38"/>
      <c r="E29" s="38"/>
      <c r="F29" s="38"/>
      <c r="G29" s="38"/>
      <c r="H29" s="38"/>
      <c r="I29" s="38"/>
      <c r="J29" s="39"/>
      <c r="K29" s="5"/>
      <c r="L29" t="s">
        <v>471</v>
      </c>
      <c r="M29" t="s">
        <v>472</v>
      </c>
      <c r="N29" t="s">
        <v>176</v>
      </c>
      <c r="O29">
        <v>14</v>
      </c>
      <c r="P29">
        <v>15378.7</v>
      </c>
      <c r="Q29">
        <v>1098.48</v>
      </c>
      <c r="R29">
        <v>11062</v>
      </c>
      <c r="S29" t="s">
        <v>1121</v>
      </c>
      <c r="T29" t="s">
        <v>1192</v>
      </c>
    </row>
    <row r="30" spans="1:20">
      <c r="A30" s="37"/>
      <c r="B30" s="38"/>
      <c r="C30" s="38"/>
      <c r="D30" s="38"/>
      <c r="E30" s="38"/>
      <c r="F30" s="38"/>
      <c r="G30" s="38"/>
      <c r="H30" s="38"/>
      <c r="I30" s="38"/>
      <c r="J30" s="39"/>
      <c r="K30" s="5"/>
      <c r="L30" t="s">
        <v>561</v>
      </c>
      <c r="M30" t="s">
        <v>562</v>
      </c>
      <c r="N30" t="s">
        <v>26</v>
      </c>
      <c r="O30">
        <v>9</v>
      </c>
      <c r="P30">
        <v>14638.06</v>
      </c>
      <c r="Q30">
        <v>1626.45</v>
      </c>
      <c r="R30">
        <v>10969</v>
      </c>
      <c r="S30" t="s">
        <v>1119</v>
      </c>
      <c r="T30" t="s">
        <v>1193</v>
      </c>
    </row>
    <row r="31" spans="1:20">
      <c r="A31" s="37"/>
      <c r="B31" s="38"/>
      <c r="C31" s="38"/>
      <c r="D31" s="38"/>
      <c r="E31" s="38"/>
      <c r="F31" s="38"/>
      <c r="G31" s="38"/>
      <c r="H31" s="38"/>
      <c r="I31" s="38"/>
      <c r="J31" s="39"/>
      <c r="K31" s="5"/>
      <c r="L31" t="s">
        <v>685</v>
      </c>
      <c r="M31" t="s">
        <v>686</v>
      </c>
      <c r="N31" t="s">
        <v>438</v>
      </c>
      <c r="O31">
        <v>10</v>
      </c>
      <c r="P31">
        <v>13143.38</v>
      </c>
      <c r="Q31">
        <v>1314.34</v>
      </c>
      <c r="R31">
        <v>10972</v>
      </c>
      <c r="S31" t="s">
        <v>1119</v>
      </c>
      <c r="T31" t="s">
        <v>1192</v>
      </c>
    </row>
    <row r="32" spans="1:20">
      <c r="A32" s="37"/>
      <c r="B32" s="38"/>
      <c r="C32" s="38"/>
      <c r="D32" s="38"/>
      <c r="E32" s="38"/>
      <c r="F32" s="38"/>
      <c r="G32" s="38"/>
      <c r="H32" s="38"/>
      <c r="I32" s="38"/>
      <c r="J32" s="39"/>
      <c r="K32" s="5"/>
      <c r="L32" t="s">
        <v>632</v>
      </c>
      <c r="M32" t="s">
        <v>633</v>
      </c>
      <c r="N32" t="s">
        <v>18</v>
      </c>
      <c r="O32">
        <v>12</v>
      </c>
      <c r="P32">
        <v>12899.15</v>
      </c>
      <c r="Q32">
        <v>1074.93</v>
      </c>
      <c r="R32">
        <v>10973</v>
      </c>
      <c r="S32" t="s">
        <v>1123</v>
      </c>
      <c r="T32" t="s">
        <v>1192</v>
      </c>
    </row>
    <row r="33" spans="1:20">
      <c r="A33" s="37"/>
      <c r="B33" s="38"/>
      <c r="C33" s="38"/>
      <c r="D33" s="38"/>
      <c r="E33" s="38"/>
      <c r="F33" s="38"/>
      <c r="G33" s="38"/>
      <c r="H33" s="38"/>
      <c r="I33" s="38"/>
      <c r="J33" s="39"/>
      <c r="K33" s="5"/>
      <c r="L33" t="s">
        <v>449</v>
      </c>
      <c r="M33" t="s">
        <v>1159</v>
      </c>
      <c r="N33" t="s">
        <v>93</v>
      </c>
      <c r="O33">
        <v>9</v>
      </c>
      <c r="P33">
        <v>11863.8</v>
      </c>
      <c r="Q33">
        <v>1318.2</v>
      </c>
      <c r="R33">
        <v>10955</v>
      </c>
      <c r="S33" t="s">
        <v>1129</v>
      </c>
      <c r="T33" t="s">
        <v>1193</v>
      </c>
    </row>
    <row r="34" spans="1:20">
      <c r="A34" s="37"/>
      <c r="B34" s="38"/>
      <c r="C34" s="38"/>
      <c r="D34" s="38"/>
      <c r="E34" s="38"/>
      <c r="F34" s="38"/>
      <c r="G34" s="38"/>
      <c r="H34" s="38"/>
      <c r="I34" s="38"/>
      <c r="J34" s="39"/>
      <c r="K34" s="5"/>
      <c r="L34" t="s">
        <v>690</v>
      </c>
      <c r="M34" t="s">
        <v>691</v>
      </c>
      <c r="N34" t="s">
        <v>140</v>
      </c>
      <c r="O34">
        <v>5</v>
      </c>
      <c r="P34">
        <v>11666.9</v>
      </c>
      <c r="Q34">
        <v>2333.38</v>
      </c>
      <c r="R34">
        <v>11057</v>
      </c>
      <c r="S34" t="s">
        <v>1119</v>
      </c>
      <c r="T34" t="s">
        <v>1193</v>
      </c>
    </row>
    <row r="35" spans="1:20">
      <c r="A35" s="37"/>
      <c r="B35" s="38"/>
      <c r="C35" s="38"/>
      <c r="D35" s="38"/>
      <c r="E35" s="38"/>
      <c r="F35" s="38"/>
      <c r="G35" s="38"/>
      <c r="H35" s="38"/>
      <c r="I35" s="38"/>
      <c r="J35" s="39"/>
      <c r="K35" s="5"/>
      <c r="L35" t="s">
        <v>489</v>
      </c>
      <c r="M35" t="s">
        <v>490</v>
      </c>
      <c r="N35" t="s">
        <v>26</v>
      </c>
      <c r="O35">
        <v>9</v>
      </c>
      <c r="P35">
        <v>11441.63</v>
      </c>
      <c r="Q35">
        <v>1271.29</v>
      </c>
      <c r="R35">
        <v>10964</v>
      </c>
      <c r="S35" t="s">
        <v>1119</v>
      </c>
      <c r="T35" t="s">
        <v>1193</v>
      </c>
    </row>
    <row r="36" spans="1:20">
      <c r="A36" s="37"/>
      <c r="B36" s="38"/>
      <c r="C36" s="38"/>
      <c r="D36" s="38"/>
      <c r="E36" s="38"/>
      <c r="F36" s="38"/>
      <c r="G36" s="38"/>
      <c r="H36" s="38"/>
      <c r="I36" s="38"/>
      <c r="J36" s="39"/>
      <c r="K36" s="5"/>
      <c r="L36" t="s">
        <v>557</v>
      </c>
      <c r="M36" t="s">
        <v>1161</v>
      </c>
      <c r="N36" t="s">
        <v>50</v>
      </c>
      <c r="O36">
        <v>8</v>
      </c>
      <c r="P36">
        <v>10769.86</v>
      </c>
      <c r="Q36">
        <v>1346.23</v>
      </c>
      <c r="R36">
        <v>10976</v>
      </c>
      <c r="S36" t="s">
        <v>1119</v>
      </c>
      <c r="T36" t="s">
        <v>1193</v>
      </c>
    </row>
    <row r="37" spans="1:20">
      <c r="A37" s="37"/>
      <c r="B37" s="38"/>
      <c r="C37" s="38"/>
      <c r="D37" s="38"/>
      <c r="E37" s="38"/>
      <c r="F37" s="38"/>
      <c r="G37" s="38"/>
      <c r="H37" s="38"/>
      <c r="I37" s="38"/>
      <c r="J37" s="39"/>
      <c r="K37" s="5"/>
      <c r="L37" t="s">
        <v>527</v>
      </c>
      <c r="M37" t="s">
        <v>528</v>
      </c>
      <c r="N37" t="s">
        <v>86</v>
      </c>
      <c r="O37">
        <v>10</v>
      </c>
      <c r="P37">
        <v>10612.8</v>
      </c>
      <c r="Q37">
        <v>1061.28</v>
      </c>
      <c r="R37">
        <v>11008</v>
      </c>
      <c r="S37" t="s">
        <v>1119</v>
      </c>
      <c r="T37" t="s">
        <v>1192</v>
      </c>
    </row>
    <row r="38" spans="1:20">
      <c r="A38" s="37"/>
      <c r="B38" s="38"/>
      <c r="C38" s="38"/>
      <c r="D38" s="38"/>
      <c r="E38" s="38"/>
      <c r="F38" s="38"/>
      <c r="G38" s="38"/>
      <c r="H38" s="38"/>
      <c r="I38" s="38"/>
      <c r="J38" s="39"/>
      <c r="L38" t="s">
        <v>502</v>
      </c>
      <c r="M38" t="s">
        <v>503</v>
      </c>
      <c r="N38" t="s">
        <v>448</v>
      </c>
      <c r="O38">
        <v>9</v>
      </c>
      <c r="P38">
        <v>10452.15</v>
      </c>
      <c r="Q38">
        <v>1161.3499999999999</v>
      </c>
      <c r="R38">
        <v>10990</v>
      </c>
      <c r="S38" t="s">
        <v>1115</v>
      </c>
      <c r="T38" t="s">
        <v>1193</v>
      </c>
    </row>
    <row r="39" spans="1:20">
      <c r="A39" s="37"/>
      <c r="B39" s="38"/>
      <c r="C39" s="38"/>
      <c r="D39" s="38"/>
      <c r="E39" s="38"/>
      <c r="F39" s="38"/>
      <c r="G39" s="38"/>
      <c r="H39" s="38"/>
      <c r="I39" s="38"/>
      <c r="J39" s="39"/>
      <c r="L39" t="s">
        <v>739</v>
      </c>
      <c r="M39" t="s">
        <v>740</v>
      </c>
      <c r="N39" t="s">
        <v>417</v>
      </c>
      <c r="O39">
        <v>7</v>
      </c>
      <c r="P39">
        <v>9736.08</v>
      </c>
      <c r="Q39">
        <v>1390.87</v>
      </c>
      <c r="R39">
        <v>10951</v>
      </c>
      <c r="S39" t="s">
        <v>1119</v>
      </c>
      <c r="T39" t="s">
        <v>1193</v>
      </c>
    </row>
    <row r="40" spans="1:20">
      <c r="A40" s="37"/>
      <c r="B40" s="38"/>
      <c r="C40" s="38"/>
      <c r="D40" s="38"/>
      <c r="E40" s="38"/>
      <c r="F40" s="38"/>
      <c r="G40" s="38"/>
      <c r="H40" s="38"/>
      <c r="I40" s="38"/>
      <c r="J40" s="39"/>
      <c r="L40" t="s">
        <v>624</v>
      </c>
      <c r="M40" t="s">
        <v>625</v>
      </c>
      <c r="N40" t="s">
        <v>140</v>
      </c>
      <c r="O40">
        <v>13</v>
      </c>
      <c r="P40">
        <v>9292.2000000000007</v>
      </c>
      <c r="Q40">
        <v>714.78</v>
      </c>
      <c r="R40">
        <v>10986</v>
      </c>
      <c r="S40" t="s">
        <v>1115</v>
      </c>
      <c r="T40" t="s">
        <v>1193</v>
      </c>
    </row>
    <row r="41" spans="1:20">
      <c r="A41" s="37"/>
      <c r="B41" s="38"/>
      <c r="C41" s="38"/>
      <c r="D41" s="38"/>
      <c r="E41" s="38"/>
      <c r="F41" s="38"/>
      <c r="G41" s="38"/>
      <c r="H41" s="38"/>
      <c r="I41" s="38"/>
      <c r="J41" s="39"/>
      <c r="L41" t="s">
        <v>418</v>
      </c>
      <c r="M41" t="s">
        <v>419</v>
      </c>
      <c r="N41" t="s">
        <v>422</v>
      </c>
      <c r="O41">
        <v>6</v>
      </c>
      <c r="P41">
        <v>9289.08</v>
      </c>
      <c r="Q41">
        <v>1548.18</v>
      </c>
      <c r="R41">
        <v>10969</v>
      </c>
      <c r="S41" t="s">
        <v>1123</v>
      </c>
      <c r="T41" t="s">
        <v>1193</v>
      </c>
    </row>
    <row r="42" spans="1:20">
      <c r="A42" s="37"/>
      <c r="B42" s="38"/>
      <c r="C42" s="38"/>
      <c r="D42" s="38"/>
      <c r="E42" s="38"/>
      <c r="F42" s="38"/>
      <c r="G42" s="38"/>
      <c r="H42" s="38"/>
      <c r="I42" s="38"/>
      <c r="J42" s="39"/>
      <c r="L42" t="s">
        <v>408</v>
      </c>
      <c r="M42" t="s">
        <v>409</v>
      </c>
      <c r="N42" t="s">
        <v>140</v>
      </c>
      <c r="O42">
        <v>10</v>
      </c>
      <c r="P42">
        <v>9182.43</v>
      </c>
      <c r="Q42">
        <v>918.24</v>
      </c>
      <c r="R42">
        <v>11025</v>
      </c>
      <c r="S42" t="s">
        <v>1115</v>
      </c>
      <c r="T42" t="s">
        <v>1193</v>
      </c>
    </row>
    <row r="43" spans="1:20">
      <c r="A43" s="37"/>
      <c r="B43" s="38"/>
      <c r="C43" s="38"/>
      <c r="D43" s="38"/>
      <c r="E43" s="38"/>
      <c r="F43" s="38"/>
      <c r="G43" s="38"/>
      <c r="H43" s="38"/>
      <c r="I43" s="38"/>
      <c r="J43" s="39"/>
      <c r="L43" t="s">
        <v>646</v>
      </c>
      <c r="M43" t="s">
        <v>647</v>
      </c>
      <c r="N43" t="s">
        <v>18</v>
      </c>
      <c r="O43">
        <v>5</v>
      </c>
      <c r="P43">
        <v>8236.35</v>
      </c>
      <c r="Q43">
        <v>1647.27</v>
      </c>
      <c r="R43">
        <v>10958</v>
      </c>
      <c r="S43" t="s">
        <v>1121</v>
      </c>
      <c r="T43" t="s">
        <v>1193</v>
      </c>
    </row>
    <row r="44" spans="1:20">
      <c r="A44" s="37"/>
      <c r="B44" s="38"/>
      <c r="C44" s="38"/>
      <c r="D44" s="38"/>
      <c r="E44" s="38"/>
      <c r="F44" s="38"/>
      <c r="G44" s="38"/>
      <c r="H44" s="38"/>
      <c r="I44" s="38"/>
      <c r="J44" s="39"/>
      <c r="L44" t="s">
        <v>703</v>
      </c>
      <c r="M44" t="s">
        <v>704</v>
      </c>
      <c r="N44" t="s">
        <v>86</v>
      </c>
      <c r="O44">
        <v>8</v>
      </c>
      <c r="P44">
        <v>8140.54</v>
      </c>
      <c r="Q44">
        <v>1017.57</v>
      </c>
      <c r="R44">
        <v>10971</v>
      </c>
      <c r="S44" t="s">
        <v>1123</v>
      </c>
      <c r="T44" t="s">
        <v>1193</v>
      </c>
    </row>
    <row r="45" spans="1:20">
      <c r="A45" s="37"/>
      <c r="B45" s="38"/>
      <c r="C45" s="38"/>
      <c r="D45" s="38"/>
      <c r="E45" s="38"/>
      <c r="F45" s="38"/>
      <c r="G45" s="38"/>
      <c r="H45" s="38"/>
      <c r="I45" s="38"/>
      <c r="J45" s="39"/>
      <c r="L45" t="s">
        <v>553</v>
      </c>
      <c r="M45" t="s">
        <v>554</v>
      </c>
      <c r="N45" t="s">
        <v>93</v>
      </c>
      <c r="O45">
        <v>9</v>
      </c>
      <c r="P45">
        <v>8102.62</v>
      </c>
      <c r="Q45">
        <v>900.29</v>
      </c>
      <c r="R45">
        <v>11155</v>
      </c>
      <c r="S45" t="s">
        <v>1121</v>
      </c>
      <c r="T45" t="s">
        <v>1193</v>
      </c>
    </row>
    <row r="46" spans="1:20">
      <c r="A46" s="37"/>
      <c r="B46" s="38"/>
      <c r="C46" s="38"/>
      <c r="D46" s="38"/>
      <c r="E46" s="38"/>
      <c r="F46" s="38"/>
      <c r="G46" s="38"/>
      <c r="H46" s="38"/>
      <c r="I46" s="38"/>
      <c r="J46" s="39"/>
      <c r="L46" t="s">
        <v>498</v>
      </c>
      <c r="M46" t="s">
        <v>499</v>
      </c>
      <c r="N46" t="s">
        <v>113</v>
      </c>
      <c r="O46">
        <v>10</v>
      </c>
      <c r="P46">
        <v>7176.22</v>
      </c>
      <c r="Q46">
        <v>717.62</v>
      </c>
      <c r="R46">
        <v>10973</v>
      </c>
      <c r="S46" t="s">
        <v>1115</v>
      </c>
      <c r="T46" t="s">
        <v>1193</v>
      </c>
    </row>
    <row r="47" spans="1:20">
      <c r="A47" s="37"/>
      <c r="B47" s="38"/>
      <c r="C47" s="38"/>
      <c r="D47" s="38"/>
      <c r="E47" s="38"/>
      <c r="F47" s="38"/>
      <c r="G47" s="38"/>
      <c r="H47" s="38"/>
      <c r="I47" s="38"/>
      <c r="J47" s="39"/>
      <c r="L47" t="s">
        <v>650</v>
      </c>
      <c r="M47" t="s">
        <v>1163</v>
      </c>
      <c r="N47" t="s">
        <v>448</v>
      </c>
      <c r="O47">
        <v>7</v>
      </c>
      <c r="P47">
        <v>7023.98</v>
      </c>
      <c r="Q47">
        <v>1003.43</v>
      </c>
      <c r="R47">
        <v>11020</v>
      </c>
      <c r="S47" t="s">
        <v>1115</v>
      </c>
      <c r="T47" t="s">
        <v>1193</v>
      </c>
    </row>
    <row r="48" spans="1:20">
      <c r="A48" s="37"/>
      <c r="B48" s="38"/>
      <c r="C48" s="38"/>
      <c r="D48" s="38"/>
      <c r="E48" s="38"/>
      <c r="F48" s="38"/>
      <c r="G48" s="38"/>
      <c r="H48" s="38"/>
      <c r="I48" s="38"/>
      <c r="J48" s="39"/>
      <c r="L48" t="s">
        <v>543</v>
      </c>
      <c r="M48" t="s">
        <v>1164</v>
      </c>
      <c r="N48" t="s">
        <v>86</v>
      </c>
      <c r="O48">
        <v>6</v>
      </c>
      <c r="P48">
        <v>6850.66</v>
      </c>
      <c r="Q48">
        <v>1141.78</v>
      </c>
      <c r="R48">
        <v>11029</v>
      </c>
      <c r="S48" t="s">
        <v>1119</v>
      </c>
      <c r="T48" t="s">
        <v>1193</v>
      </c>
    </row>
    <row r="49" spans="1:20">
      <c r="A49" s="37"/>
      <c r="B49" s="38"/>
      <c r="C49" s="38"/>
      <c r="D49" s="38"/>
      <c r="E49" s="38"/>
      <c r="F49" s="38"/>
      <c r="G49" s="38"/>
      <c r="H49" s="38"/>
      <c r="I49" s="38"/>
      <c r="J49" s="39"/>
      <c r="L49" t="s">
        <v>453</v>
      </c>
      <c r="M49" t="s">
        <v>1165</v>
      </c>
      <c r="N49" t="s">
        <v>86</v>
      </c>
      <c r="O49">
        <v>9</v>
      </c>
      <c r="P49">
        <v>6664.81</v>
      </c>
      <c r="Q49">
        <v>740.53</v>
      </c>
      <c r="R49">
        <v>10958</v>
      </c>
      <c r="S49" t="s">
        <v>1117</v>
      </c>
      <c r="T49" t="s">
        <v>1193</v>
      </c>
    </row>
    <row r="50" spans="1:20">
      <c r="A50" s="37"/>
      <c r="B50" s="38"/>
      <c r="C50" s="38"/>
      <c r="D50" s="38"/>
      <c r="E50" s="38"/>
      <c r="F50" s="38"/>
      <c r="G50" s="38"/>
      <c r="H50" s="38"/>
      <c r="I50" s="38"/>
      <c r="J50" s="39"/>
      <c r="L50" t="s">
        <v>601</v>
      </c>
      <c r="M50" t="s">
        <v>602</v>
      </c>
      <c r="N50" t="s">
        <v>605</v>
      </c>
      <c r="O50">
        <v>8</v>
      </c>
      <c r="P50">
        <v>6427.42</v>
      </c>
      <c r="Q50">
        <v>803.43</v>
      </c>
      <c r="R50">
        <v>10970</v>
      </c>
      <c r="S50" t="s">
        <v>1117</v>
      </c>
      <c r="T50" t="s">
        <v>1193</v>
      </c>
    </row>
    <row r="51" spans="1:20">
      <c r="A51" s="37"/>
      <c r="B51" s="38"/>
      <c r="C51" s="38"/>
      <c r="D51" s="38"/>
      <c r="E51" s="38"/>
      <c r="F51" s="38"/>
      <c r="G51" s="38"/>
      <c r="H51" s="38"/>
      <c r="I51" s="38"/>
      <c r="J51" s="39"/>
      <c r="L51" t="s">
        <v>580</v>
      </c>
      <c r="M51" t="s">
        <v>581</v>
      </c>
      <c r="N51" t="s">
        <v>18</v>
      </c>
      <c r="O51">
        <v>10</v>
      </c>
      <c r="P51">
        <v>6146.3</v>
      </c>
      <c r="Q51">
        <v>614.63</v>
      </c>
      <c r="R51">
        <v>10983</v>
      </c>
      <c r="S51" t="s">
        <v>1115</v>
      </c>
      <c r="T51" t="s">
        <v>1193</v>
      </c>
    </row>
    <row r="52" spans="1:20">
      <c r="A52" s="37"/>
      <c r="B52" s="38"/>
      <c r="C52" s="38"/>
      <c r="D52" s="38"/>
      <c r="E52" s="38"/>
      <c r="F52" s="38"/>
      <c r="G52" s="38"/>
      <c r="H52" s="38"/>
      <c r="I52" s="38"/>
      <c r="J52" s="39"/>
      <c r="L52" t="s">
        <v>427</v>
      </c>
      <c r="M52" t="s">
        <v>428</v>
      </c>
      <c r="N52" t="s">
        <v>86</v>
      </c>
      <c r="O52">
        <v>9</v>
      </c>
      <c r="P52">
        <v>6068.2</v>
      </c>
      <c r="Q52">
        <v>674.24</v>
      </c>
      <c r="R52">
        <v>10980</v>
      </c>
      <c r="S52" t="s">
        <v>1115</v>
      </c>
      <c r="T52" t="s">
        <v>1193</v>
      </c>
    </row>
    <row r="53" spans="1:20">
      <c r="A53" s="37"/>
      <c r="B53" s="38"/>
      <c r="C53" s="38"/>
      <c r="D53" s="38"/>
      <c r="E53" s="38"/>
      <c r="F53" s="38"/>
      <c r="G53" s="38"/>
      <c r="H53" s="38"/>
      <c r="I53" s="38"/>
      <c r="J53" s="39"/>
      <c r="L53" t="s">
        <v>531</v>
      </c>
      <c r="M53" t="s">
        <v>532</v>
      </c>
      <c r="N53" t="s">
        <v>113</v>
      </c>
      <c r="O53">
        <v>10</v>
      </c>
      <c r="P53">
        <v>5996.84</v>
      </c>
      <c r="Q53">
        <v>599.67999999999995</v>
      </c>
      <c r="R53">
        <v>10978</v>
      </c>
      <c r="S53" t="s">
        <v>1121</v>
      </c>
      <c r="T53" t="s">
        <v>1193</v>
      </c>
    </row>
    <row r="54" spans="1:20">
      <c r="A54" s="37"/>
      <c r="B54" s="38"/>
      <c r="C54" s="38"/>
      <c r="D54" s="38"/>
      <c r="E54" s="38"/>
      <c r="F54" s="38"/>
      <c r="G54" s="38"/>
      <c r="H54" s="38"/>
      <c r="I54" s="38"/>
      <c r="J54" s="39"/>
      <c r="L54" t="s">
        <v>675</v>
      </c>
      <c r="M54" t="s">
        <v>1166</v>
      </c>
      <c r="N54" t="s">
        <v>121</v>
      </c>
      <c r="O54">
        <v>5</v>
      </c>
      <c r="P54">
        <v>5112.8</v>
      </c>
      <c r="Q54">
        <v>1022.56</v>
      </c>
      <c r="R54">
        <v>10991</v>
      </c>
      <c r="S54" t="s">
        <v>1115</v>
      </c>
      <c r="T54" t="s">
        <v>1193</v>
      </c>
    </row>
    <row r="55" spans="1:20">
      <c r="A55" s="37"/>
      <c r="B55" s="38"/>
      <c r="C55" s="38"/>
      <c r="D55" s="38"/>
      <c r="E55" s="38"/>
      <c r="F55" s="38"/>
      <c r="G55" s="38"/>
      <c r="H55" s="38"/>
      <c r="I55" s="38"/>
      <c r="J55" s="39"/>
      <c r="L55" t="s">
        <v>613</v>
      </c>
      <c r="M55" t="s">
        <v>614</v>
      </c>
      <c r="N55" t="s">
        <v>605</v>
      </c>
      <c r="O55">
        <v>5</v>
      </c>
      <c r="P55">
        <v>5044.9399999999996</v>
      </c>
      <c r="Q55">
        <v>1008.99</v>
      </c>
      <c r="R55">
        <v>10950</v>
      </c>
      <c r="S55" t="s">
        <v>1123</v>
      </c>
      <c r="T55" t="s">
        <v>1193</v>
      </c>
    </row>
    <row r="56" spans="1:20">
      <c r="A56" s="37"/>
      <c r="B56" s="38"/>
      <c r="C56" s="38"/>
      <c r="D56" s="38"/>
      <c r="E56" s="38"/>
      <c r="F56" s="38"/>
      <c r="G56" s="38"/>
      <c r="H56" s="38"/>
      <c r="I56" s="38"/>
      <c r="J56" s="39"/>
      <c r="L56" t="s">
        <v>505</v>
      </c>
      <c r="M56" t="s">
        <v>506</v>
      </c>
      <c r="N56" t="s">
        <v>93</v>
      </c>
      <c r="O56">
        <v>5</v>
      </c>
      <c r="P56">
        <v>5042.2</v>
      </c>
      <c r="Q56">
        <v>1008.44</v>
      </c>
      <c r="R56">
        <v>10977</v>
      </c>
      <c r="S56" t="s">
        <v>1119</v>
      </c>
      <c r="T56" t="s">
        <v>1193</v>
      </c>
    </row>
    <row r="57" spans="1:20">
      <c r="A57" s="37"/>
      <c r="B57" s="38"/>
      <c r="C57" s="38"/>
      <c r="D57" s="38"/>
      <c r="E57" s="38"/>
      <c r="F57" s="38"/>
      <c r="G57" s="38"/>
      <c r="H57" s="38"/>
      <c r="I57" s="38"/>
      <c r="J57" s="39"/>
      <c r="L57" t="s">
        <v>398</v>
      </c>
      <c r="M57" t="s">
        <v>1167</v>
      </c>
      <c r="N57" t="s">
        <v>93</v>
      </c>
      <c r="O57">
        <v>6</v>
      </c>
      <c r="P57">
        <v>4778.1400000000003</v>
      </c>
      <c r="Q57">
        <v>796.36</v>
      </c>
      <c r="R57">
        <v>10966</v>
      </c>
      <c r="S57" t="s">
        <v>1115</v>
      </c>
      <c r="T57" t="s">
        <v>1194</v>
      </c>
    </row>
    <row r="58" spans="1:20">
      <c r="A58" s="37"/>
      <c r="B58" s="38"/>
      <c r="C58" s="38"/>
      <c r="D58" s="38"/>
      <c r="E58" s="38"/>
      <c r="F58" s="38"/>
      <c r="G58" s="38"/>
      <c r="H58" s="38"/>
      <c r="I58" s="38"/>
      <c r="J58" s="39"/>
      <c r="L58" t="s">
        <v>535</v>
      </c>
      <c r="M58" t="s">
        <v>536</v>
      </c>
      <c r="N58" t="s">
        <v>18</v>
      </c>
      <c r="O58">
        <v>9</v>
      </c>
      <c r="P58">
        <v>4589.8999999999996</v>
      </c>
      <c r="Q58">
        <v>509.99</v>
      </c>
      <c r="R58">
        <v>10976</v>
      </c>
      <c r="S58" t="s">
        <v>1123</v>
      </c>
      <c r="T58" t="s">
        <v>1194</v>
      </c>
    </row>
    <row r="59" spans="1:20">
      <c r="A59" s="37"/>
      <c r="B59" s="38"/>
      <c r="C59" s="38"/>
      <c r="D59" s="38"/>
      <c r="E59" s="38"/>
      <c r="F59" s="38"/>
      <c r="G59" s="38"/>
      <c r="H59" s="38"/>
      <c r="I59" s="38"/>
      <c r="J59" s="39"/>
      <c r="L59" t="s">
        <v>598</v>
      </c>
      <c r="M59" t="s">
        <v>1169</v>
      </c>
      <c r="N59" t="s">
        <v>50</v>
      </c>
      <c r="O59">
        <v>3</v>
      </c>
      <c r="P59">
        <v>4232.8500000000004</v>
      </c>
      <c r="Q59">
        <v>1410.95</v>
      </c>
      <c r="R59">
        <v>10965</v>
      </c>
      <c r="S59" t="s">
        <v>1123</v>
      </c>
      <c r="T59" t="s">
        <v>1194</v>
      </c>
    </row>
    <row r="60" spans="1:20">
      <c r="A60" s="37"/>
      <c r="B60" s="38"/>
      <c r="C60" s="38"/>
      <c r="D60" s="38"/>
      <c r="E60" s="38"/>
      <c r="F60" s="38"/>
      <c r="G60" s="38"/>
      <c r="H60" s="38"/>
      <c r="I60" s="38"/>
      <c r="J60" s="39"/>
      <c r="L60" t="s">
        <v>620</v>
      </c>
      <c r="M60" t="s">
        <v>621</v>
      </c>
      <c r="N60" t="s">
        <v>86</v>
      </c>
      <c r="O60">
        <v>7</v>
      </c>
      <c r="P60">
        <v>4107.55</v>
      </c>
      <c r="Q60">
        <v>586.79</v>
      </c>
      <c r="R60">
        <v>11109</v>
      </c>
      <c r="S60" t="s">
        <v>1115</v>
      </c>
      <c r="T60" t="s">
        <v>1194</v>
      </c>
    </row>
    <row r="61" spans="1:20" ht="14" thickBot="1">
      <c r="A61" s="40"/>
      <c r="B61" s="41"/>
      <c r="C61" s="41"/>
      <c r="D61" s="41"/>
      <c r="E61" s="41"/>
      <c r="F61" s="41"/>
      <c r="G61" s="41"/>
      <c r="H61" s="41"/>
      <c r="I61" s="41"/>
      <c r="J61" s="42"/>
      <c r="L61" t="s">
        <v>586</v>
      </c>
      <c r="M61" t="s">
        <v>1170</v>
      </c>
      <c r="N61" t="s">
        <v>448</v>
      </c>
      <c r="O61">
        <v>5</v>
      </c>
      <c r="P61">
        <v>3942.2</v>
      </c>
      <c r="Q61">
        <v>788.44</v>
      </c>
      <c r="R61">
        <v>10956</v>
      </c>
      <c r="S61" t="s">
        <v>1115</v>
      </c>
      <c r="T61" t="s">
        <v>1194</v>
      </c>
    </row>
    <row r="62" spans="1:20">
      <c r="L62" t="s">
        <v>694</v>
      </c>
      <c r="M62" t="s">
        <v>1171</v>
      </c>
      <c r="N62" t="s">
        <v>698</v>
      </c>
      <c r="O62">
        <v>5</v>
      </c>
      <c r="P62">
        <v>3460.2</v>
      </c>
      <c r="Q62">
        <v>692.04</v>
      </c>
      <c r="R62">
        <v>10959</v>
      </c>
      <c r="S62" t="s">
        <v>1121</v>
      </c>
      <c r="T62" t="s">
        <v>1194</v>
      </c>
    </row>
    <row r="63" spans="1:20">
      <c r="L63" t="s">
        <v>539</v>
      </c>
      <c r="M63" t="s">
        <v>1172</v>
      </c>
      <c r="N63" t="s">
        <v>86</v>
      </c>
      <c r="O63">
        <v>4</v>
      </c>
      <c r="P63">
        <v>3405</v>
      </c>
      <c r="Q63">
        <v>851.25</v>
      </c>
      <c r="R63">
        <v>10966</v>
      </c>
      <c r="S63" t="s">
        <v>1129</v>
      </c>
      <c r="T63" t="s">
        <v>1194</v>
      </c>
    </row>
    <row r="64" spans="1:20">
      <c r="L64" t="s">
        <v>573</v>
      </c>
      <c r="M64" t="s">
        <v>574</v>
      </c>
      <c r="N64" t="s">
        <v>26</v>
      </c>
      <c r="O64">
        <v>4</v>
      </c>
      <c r="P64">
        <v>3361</v>
      </c>
      <c r="Q64">
        <v>840.25</v>
      </c>
      <c r="R64">
        <v>10957</v>
      </c>
      <c r="S64" t="s">
        <v>1115</v>
      </c>
      <c r="T64" t="s">
        <v>1194</v>
      </c>
    </row>
    <row r="65" spans="12:20">
      <c r="L65" t="s">
        <v>762</v>
      </c>
      <c r="M65" t="s">
        <v>763</v>
      </c>
      <c r="N65" t="s">
        <v>93</v>
      </c>
      <c r="O65">
        <v>5</v>
      </c>
      <c r="P65">
        <v>3339.5</v>
      </c>
      <c r="Q65">
        <v>667.9</v>
      </c>
      <c r="R65">
        <v>10973</v>
      </c>
      <c r="S65" t="s">
        <v>1117</v>
      </c>
      <c r="T65" t="s">
        <v>1194</v>
      </c>
    </row>
    <row r="66" spans="12:20">
      <c r="L66" t="s">
        <v>765</v>
      </c>
      <c r="M66" t="s">
        <v>766</v>
      </c>
      <c r="N66" t="s">
        <v>140</v>
      </c>
      <c r="O66">
        <v>3</v>
      </c>
      <c r="P66">
        <v>3172.16</v>
      </c>
      <c r="Q66">
        <v>1057.3900000000001</v>
      </c>
      <c r="R66">
        <v>10965</v>
      </c>
      <c r="S66" t="s">
        <v>1115</v>
      </c>
      <c r="T66" t="s">
        <v>1194</v>
      </c>
    </row>
    <row r="67" spans="12:20">
      <c r="L67" t="s">
        <v>753</v>
      </c>
      <c r="M67" t="s">
        <v>754</v>
      </c>
      <c r="N67" t="s">
        <v>176</v>
      </c>
      <c r="O67">
        <v>7</v>
      </c>
      <c r="P67">
        <v>3161.35</v>
      </c>
      <c r="Q67">
        <v>451.62</v>
      </c>
      <c r="R67">
        <v>10951</v>
      </c>
      <c r="S67" t="s">
        <v>1115</v>
      </c>
      <c r="T67" t="s">
        <v>1194</v>
      </c>
    </row>
    <row r="68" spans="12:20">
      <c r="L68" t="s">
        <v>748</v>
      </c>
      <c r="M68" t="s">
        <v>749</v>
      </c>
      <c r="N68" t="s">
        <v>26</v>
      </c>
      <c r="O68">
        <v>4</v>
      </c>
      <c r="P68">
        <v>3076.47</v>
      </c>
      <c r="Q68">
        <v>769.12</v>
      </c>
      <c r="R68">
        <v>11005</v>
      </c>
      <c r="S68" t="s">
        <v>1117</v>
      </c>
      <c r="T68" t="s">
        <v>1194</v>
      </c>
    </row>
    <row r="69" spans="12:20">
      <c r="L69" t="s">
        <v>671</v>
      </c>
      <c r="M69" t="s">
        <v>672</v>
      </c>
      <c r="N69" t="s">
        <v>26</v>
      </c>
      <c r="O69">
        <v>5</v>
      </c>
      <c r="P69">
        <v>3063.2</v>
      </c>
      <c r="Q69">
        <v>612.64</v>
      </c>
      <c r="R69">
        <v>11162</v>
      </c>
      <c r="S69" t="s">
        <v>1125</v>
      </c>
      <c r="T69" t="s">
        <v>1194</v>
      </c>
    </row>
    <row r="70" spans="12:20">
      <c r="L70" t="s">
        <v>665</v>
      </c>
      <c r="M70" t="s">
        <v>1110</v>
      </c>
      <c r="N70" t="s">
        <v>670</v>
      </c>
      <c r="O70">
        <v>6</v>
      </c>
      <c r="P70">
        <v>2940.35</v>
      </c>
      <c r="Q70">
        <v>490.06</v>
      </c>
      <c r="R70">
        <v>10955</v>
      </c>
      <c r="S70" t="s">
        <v>1115</v>
      </c>
      <c r="T70" t="s">
        <v>1194</v>
      </c>
    </row>
    <row r="71" spans="12:20">
      <c r="L71" t="s">
        <v>712</v>
      </c>
      <c r="M71" t="s">
        <v>713</v>
      </c>
      <c r="N71" t="s">
        <v>698</v>
      </c>
      <c r="O71">
        <v>4</v>
      </c>
      <c r="P71">
        <v>2768.1</v>
      </c>
      <c r="Q71">
        <v>692.02</v>
      </c>
      <c r="R71">
        <v>10990</v>
      </c>
      <c r="S71" t="s">
        <v>1119</v>
      </c>
      <c r="T71" t="s">
        <v>1194</v>
      </c>
    </row>
    <row r="72" spans="12:20">
      <c r="L72" t="s">
        <v>566</v>
      </c>
      <c r="M72" t="s">
        <v>567</v>
      </c>
      <c r="N72" t="s">
        <v>26</v>
      </c>
      <c r="O72">
        <v>7</v>
      </c>
      <c r="P72">
        <v>2683.6</v>
      </c>
      <c r="Q72">
        <v>383.37</v>
      </c>
      <c r="R72">
        <v>11005</v>
      </c>
      <c r="S72" t="s">
        <v>1115</v>
      </c>
      <c r="T72" t="s">
        <v>1194</v>
      </c>
    </row>
    <row r="73" spans="12:20">
      <c r="L73" t="s">
        <v>724</v>
      </c>
      <c r="M73" t="s">
        <v>725</v>
      </c>
      <c r="N73" t="s">
        <v>93</v>
      </c>
      <c r="O73">
        <v>6</v>
      </c>
      <c r="P73">
        <v>2381.8000000000002</v>
      </c>
      <c r="Q73">
        <v>396.97</v>
      </c>
      <c r="R73">
        <v>10972</v>
      </c>
      <c r="S73" t="s">
        <v>1115</v>
      </c>
      <c r="T73" t="s">
        <v>1194</v>
      </c>
    </row>
    <row r="74" spans="12:20">
      <c r="L74" t="s">
        <v>769</v>
      </c>
      <c r="M74" t="s">
        <v>1173</v>
      </c>
      <c r="N74" t="s">
        <v>140</v>
      </c>
      <c r="O74">
        <v>3</v>
      </c>
      <c r="P74">
        <v>2213.35</v>
      </c>
      <c r="Q74">
        <v>737.78</v>
      </c>
      <c r="R74">
        <v>10969</v>
      </c>
      <c r="S74" t="s">
        <v>1115</v>
      </c>
      <c r="T74" t="s">
        <v>1194</v>
      </c>
    </row>
    <row r="75" spans="12:20">
      <c r="L75" t="s">
        <v>772</v>
      </c>
      <c r="M75" t="s">
        <v>773</v>
      </c>
      <c r="N75" t="s">
        <v>140</v>
      </c>
      <c r="O75">
        <v>4</v>
      </c>
      <c r="P75">
        <v>1992.05</v>
      </c>
      <c r="Q75">
        <v>498.01</v>
      </c>
      <c r="R75">
        <v>10965</v>
      </c>
      <c r="S75" t="s">
        <v>1115</v>
      </c>
      <c r="T75" t="s">
        <v>1195</v>
      </c>
    </row>
    <row r="76" spans="12:20">
      <c r="L76" t="s">
        <v>642</v>
      </c>
      <c r="M76" t="s">
        <v>643</v>
      </c>
      <c r="N76" t="s">
        <v>93</v>
      </c>
      <c r="O76">
        <v>4</v>
      </c>
      <c r="P76">
        <v>1984.36</v>
      </c>
      <c r="Q76">
        <v>496.09</v>
      </c>
      <c r="R76">
        <v>11039</v>
      </c>
      <c r="S76" t="s">
        <v>1121</v>
      </c>
      <c r="T76" t="s">
        <v>1195</v>
      </c>
    </row>
    <row r="77" spans="12:20">
      <c r="L77" t="s">
        <v>757</v>
      </c>
      <c r="M77" t="s">
        <v>758</v>
      </c>
      <c r="N77" t="s">
        <v>26</v>
      </c>
      <c r="O77">
        <v>3</v>
      </c>
      <c r="P77">
        <v>1947.24</v>
      </c>
      <c r="Q77">
        <v>649.08000000000004</v>
      </c>
      <c r="R77">
        <v>10952</v>
      </c>
      <c r="S77" t="s">
        <v>1115</v>
      </c>
      <c r="T77" t="s">
        <v>1195</v>
      </c>
    </row>
    <row r="78" spans="12:20">
      <c r="L78" t="s">
        <v>708</v>
      </c>
      <c r="M78" t="s">
        <v>709</v>
      </c>
      <c r="N78" t="s">
        <v>18</v>
      </c>
      <c r="O78">
        <v>3</v>
      </c>
      <c r="P78">
        <v>1719.1</v>
      </c>
      <c r="Q78">
        <v>573.03</v>
      </c>
      <c r="R78">
        <v>11025</v>
      </c>
      <c r="S78" t="s">
        <v>1123</v>
      </c>
      <c r="T78" t="s">
        <v>1195</v>
      </c>
    </row>
    <row r="79" spans="12:20">
      <c r="L79" t="s">
        <v>576</v>
      </c>
      <c r="M79" t="s">
        <v>577</v>
      </c>
      <c r="N79" t="s">
        <v>140</v>
      </c>
      <c r="O79">
        <v>4</v>
      </c>
      <c r="P79">
        <v>1615.9</v>
      </c>
      <c r="Q79">
        <v>403.98</v>
      </c>
      <c r="R79">
        <v>11001</v>
      </c>
      <c r="S79" t="s">
        <v>1115</v>
      </c>
      <c r="T79" t="s">
        <v>1195</v>
      </c>
    </row>
    <row r="80" spans="12:20">
      <c r="L80" t="s">
        <v>744</v>
      </c>
      <c r="M80" t="s">
        <v>745</v>
      </c>
      <c r="N80" t="s">
        <v>26</v>
      </c>
      <c r="O80">
        <v>3</v>
      </c>
      <c r="P80">
        <v>1571.2</v>
      </c>
      <c r="Q80">
        <v>523.73</v>
      </c>
      <c r="R80">
        <v>11040</v>
      </c>
      <c r="S80" t="s">
        <v>1115</v>
      </c>
      <c r="T80" t="s">
        <v>1195</v>
      </c>
    </row>
    <row r="81" spans="12:20">
      <c r="L81" t="s">
        <v>732</v>
      </c>
      <c r="M81" t="s">
        <v>733</v>
      </c>
      <c r="N81" t="s">
        <v>698</v>
      </c>
      <c r="O81">
        <v>5</v>
      </c>
      <c r="P81">
        <v>1509.8</v>
      </c>
      <c r="Q81">
        <v>301.95999999999998</v>
      </c>
      <c r="R81">
        <v>10979</v>
      </c>
      <c r="S81" t="s">
        <v>1115</v>
      </c>
      <c r="T81" t="s">
        <v>1195</v>
      </c>
    </row>
    <row r="82" spans="12:20">
      <c r="L82" t="s">
        <v>479</v>
      </c>
      <c r="M82" t="s">
        <v>480</v>
      </c>
      <c r="N82" t="s">
        <v>438</v>
      </c>
      <c r="O82">
        <v>2</v>
      </c>
      <c r="P82">
        <v>1488.7</v>
      </c>
      <c r="Q82">
        <v>744.35</v>
      </c>
      <c r="R82">
        <v>11061</v>
      </c>
      <c r="S82" t="s">
        <v>1115</v>
      </c>
      <c r="T82" t="s">
        <v>1195</v>
      </c>
    </row>
    <row r="83" spans="12:20">
      <c r="L83" t="s">
        <v>394</v>
      </c>
      <c r="M83" t="s">
        <v>395</v>
      </c>
      <c r="N83" t="s">
        <v>140</v>
      </c>
      <c r="O83">
        <v>5</v>
      </c>
      <c r="P83">
        <v>1480</v>
      </c>
      <c r="Q83">
        <v>296</v>
      </c>
      <c r="R83">
        <v>11097</v>
      </c>
      <c r="S83" t="s">
        <v>1123</v>
      </c>
      <c r="T83" t="s">
        <v>1195</v>
      </c>
    </row>
    <row r="84" spans="12:20">
      <c r="L84" t="s">
        <v>570</v>
      </c>
      <c r="M84" t="s">
        <v>571</v>
      </c>
      <c r="N84" t="s">
        <v>448</v>
      </c>
      <c r="O84">
        <v>4</v>
      </c>
      <c r="P84">
        <v>1402.95</v>
      </c>
      <c r="Q84">
        <v>350.74</v>
      </c>
      <c r="R84">
        <v>10985</v>
      </c>
      <c r="S84" t="s">
        <v>1121</v>
      </c>
      <c r="T84" t="s">
        <v>1195</v>
      </c>
    </row>
    <row r="85" spans="12:20">
      <c r="L85" t="s">
        <v>518</v>
      </c>
      <c r="M85" t="s">
        <v>519</v>
      </c>
      <c r="N85" t="s">
        <v>50</v>
      </c>
      <c r="O85">
        <v>4</v>
      </c>
      <c r="P85">
        <v>1106.29</v>
      </c>
      <c r="Q85">
        <v>276.57</v>
      </c>
      <c r="R85">
        <v>10987</v>
      </c>
      <c r="S85" t="s">
        <v>1129</v>
      </c>
      <c r="T85" t="s">
        <v>1195</v>
      </c>
    </row>
    <row r="86" spans="12:20">
      <c r="L86" t="s">
        <v>653</v>
      </c>
      <c r="M86" t="s">
        <v>1174</v>
      </c>
      <c r="N86" t="s">
        <v>50</v>
      </c>
      <c r="O86">
        <v>5</v>
      </c>
      <c r="P86">
        <v>836.7</v>
      </c>
      <c r="Q86">
        <v>167.34</v>
      </c>
      <c r="R86">
        <v>10984</v>
      </c>
      <c r="S86" t="s">
        <v>1119</v>
      </c>
      <c r="T86" t="s">
        <v>1195</v>
      </c>
    </row>
    <row r="87" spans="12:20">
      <c r="L87" t="s">
        <v>728</v>
      </c>
      <c r="M87" t="s">
        <v>729</v>
      </c>
      <c r="N87" t="s">
        <v>18</v>
      </c>
      <c r="O87">
        <v>2</v>
      </c>
      <c r="P87">
        <v>604</v>
      </c>
      <c r="Q87">
        <v>302</v>
      </c>
      <c r="R87">
        <v>11085</v>
      </c>
      <c r="S87" t="s">
        <v>1115</v>
      </c>
      <c r="T87" t="s">
        <v>1195</v>
      </c>
    </row>
    <row r="88" spans="12:20">
      <c r="L88" t="s">
        <v>719</v>
      </c>
      <c r="M88" t="s">
        <v>720</v>
      </c>
      <c r="N88" t="s">
        <v>192</v>
      </c>
      <c r="O88">
        <v>3</v>
      </c>
      <c r="P88">
        <v>522.5</v>
      </c>
      <c r="Q88">
        <v>174.17</v>
      </c>
      <c r="R88">
        <v>11047</v>
      </c>
      <c r="S88" t="s">
        <v>1115</v>
      </c>
      <c r="T88" t="s">
        <v>1195</v>
      </c>
    </row>
    <row r="89" spans="12:20">
      <c r="L89" t="s">
        <v>715</v>
      </c>
      <c r="M89" t="s">
        <v>716</v>
      </c>
      <c r="N89" t="s">
        <v>26</v>
      </c>
      <c r="O89">
        <v>2</v>
      </c>
      <c r="P89">
        <v>357</v>
      </c>
      <c r="Q89">
        <v>178.5</v>
      </c>
      <c r="R89">
        <v>11271</v>
      </c>
      <c r="S89" t="s">
        <v>1121</v>
      </c>
      <c r="T89" t="s">
        <v>1195</v>
      </c>
    </row>
    <row r="90" spans="12:20">
      <c r="L90" t="s">
        <v>699</v>
      </c>
      <c r="M90" t="s">
        <v>700</v>
      </c>
      <c r="N90" t="s">
        <v>113</v>
      </c>
      <c r="O90">
        <v>4</v>
      </c>
      <c r="P90">
        <v>249.7</v>
      </c>
      <c r="Q90">
        <v>62.42</v>
      </c>
      <c r="R90">
        <v>11048</v>
      </c>
      <c r="S90" t="s">
        <v>1119</v>
      </c>
      <c r="T90" t="s">
        <v>1195</v>
      </c>
    </row>
    <row r="91" spans="12:20">
      <c r="L91" t="s">
        <v>444</v>
      </c>
      <c r="M91" t="s">
        <v>445</v>
      </c>
      <c r="N91" t="s">
        <v>448</v>
      </c>
      <c r="O91">
        <v>1</v>
      </c>
      <c r="P91">
        <v>100.8</v>
      </c>
      <c r="Q91">
        <v>100.8</v>
      </c>
      <c r="R91">
        <v>11579</v>
      </c>
      <c r="S91" t="s">
        <v>1119</v>
      </c>
      <c r="T91" t="s">
        <v>1195</v>
      </c>
    </row>
  </sheetData>
  <mergeCells count="2">
    <mergeCell ref="A2:J61"/>
    <mergeCell ref="A1:J1"/>
  </mergeCells>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850E95-D1A3-490E-B252-22E11B87CCE8}">
  <dimension ref="A1:G9"/>
  <sheetViews>
    <sheetView workbookViewId="0">
      <selection activeCell="C17" sqref="C17"/>
    </sheetView>
  </sheetViews>
  <sheetFormatPr baseColWidth="10" defaultColWidth="8.83203125" defaultRowHeight="13"/>
  <cols>
    <col min="1" max="1" width="13.33203125" bestFit="1" customWidth="1"/>
    <col min="2" max="2" width="16.83203125" bestFit="1" customWidth="1"/>
    <col min="3" max="3" width="14" bestFit="1" customWidth="1"/>
    <col min="4" max="4" width="12.33203125" bestFit="1" customWidth="1"/>
    <col min="5" max="5" width="15.83203125" bestFit="1" customWidth="1"/>
    <col min="6" max="6" width="14.5" bestFit="1" customWidth="1"/>
    <col min="7" max="7" width="16.6640625" bestFit="1" customWidth="1"/>
  </cols>
  <sheetData>
    <row r="1" spans="1:7">
      <c r="A1" t="s">
        <v>226</v>
      </c>
      <c r="B1" t="s">
        <v>1113</v>
      </c>
      <c r="C1" t="s">
        <v>1131</v>
      </c>
      <c r="D1" t="s">
        <v>1198</v>
      </c>
      <c r="E1" t="s">
        <v>1132</v>
      </c>
      <c r="F1" t="s">
        <v>1199</v>
      </c>
      <c r="G1" t="s">
        <v>1200</v>
      </c>
    </row>
    <row r="2" spans="1:7">
      <c r="A2">
        <v>1</v>
      </c>
      <c r="B2" t="s">
        <v>1115</v>
      </c>
      <c r="C2">
        <v>354</v>
      </c>
      <c r="D2">
        <v>9532</v>
      </c>
      <c r="E2">
        <v>267868.18</v>
      </c>
      <c r="F2">
        <v>21.16</v>
      </c>
      <c r="G2">
        <v>29.24</v>
      </c>
    </row>
    <row r="3" spans="1:7">
      <c r="A3">
        <v>4</v>
      </c>
      <c r="B3" t="s">
        <v>1121</v>
      </c>
      <c r="C3">
        <v>303</v>
      </c>
      <c r="D3">
        <v>9149</v>
      </c>
      <c r="E3">
        <v>234507.28</v>
      </c>
      <c r="F3">
        <v>18.53</v>
      </c>
      <c r="G3">
        <v>26.98</v>
      </c>
    </row>
    <row r="4" spans="1:7">
      <c r="A4">
        <v>3</v>
      </c>
      <c r="B4" t="s">
        <v>1119</v>
      </c>
      <c r="C4">
        <v>295</v>
      </c>
      <c r="D4">
        <v>7906</v>
      </c>
      <c r="E4">
        <v>167357.22</v>
      </c>
      <c r="F4">
        <v>13.22</v>
      </c>
      <c r="G4">
        <v>22.6</v>
      </c>
    </row>
    <row r="5" spans="1:7">
      <c r="A5">
        <v>6</v>
      </c>
      <c r="B5" t="s">
        <v>1125</v>
      </c>
      <c r="C5">
        <v>161</v>
      </c>
      <c r="D5">
        <v>4199</v>
      </c>
      <c r="E5">
        <v>163022.35999999999</v>
      </c>
      <c r="F5">
        <v>12.88</v>
      </c>
      <c r="G5">
        <v>42.87</v>
      </c>
    </row>
    <row r="6" spans="1:7">
      <c r="A6">
        <v>8</v>
      </c>
      <c r="B6" t="s">
        <v>1129</v>
      </c>
      <c r="C6">
        <v>291</v>
      </c>
      <c r="D6">
        <v>7681</v>
      </c>
      <c r="E6">
        <v>131261.74</v>
      </c>
      <c r="F6">
        <v>10.37</v>
      </c>
      <c r="G6">
        <v>19.059999999999999</v>
      </c>
    </row>
    <row r="7" spans="1:7">
      <c r="A7">
        <v>2</v>
      </c>
      <c r="B7" t="s">
        <v>1117</v>
      </c>
      <c r="C7">
        <v>193</v>
      </c>
      <c r="D7">
        <v>5298</v>
      </c>
      <c r="E7">
        <v>106047.09</v>
      </c>
      <c r="F7">
        <v>8.3800000000000008</v>
      </c>
      <c r="G7">
        <v>21.32</v>
      </c>
    </row>
    <row r="8" spans="1:7">
      <c r="A8">
        <v>7</v>
      </c>
      <c r="B8" t="s">
        <v>1127</v>
      </c>
      <c r="C8">
        <v>129</v>
      </c>
      <c r="D8">
        <v>2990</v>
      </c>
      <c r="E8">
        <v>99984.58</v>
      </c>
      <c r="F8">
        <v>7.9</v>
      </c>
      <c r="G8">
        <v>35.19</v>
      </c>
    </row>
    <row r="9" spans="1:7">
      <c r="A9">
        <v>5</v>
      </c>
      <c r="B9" t="s">
        <v>1123</v>
      </c>
      <c r="C9">
        <v>182</v>
      </c>
      <c r="D9">
        <v>4562</v>
      </c>
      <c r="E9">
        <v>95744.59</v>
      </c>
      <c r="F9">
        <v>7.56</v>
      </c>
      <c r="G9">
        <v>21.25</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0135CF-D847-4F02-9604-94C33BDD93EA}">
  <dimension ref="A1:H78"/>
  <sheetViews>
    <sheetView workbookViewId="0">
      <selection activeCell="E82" sqref="E82"/>
    </sheetView>
  </sheetViews>
  <sheetFormatPr baseColWidth="10" defaultColWidth="8.83203125" defaultRowHeight="13"/>
  <cols>
    <col min="1" max="1" width="12.1640625" bestFit="1" customWidth="1"/>
    <col min="2" max="2" width="30.83203125" bestFit="1" customWidth="1"/>
    <col min="3" max="3" width="16.83203125" bestFit="1" customWidth="1"/>
    <col min="4" max="4" width="16.5" bestFit="1" customWidth="1"/>
    <col min="5" max="5" width="12.33203125" bestFit="1" customWidth="1"/>
    <col min="6" max="6" width="15.83203125" bestFit="1" customWidth="1"/>
    <col min="7" max="7" width="17.6640625" bestFit="1" customWidth="1"/>
    <col min="8" max="8" width="19.33203125" bestFit="1" customWidth="1"/>
  </cols>
  <sheetData>
    <row r="1" spans="1:8">
      <c r="A1" t="s">
        <v>224</v>
      </c>
      <c r="B1" t="s">
        <v>225</v>
      </c>
      <c r="C1" t="s">
        <v>1113</v>
      </c>
      <c r="D1" t="s">
        <v>1201</v>
      </c>
      <c r="E1" t="s">
        <v>1198</v>
      </c>
      <c r="F1" t="s">
        <v>1132</v>
      </c>
      <c r="G1" t="s">
        <v>1202</v>
      </c>
      <c r="H1" t="s">
        <v>1203</v>
      </c>
    </row>
    <row r="2" spans="1:8">
      <c r="A2">
        <v>38</v>
      </c>
      <c r="B2" t="s">
        <v>1204</v>
      </c>
      <c r="C2" t="s">
        <v>1115</v>
      </c>
      <c r="D2">
        <v>24</v>
      </c>
      <c r="E2">
        <v>623</v>
      </c>
      <c r="F2">
        <v>141396.73000000001</v>
      </c>
      <c r="G2">
        <v>52.79</v>
      </c>
      <c r="H2">
        <v>245.93</v>
      </c>
    </row>
    <row r="3" spans="1:8">
      <c r="A3">
        <v>29</v>
      </c>
      <c r="B3" t="s">
        <v>1205</v>
      </c>
      <c r="C3" t="s">
        <v>1125</v>
      </c>
      <c r="D3">
        <v>32</v>
      </c>
      <c r="E3">
        <v>746</v>
      </c>
      <c r="F3">
        <v>80368.67</v>
      </c>
      <c r="G3">
        <v>49.3</v>
      </c>
      <c r="H3">
        <v>116.04</v>
      </c>
    </row>
    <row r="4" spans="1:8">
      <c r="A4">
        <v>59</v>
      </c>
      <c r="B4" t="s">
        <v>346</v>
      </c>
      <c r="C4" t="s">
        <v>1121</v>
      </c>
      <c r="D4">
        <v>54</v>
      </c>
      <c r="E4">
        <v>1496</v>
      </c>
      <c r="F4">
        <v>71155.7</v>
      </c>
      <c r="G4">
        <v>30.34</v>
      </c>
      <c r="H4">
        <v>51.13</v>
      </c>
    </row>
    <row r="5" spans="1:8">
      <c r="A5">
        <v>62</v>
      </c>
      <c r="B5" t="s">
        <v>352</v>
      </c>
      <c r="C5" t="s">
        <v>1119</v>
      </c>
      <c r="D5">
        <v>48</v>
      </c>
      <c r="E5">
        <v>1083</v>
      </c>
      <c r="F5">
        <v>47234.97</v>
      </c>
      <c r="G5">
        <v>28.22</v>
      </c>
      <c r="H5">
        <v>46.41</v>
      </c>
    </row>
    <row r="6" spans="1:8">
      <c r="A6">
        <v>60</v>
      </c>
      <c r="B6" t="s">
        <v>348</v>
      </c>
      <c r="C6" t="s">
        <v>1121</v>
      </c>
      <c r="D6">
        <v>51</v>
      </c>
      <c r="E6">
        <v>1577</v>
      </c>
      <c r="F6">
        <v>46825.48</v>
      </c>
      <c r="G6">
        <v>19.97</v>
      </c>
      <c r="H6">
        <v>32.130000000000003</v>
      </c>
    </row>
    <row r="7" spans="1:8">
      <c r="A7">
        <v>56</v>
      </c>
      <c r="B7" t="s">
        <v>341</v>
      </c>
      <c r="C7" t="s">
        <v>1123</v>
      </c>
      <c r="D7">
        <v>50</v>
      </c>
      <c r="E7">
        <v>1263</v>
      </c>
      <c r="F7">
        <v>42593.06</v>
      </c>
      <c r="G7">
        <v>44.49</v>
      </c>
      <c r="H7">
        <v>35.42</v>
      </c>
    </row>
    <row r="8" spans="1:8">
      <c r="A8">
        <v>51</v>
      </c>
      <c r="B8" t="s">
        <v>331</v>
      </c>
      <c r="C8" t="s">
        <v>1127</v>
      </c>
      <c r="D8">
        <v>39</v>
      </c>
      <c r="E8">
        <v>886</v>
      </c>
      <c r="F8">
        <v>41819.65</v>
      </c>
      <c r="G8">
        <v>41.83</v>
      </c>
      <c r="H8">
        <v>50.55</v>
      </c>
    </row>
    <row r="9" spans="1:8">
      <c r="A9">
        <v>17</v>
      </c>
      <c r="B9" t="s">
        <v>265</v>
      </c>
      <c r="C9" t="s">
        <v>1125</v>
      </c>
      <c r="D9">
        <v>37</v>
      </c>
      <c r="E9">
        <v>978</v>
      </c>
      <c r="F9">
        <v>32698.38</v>
      </c>
      <c r="G9">
        <v>20.059999999999999</v>
      </c>
      <c r="H9">
        <v>36.47</v>
      </c>
    </row>
    <row r="10" spans="1:8">
      <c r="A10">
        <v>18</v>
      </c>
      <c r="B10" t="s">
        <v>267</v>
      </c>
      <c r="C10" t="s">
        <v>1129</v>
      </c>
      <c r="D10">
        <v>27</v>
      </c>
      <c r="E10">
        <v>539</v>
      </c>
      <c r="F10">
        <v>29171.88</v>
      </c>
      <c r="G10">
        <v>22.22</v>
      </c>
      <c r="H10">
        <v>59.72</v>
      </c>
    </row>
    <row r="11" spans="1:8">
      <c r="A11">
        <v>28</v>
      </c>
      <c r="B11" t="s">
        <v>1206</v>
      </c>
      <c r="C11" t="s">
        <v>1127</v>
      </c>
      <c r="D11">
        <v>33</v>
      </c>
      <c r="E11">
        <v>640</v>
      </c>
      <c r="F11">
        <v>25696.639999999999</v>
      </c>
      <c r="G11">
        <v>25.7</v>
      </c>
      <c r="H11">
        <v>41.98</v>
      </c>
    </row>
    <row r="12" spans="1:8">
      <c r="A12">
        <v>72</v>
      </c>
      <c r="B12" t="s">
        <v>370</v>
      </c>
      <c r="C12" t="s">
        <v>1121</v>
      </c>
      <c r="D12">
        <v>38</v>
      </c>
      <c r="E12">
        <v>806</v>
      </c>
      <c r="F12">
        <v>24900.13</v>
      </c>
      <c r="G12">
        <v>10.62</v>
      </c>
      <c r="H12">
        <v>32.04</v>
      </c>
    </row>
    <row r="13" spans="1:8">
      <c r="A13">
        <v>43</v>
      </c>
      <c r="B13" t="s">
        <v>315</v>
      </c>
      <c r="C13" t="s">
        <v>1115</v>
      </c>
      <c r="D13">
        <v>28</v>
      </c>
      <c r="E13">
        <v>580</v>
      </c>
      <c r="F13">
        <v>23526.7</v>
      </c>
      <c r="G13">
        <v>8.7799999999999994</v>
      </c>
      <c r="H13">
        <v>43.04</v>
      </c>
    </row>
    <row r="14" spans="1:8">
      <c r="A14">
        <v>20</v>
      </c>
      <c r="B14" t="s">
        <v>271</v>
      </c>
      <c r="C14" t="s">
        <v>1119</v>
      </c>
      <c r="D14">
        <v>16</v>
      </c>
      <c r="E14">
        <v>313</v>
      </c>
      <c r="F14">
        <v>22563.360000000001</v>
      </c>
      <c r="G14">
        <v>13.48</v>
      </c>
      <c r="H14">
        <v>75.94</v>
      </c>
    </row>
    <row r="15" spans="1:8">
      <c r="A15">
        <v>7</v>
      </c>
      <c r="B15" t="s">
        <v>245</v>
      </c>
      <c r="C15" t="s">
        <v>1127</v>
      </c>
      <c r="D15">
        <v>29</v>
      </c>
      <c r="E15">
        <v>763</v>
      </c>
      <c r="F15">
        <v>22044.3</v>
      </c>
      <c r="G15">
        <v>22.05</v>
      </c>
      <c r="H15">
        <v>29.17</v>
      </c>
    </row>
    <row r="16" spans="1:8">
      <c r="A16">
        <v>64</v>
      </c>
      <c r="B16" t="s">
        <v>1207</v>
      </c>
      <c r="C16" t="s">
        <v>1123</v>
      </c>
      <c r="D16">
        <v>30</v>
      </c>
      <c r="E16">
        <v>740</v>
      </c>
      <c r="F16">
        <v>21957.97</v>
      </c>
      <c r="G16">
        <v>22.93</v>
      </c>
      <c r="H16">
        <v>31.03</v>
      </c>
    </row>
    <row r="17" spans="1:8">
      <c r="A17">
        <v>69</v>
      </c>
      <c r="B17" t="s">
        <v>365</v>
      </c>
      <c r="C17" t="s">
        <v>1121</v>
      </c>
      <c r="D17">
        <v>31</v>
      </c>
      <c r="E17">
        <v>714</v>
      </c>
      <c r="F17">
        <v>21942.36</v>
      </c>
      <c r="G17">
        <v>9.36</v>
      </c>
      <c r="H17">
        <v>33.450000000000003</v>
      </c>
    </row>
    <row r="18" spans="1:8">
      <c r="A18">
        <v>10</v>
      </c>
      <c r="B18" t="s">
        <v>251</v>
      </c>
      <c r="C18" t="s">
        <v>1129</v>
      </c>
      <c r="D18">
        <v>33</v>
      </c>
      <c r="E18">
        <v>742</v>
      </c>
      <c r="F18">
        <v>20867.34</v>
      </c>
      <c r="G18">
        <v>15.9</v>
      </c>
      <c r="H18">
        <v>29.68</v>
      </c>
    </row>
    <row r="19" spans="1:8">
      <c r="A19">
        <v>53</v>
      </c>
      <c r="B19" t="s">
        <v>335</v>
      </c>
      <c r="C19" t="s">
        <v>1125</v>
      </c>
      <c r="D19">
        <v>30</v>
      </c>
      <c r="E19">
        <v>722</v>
      </c>
      <c r="F19">
        <v>20574.169999999998</v>
      </c>
      <c r="G19">
        <v>12.62</v>
      </c>
      <c r="H19">
        <v>30.16</v>
      </c>
    </row>
    <row r="20" spans="1:8">
      <c r="A20">
        <v>26</v>
      </c>
      <c r="B20" t="s">
        <v>1208</v>
      </c>
      <c r="C20" t="s">
        <v>1119</v>
      </c>
      <c r="D20">
        <v>32</v>
      </c>
      <c r="E20">
        <v>753</v>
      </c>
      <c r="F20">
        <v>19849.14</v>
      </c>
      <c r="G20">
        <v>11.86</v>
      </c>
      <c r="H20">
        <v>28.86</v>
      </c>
    </row>
    <row r="21" spans="1:8">
      <c r="A21">
        <v>71</v>
      </c>
      <c r="B21" t="s">
        <v>1209</v>
      </c>
      <c r="C21" t="s">
        <v>1121</v>
      </c>
      <c r="D21">
        <v>42</v>
      </c>
      <c r="E21">
        <v>1057</v>
      </c>
      <c r="F21">
        <v>19551.03</v>
      </c>
      <c r="G21">
        <v>8.34</v>
      </c>
      <c r="H21">
        <v>19.760000000000002</v>
      </c>
    </row>
    <row r="22" spans="1:8">
      <c r="A22">
        <v>40</v>
      </c>
      <c r="B22" t="s">
        <v>309</v>
      </c>
      <c r="C22" t="s">
        <v>1129</v>
      </c>
      <c r="D22">
        <v>41</v>
      </c>
      <c r="E22">
        <v>1103</v>
      </c>
      <c r="F22">
        <v>17910.63</v>
      </c>
      <c r="G22">
        <v>13.64</v>
      </c>
      <c r="H22">
        <v>17.23</v>
      </c>
    </row>
    <row r="23" spans="1:8">
      <c r="A23">
        <v>55</v>
      </c>
      <c r="B23" t="s">
        <v>1210</v>
      </c>
      <c r="C23" t="s">
        <v>1125</v>
      </c>
      <c r="D23">
        <v>33</v>
      </c>
      <c r="E23">
        <v>903</v>
      </c>
      <c r="F23">
        <v>17426.400000000001</v>
      </c>
      <c r="G23">
        <v>10.69</v>
      </c>
      <c r="H23">
        <v>22.4</v>
      </c>
    </row>
    <row r="24" spans="1:8">
      <c r="A24">
        <v>16</v>
      </c>
      <c r="B24" t="s">
        <v>263</v>
      </c>
      <c r="C24" t="s">
        <v>1119</v>
      </c>
      <c r="D24">
        <v>43</v>
      </c>
      <c r="E24">
        <v>1158</v>
      </c>
      <c r="F24">
        <v>17215.78</v>
      </c>
      <c r="G24">
        <v>10.29</v>
      </c>
      <c r="H24">
        <v>16.38</v>
      </c>
    </row>
    <row r="25" spans="1:8">
      <c r="A25">
        <v>63</v>
      </c>
      <c r="B25" t="s">
        <v>354</v>
      </c>
      <c r="C25" t="s">
        <v>1117</v>
      </c>
      <c r="D25">
        <v>17</v>
      </c>
      <c r="E25">
        <v>445</v>
      </c>
      <c r="F25">
        <v>16701.099999999999</v>
      </c>
      <c r="G25">
        <v>15.75</v>
      </c>
      <c r="H25">
        <v>40.79</v>
      </c>
    </row>
    <row r="26" spans="1:8">
      <c r="A26">
        <v>2</v>
      </c>
      <c r="B26" t="s">
        <v>235</v>
      </c>
      <c r="C26" t="s">
        <v>1115</v>
      </c>
      <c r="D26">
        <v>44</v>
      </c>
      <c r="E26">
        <v>1057</v>
      </c>
      <c r="F26">
        <v>16355.96</v>
      </c>
      <c r="G26">
        <v>6.11</v>
      </c>
      <c r="H26">
        <v>17.88</v>
      </c>
    </row>
    <row r="27" spans="1:8">
      <c r="A27">
        <v>76</v>
      </c>
      <c r="B27" t="s">
        <v>1211</v>
      </c>
      <c r="C27" t="s">
        <v>1115</v>
      </c>
      <c r="D27">
        <v>39</v>
      </c>
      <c r="E27">
        <v>981</v>
      </c>
      <c r="F27">
        <v>15760.44</v>
      </c>
      <c r="G27">
        <v>5.88</v>
      </c>
      <c r="H27">
        <v>16.98</v>
      </c>
    </row>
    <row r="28" spans="1:8">
      <c r="A28">
        <v>27</v>
      </c>
      <c r="B28" t="s">
        <v>285</v>
      </c>
      <c r="C28" t="s">
        <v>1119</v>
      </c>
      <c r="D28">
        <v>9</v>
      </c>
      <c r="E28">
        <v>365</v>
      </c>
      <c r="F28">
        <v>15099.88</v>
      </c>
      <c r="G28">
        <v>9.02</v>
      </c>
      <c r="H28">
        <v>40.97</v>
      </c>
    </row>
    <row r="29" spans="1:8">
      <c r="A29">
        <v>31</v>
      </c>
      <c r="B29" t="s">
        <v>293</v>
      </c>
      <c r="C29" t="s">
        <v>1121</v>
      </c>
      <c r="D29">
        <v>51</v>
      </c>
      <c r="E29">
        <v>1397</v>
      </c>
      <c r="F29">
        <v>14920.88</v>
      </c>
      <c r="G29">
        <v>6.36</v>
      </c>
      <c r="H29">
        <v>11.67</v>
      </c>
    </row>
    <row r="30" spans="1:8">
      <c r="A30">
        <v>61</v>
      </c>
      <c r="B30" t="s">
        <v>1212</v>
      </c>
      <c r="C30" t="s">
        <v>1117</v>
      </c>
      <c r="D30">
        <v>24</v>
      </c>
      <c r="E30">
        <v>603</v>
      </c>
      <c r="F30">
        <v>14352.6</v>
      </c>
      <c r="G30">
        <v>13.53</v>
      </c>
      <c r="H30">
        <v>27.79</v>
      </c>
    </row>
    <row r="31" spans="1:8">
      <c r="A31">
        <v>65</v>
      </c>
      <c r="B31" t="s">
        <v>358</v>
      </c>
      <c r="C31" t="s">
        <v>1117</v>
      </c>
      <c r="D31">
        <v>32</v>
      </c>
      <c r="E31">
        <v>745</v>
      </c>
      <c r="F31">
        <v>13869.89</v>
      </c>
      <c r="G31">
        <v>13.08</v>
      </c>
      <c r="H31">
        <v>19.46</v>
      </c>
    </row>
    <row r="32" spans="1:8">
      <c r="A32">
        <v>35</v>
      </c>
      <c r="B32" t="s">
        <v>300</v>
      </c>
      <c r="C32" t="s">
        <v>1115</v>
      </c>
      <c r="D32">
        <v>36</v>
      </c>
      <c r="E32">
        <v>883</v>
      </c>
      <c r="F32">
        <v>13644</v>
      </c>
      <c r="G32">
        <v>5.09</v>
      </c>
      <c r="H32">
        <v>17</v>
      </c>
    </row>
    <row r="33" spans="1:8">
      <c r="A33">
        <v>36</v>
      </c>
      <c r="B33" t="s">
        <v>301</v>
      </c>
      <c r="C33" t="s">
        <v>1129</v>
      </c>
      <c r="D33">
        <v>31</v>
      </c>
      <c r="E33">
        <v>805</v>
      </c>
      <c r="F33">
        <v>13458.46</v>
      </c>
      <c r="G33">
        <v>10.25</v>
      </c>
      <c r="H33">
        <v>17.899999999999999</v>
      </c>
    </row>
    <row r="34" spans="1:8">
      <c r="A34">
        <v>30</v>
      </c>
      <c r="B34" t="s">
        <v>291</v>
      </c>
      <c r="C34" t="s">
        <v>1129</v>
      </c>
      <c r="D34">
        <v>32</v>
      </c>
      <c r="E34">
        <v>612</v>
      </c>
      <c r="F34">
        <v>13424.2</v>
      </c>
      <c r="G34">
        <v>10.23</v>
      </c>
      <c r="H34">
        <v>24.27</v>
      </c>
    </row>
    <row r="35" spans="1:8">
      <c r="A35">
        <v>11</v>
      </c>
      <c r="B35" t="s">
        <v>253</v>
      </c>
      <c r="C35" t="s">
        <v>1121</v>
      </c>
      <c r="D35">
        <v>38</v>
      </c>
      <c r="E35">
        <v>706</v>
      </c>
      <c r="F35">
        <v>12901.77</v>
      </c>
      <c r="G35">
        <v>5.5</v>
      </c>
      <c r="H35">
        <v>19.600000000000001</v>
      </c>
    </row>
    <row r="36" spans="1:8">
      <c r="A36">
        <v>1</v>
      </c>
      <c r="B36" t="s">
        <v>233</v>
      </c>
      <c r="C36" t="s">
        <v>1115</v>
      </c>
      <c r="D36">
        <v>38</v>
      </c>
      <c r="E36">
        <v>828</v>
      </c>
      <c r="F36">
        <v>12788.1</v>
      </c>
      <c r="G36">
        <v>4.7699999999999996</v>
      </c>
      <c r="H36">
        <v>17.149999999999999</v>
      </c>
    </row>
    <row r="37" spans="1:8">
      <c r="A37">
        <v>8</v>
      </c>
      <c r="B37" t="s">
        <v>247</v>
      </c>
      <c r="C37" t="s">
        <v>1117</v>
      </c>
      <c r="D37">
        <v>13</v>
      </c>
      <c r="E37">
        <v>372</v>
      </c>
      <c r="F37">
        <v>12772</v>
      </c>
      <c r="G37">
        <v>12.04</v>
      </c>
      <c r="H37">
        <v>38.770000000000003</v>
      </c>
    </row>
    <row r="38" spans="1:8">
      <c r="A38">
        <v>39</v>
      </c>
      <c r="B38" t="s">
        <v>307</v>
      </c>
      <c r="C38" t="s">
        <v>1115</v>
      </c>
      <c r="D38">
        <v>30</v>
      </c>
      <c r="E38">
        <v>793</v>
      </c>
      <c r="F38">
        <v>12294.54</v>
      </c>
      <c r="G38">
        <v>4.59</v>
      </c>
      <c r="H38">
        <v>16.68</v>
      </c>
    </row>
    <row r="39" spans="1:8">
      <c r="A39">
        <v>12</v>
      </c>
      <c r="B39" t="s">
        <v>255</v>
      </c>
      <c r="C39" t="s">
        <v>1121</v>
      </c>
      <c r="D39">
        <v>14</v>
      </c>
      <c r="E39">
        <v>344</v>
      </c>
      <c r="F39">
        <v>12257.66</v>
      </c>
      <c r="G39">
        <v>5.23</v>
      </c>
      <c r="H39">
        <v>36.909999999999997</v>
      </c>
    </row>
    <row r="40" spans="1:8">
      <c r="A40">
        <v>70</v>
      </c>
      <c r="B40" t="s">
        <v>367</v>
      </c>
      <c r="C40" t="s">
        <v>1115</v>
      </c>
      <c r="D40">
        <v>39</v>
      </c>
      <c r="E40">
        <v>817</v>
      </c>
      <c r="F40">
        <v>10672.65</v>
      </c>
      <c r="G40">
        <v>3.98</v>
      </c>
      <c r="H40">
        <v>14.15</v>
      </c>
    </row>
    <row r="41" spans="1:8">
      <c r="A41">
        <v>44</v>
      </c>
      <c r="B41" t="s">
        <v>317</v>
      </c>
      <c r="C41" t="s">
        <v>1117</v>
      </c>
      <c r="D41">
        <v>24</v>
      </c>
      <c r="E41">
        <v>601</v>
      </c>
      <c r="F41">
        <v>9915.94</v>
      </c>
      <c r="G41">
        <v>9.35</v>
      </c>
      <c r="H41">
        <v>18.13</v>
      </c>
    </row>
    <row r="42" spans="1:8">
      <c r="A42">
        <v>49</v>
      </c>
      <c r="B42" t="s">
        <v>327</v>
      </c>
      <c r="C42" t="s">
        <v>1119</v>
      </c>
      <c r="D42">
        <v>21</v>
      </c>
      <c r="E42">
        <v>520</v>
      </c>
      <c r="F42">
        <v>9244.6</v>
      </c>
      <c r="G42">
        <v>5.52</v>
      </c>
      <c r="H42">
        <v>18.48</v>
      </c>
    </row>
    <row r="43" spans="1:8">
      <c r="A43">
        <v>77</v>
      </c>
      <c r="B43" t="s">
        <v>1213</v>
      </c>
      <c r="C43" t="s">
        <v>1117</v>
      </c>
      <c r="D43">
        <v>38</v>
      </c>
      <c r="E43">
        <v>791</v>
      </c>
      <c r="F43">
        <v>9171.6299999999992</v>
      </c>
      <c r="G43">
        <v>8.65</v>
      </c>
      <c r="H43">
        <v>12.11</v>
      </c>
    </row>
    <row r="44" spans="1:8">
      <c r="A44">
        <v>21</v>
      </c>
      <c r="B44" t="s">
        <v>273</v>
      </c>
      <c r="C44" t="s">
        <v>1119</v>
      </c>
      <c r="D44">
        <v>39</v>
      </c>
      <c r="E44">
        <v>1016</v>
      </c>
      <c r="F44">
        <v>9104</v>
      </c>
      <c r="G44">
        <v>5.44</v>
      </c>
      <c r="H44">
        <v>9.3800000000000008</v>
      </c>
    </row>
    <row r="45" spans="1:8">
      <c r="A45">
        <v>68</v>
      </c>
      <c r="B45" t="s">
        <v>363</v>
      </c>
      <c r="C45" t="s">
        <v>1119</v>
      </c>
      <c r="D45">
        <v>34</v>
      </c>
      <c r="E45">
        <v>799</v>
      </c>
      <c r="F45">
        <v>8714</v>
      </c>
      <c r="G45">
        <v>5.21</v>
      </c>
      <c r="H45">
        <v>11.54</v>
      </c>
    </row>
    <row r="46" spans="1:8">
      <c r="A46">
        <v>41</v>
      </c>
      <c r="B46" t="s">
        <v>311</v>
      </c>
      <c r="C46" t="s">
        <v>1129</v>
      </c>
      <c r="D46">
        <v>47</v>
      </c>
      <c r="E46">
        <v>981</v>
      </c>
      <c r="F46">
        <v>8680.35</v>
      </c>
      <c r="G46">
        <v>6.61</v>
      </c>
      <c r="H46">
        <v>9.19</v>
      </c>
    </row>
    <row r="47" spans="1:8">
      <c r="A47">
        <v>42</v>
      </c>
      <c r="B47" t="s">
        <v>313</v>
      </c>
      <c r="C47" t="s">
        <v>1123</v>
      </c>
      <c r="D47">
        <v>30</v>
      </c>
      <c r="E47">
        <v>697</v>
      </c>
      <c r="F47">
        <v>8575</v>
      </c>
      <c r="G47">
        <v>8.9600000000000009</v>
      </c>
      <c r="H47">
        <v>13.21</v>
      </c>
    </row>
    <row r="48" spans="1:8">
      <c r="A48">
        <v>4</v>
      </c>
      <c r="B48" t="s">
        <v>239</v>
      </c>
      <c r="C48" t="s">
        <v>1117</v>
      </c>
      <c r="D48">
        <v>20</v>
      </c>
      <c r="E48">
        <v>453</v>
      </c>
      <c r="F48">
        <v>8567.9</v>
      </c>
      <c r="G48">
        <v>8.08</v>
      </c>
      <c r="H48">
        <v>20.68</v>
      </c>
    </row>
    <row r="49" spans="1:8">
      <c r="A49">
        <v>32</v>
      </c>
      <c r="B49" t="s">
        <v>295</v>
      </c>
      <c r="C49" t="s">
        <v>1121</v>
      </c>
      <c r="D49">
        <v>15</v>
      </c>
      <c r="E49">
        <v>297</v>
      </c>
      <c r="F49">
        <v>8404.16</v>
      </c>
      <c r="G49">
        <v>3.58</v>
      </c>
      <c r="H49">
        <v>30.72</v>
      </c>
    </row>
    <row r="50" spans="1:8">
      <c r="A50">
        <v>75</v>
      </c>
      <c r="B50" t="s">
        <v>1214</v>
      </c>
      <c r="C50" t="s">
        <v>1115</v>
      </c>
      <c r="D50">
        <v>46</v>
      </c>
      <c r="E50">
        <v>1155</v>
      </c>
      <c r="F50">
        <v>8177.49</v>
      </c>
      <c r="G50">
        <v>3.05</v>
      </c>
      <c r="H50">
        <v>7.38</v>
      </c>
    </row>
    <row r="51" spans="1:8">
      <c r="A51">
        <v>14</v>
      </c>
      <c r="B51" t="s">
        <v>259</v>
      </c>
      <c r="C51" t="s">
        <v>1127</v>
      </c>
      <c r="D51">
        <v>22</v>
      </c>
      <c r="E51">
        <v>404</v>
      </c>
      <c r="F51">
        <v>7991.49</v>
      </c>
      <c r="G51">
        <v>7.99</v>
      </c>
      <c r="H51">
        <v>21.35</v>
      </c>
    </row>
    <row r="52" spans="1:8">
      <c r="A52">
        <v>57</v>
      </c>
      <c r="B52" t="s">
        <v>343</v>
      </c>
      <c r="C52" t="s">
        <v>1123</v>
      </c>
      <c r="D52">
        <v>23</v>
      </c>
      <c r="E52">
        <v>434</v>
      </c>
      <c r="F52">
        <v>7661.55</v>
      </c>
      <c r="G52">
        <v>8</v>
      </c>
      <c r="H52">
        <v>18.14</v>
      </c>
    </row>
    <row r="53" spans="1:8">
      <c r="A53">
        <v>9</v>
      </c>
      <c r="B53" t="s">
        <v>249</v>
      </c>
      <c r="C53" t="s">
        <v>1125</v>
      </c>
      <c r="D53">
        <v>5</v>
      </c>
      <c r="E53">
        <v>95</v>
      </c>
      <c r="F53">
        <v>7226.5</v>
      </c>
      <c r="G53">
        <v>4.43</v>
      </c>
      <c r="H53">
        <v>93.12</v>
      </c>
    </row>
    <row r="54" spans="1:8">
      <c r="A54">
        <v>6</v>
      </c>
      <c r="B54" t="s">
        <v>243</v>
      </c>
      <c r="C54" t="s">
        <v>1117</v>
      </c>
      <c r="D54">
        <v>12</v>
      </c>
      <c r="E54">
        <v>301</v>
      </c>
      <c r="F54">
        <v>7137</v>
      </c>
      <c r="G54">
        <v>6.73</v>
      </c>
      <c r="H54">
        <v>24.17</v>
      </c>
    </row>
    <row r="55" spans="1:8">
      <c r="A55">
        <v>22</v>
      </c>
      <c r="B55" t="s">
        <v>1215</v>
      </c>
      <c r="C55" t="s">
        <v>1123</v>
      </c>
      <c r="D55">
        <v>14</v>
      </c>
      <c r="E55">
        <v>348</v>
      </c>
      <c r="F55">
        <v>7122.36</v>
      </c>
      <c r="G55">
        <v>7.44</v>
      </c>
      <c r="H55">
        <v>20.399999999999999</v>
      </c>
    </row>
    <row r="56" spans="1:8">
      <c r="A56">
        <v>34</v>
      </c>
      <c r="B56" t="s">
        <v>299</v>
      </c>
      <c r="C56" t="s">
        <v>1115</v>
      </c>
      <c r="D56">
        <v>19</v>
      </c>
      <c r="E56">
        <v>506</v>
      </c>
      <c r="F56">
        <v>6350.4</v>
      </c>
      <c r="G56">
        <v>2.37</v>
      </c>
      <c r="H56">
        <v>12.97</v>
      </c>
    </row>
    <row r="57" spans="1:8">
      <c r="A57">
        <v>46</v>
      </c>
      <c r="B57" t="s">
        <v>321</v>
      </c>
      <c r="C57" t="s">
        <v>1129</v>
      </c>
      <c r="D57">
        <v>27</v>
      </c>
      <c r="E57">
        <v>548</v>
      </c>
      <c r="F57">
        <v>5883</v>
      </c>
      <c r="G57">
        <v>4.4800000000000004</v>
      </c>
      <c r="H57">
        <v>11.11</v>
      </c>
    </row>
    <row r="58" spans="1:8">
      <c r="A58">
        <v>58</v>
      </c>
      <c r="B58" t="s">
        <v>344</v>
      </c>
      <c r="C58" t="s">
        <v>1129</v>
      </c>
      <c r="D58">
        <v>18</v>
      </c>
      <c r="E58">
        <v>534</v>
      </c>
      <c r="F58">
        <v>5881.68</v>
      </c>
      <c r="G58">
        <v>4.4800000000000004</v>
      </c>
      <c r="H58">
        <v>12.66</v>
      </c>
    </row>
    <row r="59" spans="1:8">
      <c r="A59">
        <v>19</v>
      </c>
      <c r="B59" t="s">
        <v>269</v>
      </c>
      <c r="C59" t="s">
        <v>1119</v>
      </c>
      <c r="D59">
        <v>37</v>
      </c>
      <c r="E59">
        <v>723</v>
      </c>
      <c r="F59">
        <v>5862.62</v>
      </c>
      <c r="G59">
        <v>3.5</v>
      </c>
      <c r="H59">
        <v>8.5299999999999994</v>
      </c>
    </row>
    <row r="60" spans="1:8">
      <c r="A60">
        <v>5</v>
      </c>
      <c r="B60" t="s">
        <v>241</v>
      </c>
      <c r="C60" t="s">
        <v>1117</v>
      </c>
      <c r="D60">
        <v>10</v>
      </c>
      <c r="E60">
        <v>298</v>
      </c>
      <c r="F60">
        <v>5347.2</v>
      </c>
      <c r="G60">
        <v>5.04</v>
      </c>
      <c r="H60">
        <v>19.61</v>
      </c>
    </row>
    <row r="61" spans="1:8">
      <c r="A61">
        <v>13</v>
      </c>
      <c r="B61" t="s">
        <v>257</v>
      </c>
      <c r="C61" t="s">
        <v>1129</v>
      </c>
      <c r="D61">
        <v>40</v>
      </c>
      <c r="E61">
        <v>891</v>
      </c>
      <c r="F61">
        <v>4960.4399999999996</v>
      </c>
      <c r="G61">
        <v>3.78</v>
      </c>
      <c r="H61">
        <v>5.76</v>
      </c>
    </row>
    <row r="62" spans="1:8">
      <c r="A62">
        <v>54</v>
      </c>
      <c r="B62" t="s">
        <v>1216</v>
      </c>
      <c r="C62" t="s">
        <v>1125</v>
      </c>
      <c r="D62">
        <v>36</v>
      </c>
      <c r="E62">
        <v>755</v>
      </c>
      <c r="F62">
        <v>4728.24</v>
      </c>
      <c r="G62">
        <v>2.9</v>
      </c>
      <c r="H62">
        <v>6.8</v>
      </c>
    </row>
    <row r="63" spans="1:8">
      <c r="A63">
        <v>23</v>
      </c>
      <c r="B63" t="s">
        <v>1217</v>
      </c>
      <c r="C63" t="s">
        <v>1123</v>
      </c>
      <c r="D63">
        <v>20</v>
      </c>
      <c r="E63">
        <v>580</v>
      </c>
      <c r="F63">
        <v>4601.7</v>
      </c>
      <c r="G63">
        <v>4.8099999999999996</v>
      </c>
      <c r="H63">
        <v>8.3699999999999992</v>
      </c>
    </row>
    <row r="64" spans="1:8">
      <c r="A64">
        <v>24</v>
      </c>
      <c r="B64" t="s">
        <v>1218</v>
      </c>
      <c r="C64" t="s">
        <v>1115</v>
      </c>
      <c r="D64">
        <v>51</v>
      </c>
      <c r="E64">
        <v>1125</v>
      </c>
      <c r="F64">
        <v>4504.3599999999997</v>
      </c>
      <c r="G64">
        <v>1.68</v>
      </c>
      <c r="H64">
        <v>4.24</v>
      </c>
    </row>
    <row r="65" spans="1:8">
      <c r="A65">
        <v>45</v>
      </c>
      <c r="B65" t="s">
        <v>1219</v>
      </c>
      <c r="C65" t="s">
        <v>1129</v>
      </c>
      <c r="D65">
        <v>14</v>
      </c>
      <c r="E65">
        <v>508</v>
      </c>
      <c r="F65">
        <v>4338.17</v>
      </c>
      <c r="G65">
        <v>3.3</v>
      </c>
      <c r="H65">
        <v>9.23</v>
      </c>
    </row>
    <row r="66" spans="1:8">
      <c r="A66">
        <v>73</v>
      </c>
      <c r="B66" t="s">
        <v>1220</v>
      </c>
      <c r="C66" t="s">
        <v>1129</v>
      </c>
      <c r="D66">
        <v>14</v>
      </c>
      <c r="E66">
        <v>293</v>
      </c>
      <c r="F66">
        <v>3997.2</v>
      </c>
      <c r="G66">
        <v>3.05</v>
      </c>
      <c r="H66">
        <v>14.36</v>
      </c>
    </row>
    <row r="67" spans="1:8">
      <c r="A67">
        <v>47</v>
      </c>
      <c r="B67" t="s">
        <v>323</v>
      </c>
      <c r="C67" t="s">
        <v>1119</v>
      </c>
      <c r="D67">
        <v>21</v>
      </c>
      <c r="E67">
        <v>485</v>
      </c>
      <c r="F67">
        <v>3958.08</v>
      </c>
      <c r="G67">
        <v>2.37</v>
      </c>
      <c r="H67">
        <v>9.14</v>
      </c>
    </row>
    <row r="68" spans="1:8">
      <c r="A68">
        <v>25</v>
      </c>
      <c r="B68" t="s">
        <v>1221</v>
      </c>
      <c r="C68" t="s">
        <v>1119</v>
      </c>
      <c r="D68">
        <v>18</v>
      </c>
      <c r="E68">
        <v>318</v>
      </c>
      <c r="F68">
        <v>3704.4</v>
      </c>
      <c r="G68">
        <v>2.21</v>
      </c>
      <c r="H68">
        <v>13.07</v>
      </c>
    </row>
    <row r="69" spans="1:8">
      <c r="A69">
        <v>50</v>
      </c>
      <c r="B69" t="s">
        <v>329</v>
      </c>
      <c r="C69" t="s">
        <v>1119</v>
      </c>
      <c r="D69">
        <v>10</v>
      </c>
      <c r="E69">
        <v>235</v>
      </c>
      <c r="F69">
        <v>3437.69</v>
      </c>
      <c r="G69">
        <v>2.0499999999999998</v>
      </c>
      <c r="H69">
        <v>14.95</v>
      </c>
    </row>
    <row r="70" spans="1:8">
      <c r="A70">
        <v>66</v>
      </c>
      <c r="B70" t="s">
        <v>360</v>
      </c>
      <c r="C70" t="s">
        <v>1117</v>
      </c>
      <c r="D70">
        <v>8</v>
      </c>
      <c r="E70">
        <v>239</v>
      </c>
      <c r="F70">
        <v>3383</v>
      </c>
      <c r="G70">
        <v>3.19</v>
      </c>
      <c r="H70">
        <v>15.3</v>
      </c>
    </row>
    <row r="71" spans="1:8">
      <c r="A71">
        <v>52</v>
      </c>
      <c r="B71" t="s">
        <v>333</v>
      </c>
      <c r="C71" t="s">
        <v>1123</v>
      </c>
      <c r="D71">
        <v>29</v>
      </c>
      <c r="E71">
        <v>500</v>
      </c>
      <c r="F71">
        <v>3232.95</v>
      </c>
      <c r="G71">
        <v>3.38</v>
      </c>
      <c r="H71">
        <v>6.76</v>
      </c>
    </row>
    <row r="72" spans="1:8">
      <c r="A72">
        <v>3</v>
      </c>
      <c r="B72" t="s">
        <v>237</v>
      </c>
      <c r="C72" t="s">
        <v>1117</v>
      </c>
      <c r="D72">
        <v>12</v>
      </c>
      <c r="E72">
        <v>328</v>
      </c>
      <c r="F72">
        <v>3044</v>
      </c>
      <c r="G72">
        <v>2.87</v>
      </c>
      <c r="H72">
        <v>9.5</v>
      </c>
    </row>
    <row r="73" spans="1:8">
      <c r="A73">
        <v>37</v>
      </c>
      <c r="B73" t="s">
        <v>303</v>
      </c>
      <c r="C73" t="s">
        <v>1129</v>
      </c>
      <c r="D73">
        <v>6</v>
      </c>
      <c r="E73">
        <v>125</v>
      </c>
      <c r="F73">
        <v>2688.4</v>
      </c>
      <c r="G73">
        <v>2.0499999999999998</v>
      </c>
      <c r="H73">
        <v>23.4</v>
      </c>
    </row>
    <row r="74" spans="1:8">
      <c r="A74">
        <v>74</v>
      </c>
      <c r="B74" t="s">
        <v>373</v>
      </c>
      <c r="C74" t="s">
        <v>1127</v>
      </c>
      <c r="D74">
        <v>13</v>
      </c>
      <c r="E74">
        <v>297</v>
      </c>
      <c r="F74">
        <v>2432.5</v>
      </c>
      <c r="G74">
        <v>2.4300000000000002</v>
      </c>
      <c r="H74">
        <v>8.77</v>
      </c>
    </row>
    <row r="75" spans="1:8">
      <c r="A75">
        <v>67</v>
      </c>
      <c r="B75" t="s">
        <v>362</v>
      </c>
      <c r="C75" t="s">
        <v>1115</v>
      </c>
      <c r="D75">
        <v>10</v>
      </c>
      <c r="E75">
        <v>184</v>
      </c>
      <c r="F75">
        <v>2396.8000000000002</v>
      </c>
      <c r="G75">
        <v>0.89</v>
      </c>
      <c r="H75">
        <v>13.72</v>
      </c>
    </row>
    <row r="76" spans="1:8">
      <c r="A76">
        <v>15</v>
      </c>
      <c r="B76" t="s">
        <v>261</v>
      </c>
      <c r="C76" t="s">
        <v>1117</v>
      </c>
      <c r="D76">
        <v>6</v>
      </c>
      <c r="E76">
        <v>122</v>
      </c>
      <c r="F76">
        <v>1784.82</v>
      </c>
      <c r="G76">
        <v>1.68</v>
      </c>
      <c r="H76">
        <v>14.47</v>
      </c>
    </row>
    <row r="77" spans="1:8">
      <c r="A77">
        <v>33</v>
      </c>
      <c r="B77" t="s">
        <v>297</v>
      </c>
      <c r="C77" t="s">
        <v>1121</v>
      </c>
      <c r="D77">
        <v>32</v>
      </c>
      <c r="E77">
        <v>755</v>
      </c>
      <c r="F77">
        <v>1648.12</v>
      </c>
      <c r="G77">
        <v>0.7</v>
      </c>
      <c r="H77">
        <v>2.33</v>
      </c>
    </row>
    <row r="78" spans="1:8">
      <c r="A78">
        <v>48</v>
      </c>
      <c r="B78" t="s">
        <v>325</v>
      </c>
      <c r="C78" t="s">
        <v>1119</v>
      </c>
      <c r="D78">
        <v>6</v>
      </c>
      <c r="E78">
        <v>138</v>
      </c>
      <c r="F78">
        <v>1368.71</v>
      </c>
      <c r="G78">
        <v>0.82</v>
      </c>
      <c r="H78">
        <v>11.9</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B19DE-23FF-9942-9DED-50ECAB164D81}">
  <dimension ref="A1:J11"/>
  <sheetViews>
    <sheetView showGridLines="0" workbookViewId="0">
      <selection activeCell="B46" sqref="B46"/>
    </sheetView>
  </sheetViews>
  <sheetFormatPr baseColWidth="10" defaultRowHeight="13"/>
  <cols>
    <col min="2" max="2" width="18.33203125" bestFit="1" customWidth="1"/>
    <col min="3" max="3" width="16.6640625" bestFit="1" customWidth="1"/>
    <col min="4" max="4" width="11.1640625" bestFit="1" customWidth="1"/>
    <col min="5" max="5" width="10.6640625" bestFit="1" customWidth="1"/>
    <col min="6" max="7" width="11" bestFit="1" customWidth="1"/>
    <col min="8" max="8" width="13.1640625" bestFit="1" customWidth="1"/>
    <col min="9" max="9" width="18" bestFit="1" customWidth="1"/>
    <col min="10" max="10" width="11.1640625" bestFit="1" customWidth="1"/>
  </cols>
  <sheetData>
    <row r="1" spans="1:10" ht="22" thickBot="1">
      <c r="A1" s="19" t="s">
        <v>1604</v>
      </c>
      <c r="B1" s="20" t="s">
        <v>1592</v>
      </c>
      <c r="C1" s="21"/>
      <c r="D1" s="21"/>
      <c r="E1" s="21"/>
      <c r="F1" s="21"/>
      <c r="G1" s="21"/>
      <c r="H1" s="21"/>
      <c r="I1" s="36"/>
      <c r="J1" s="22"/>
    </row>
    <row r="3" spans="1:10">
      <c r="B3" s="12" t="s">
        <v>1622</v>
      </c>
      <c r="C3" t="s">
        <v>1618</v>
      </c>
      <c r="D3" t="s">
        <v>1620</v>
      </c>
      <c r="E3" t="s">
        <v>1621</v>
      </c>
    </row>
    <row r="4" spans="1:10">
      <c r="B4" s="13" t="s">
        <v>1115</v>
      </c>
      <c r="C4">
        <v>37</v>
      </c>
      <c r="D4">
        <v>441156.36999999988</v>
      </c>
      <c r="E4">
        <v>312</v>
      </c>
    </row>
    <row r="5" spans="1:10">
      <c r="B5" s="13" t="s">
        <v>1119</v>
      </c>
      <c r="C5">
        <v>17</v>
      </c>
      <c r="D5">
        <v>244552.38999999998</v>
      </c>
      <c r="E5">
        <v>139</v>
      </c>
    </row>
    <row r="6" spans="1:10">
      <c r="B6" s="13" t="s">
        <v>1121</v>
      </c>
      <c r="C6">
        <v>14</v>
      </c>
      <c r="D6">
        <v>284732.12</v>
      </c>
      <c r="E6">
        <v>150</v>
      </c>
    </row>
    <row r="7" spans="1:10">
      <c r="B7" s="13" t="s">
        <v>1123</v>
      </c>
      <c r="C7">
        <v>8</v>
      </c>
      <c r="D7">
        <v>47395.56</v>
      </c>
      <c r="E7">
        <v>51</v>
      </c>
    </row>
    <row r="8" spans="1:10">
      <c r="B8" s="13" t="s">
        <v>1117</v>
      </c>
      <c r="C8">
        <v>6</v>
      </c>
      <c r="D8">
        <v>53441.5</v>
      </c>
      <c r="E8">
        <v>48</v>
      </c>
    </row>
    <row r="9" spans="1:10">
      <c r="B9" s="13" t="s">
        <v>1129</v>
      </c>
      <c r="C9">
        <v>6</v>
      </c>
      <c r="D9">
        <v>76989.729999999981</v>
      </c>
      <c r="E9">
        <v>55</v>
      </c>
    </row>
    <row r="10" spans="1:10">
      <c r="B10" s="13" t="s">
        <v>1125</v>
      </c>
      <c r="C10">
        <v>1</v>
      </c>
      <c r="D10">
        <v>3063.2</v>
      </c>
      <c r="E10">
        <v>5</v>
      </c>
    </row>
    <row r="11" spans="1:10">
      <c r="B11" s="13" t="s">
        <v>1184</v>
      </c>
      <c r="C11">
        <v>89</v>
      </c>
      <c r="D11">
        <v>1151330.8700000001</v>
      </c>
      <c r="E11">
        <v>760</v>
      </c>
    </row>
  </sheetData>
  <pageMargins left="0.7" right="0.7" top="0.75" bottom="0.75" header="0.3" footer="0.3"/>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524F14-615B-4A68-8DCF-46B5984FB5ED}">
  <dimension ref="A1:Q106"/>
  <sheetViews>
    <sheetView showGridLines="0" workbookViewId="0">
      <selection activeCell="A48" sqref="A48"/>
    </sheetView>
  </sheetViews>
  <sheetFormatPr baseColWidth="10" defaultColWidth="8.83203125" defaultRowHeight="13"/>
  <cols>
    <col min="10" max="10" width="13.33203125" bestFit="1" customWidth="1"/>
    <col min="11" max="11" width="30.83203125" bestFit="1" customWidth="1"/>
    <col min="12" max="12" width="16.83203125" bestFit="1" customWidth="1"/>
    <col min="13" max="13" width="16.5" bestFit="1" customWidth="1"/>
    <col min="14" max="15" width="15.83203125" bestFit="1" customWidth="1"/>
    <col min="16" max="16" width="17.6640625" bestFit="1" customWidth="1"/>
    <col min="17" max="17" width="19.33203125" bestFit="1" customWidth="1"/>
  </cols>
  <sheetData>
    <row r="1" spans="1:16" ht="14" thickBot="1">
      <c r="A1" s="43" t="s">
        <v>1222</v>
      </c>
      <c r="B1" s="44"/>
      <c r="C1" s="44"/>
      <c r="D1" s="44"/>
      <c r="E1" s="44"/>
      <c r="F1" s="44"/>
      <c r="G1" s="44"/>
      <c r="H1" s="45"/>
    </row>
    <row r="2" spans="1:16" ht="12.75" customHeight="1">
      <c r="A2" s="37" t="s">
        <v>1223</v>
      </c>
      <c r="B2" s="38"/>
      <c r="C2" s="38"/>
      <c r="D2" s="38"/>
      <c r="E2" s="38"/>
      <c r="F2" s="38"/>
      <c r="G2" s="38"/>
      <c r="H2" s="39"/>
      <c r="J2" t="s">
        <v>226</v>
      </c>
      <c r="K2" t="s">
        <v>1113</v>
      </c>
      <c r="L2" t="s">
        <v>1131</v>
      </c>
      <c r="M2" t="s">
        <v>1198</v>
      </c>
      <c r="N2" t="s">
        <v>1132</v>
      </c>
      <c r="O2" t="s">
        <v>1199</v>
      </c>
      <c r="P2" t="s">
        <v>1200</v>
      </c>
    </row>
    <row r="3" spans="1:16">
      <c r="A3" s="37"/>
      <c r="B3" s="38"/>
      <c r="C3" s="38"/>
      <c r="D3" s="38"/>
      <c r="E3" s="38"/>
      <c r="F3" s="38"/>
      <c r="G3" s="38"/>
      <c r="H3" s="39"/>
      <c r="J3">
        <v>1</v>
      </c>
      <c r="K3" t="s">
        <v>1115</v>
      </c>
      <c r="L3">
        <v>354</v>
      </c>
      <c r="M3">
        <v>9532</v>
      </c>
      <c r="N3">
        <v>267868.18</v>
      </c>
      <c r="O3">
        <v>21.16</v>
      </c>
      <c r="P3">
        <v>29.24</v>
      </c>
    </row>
    <row r="4" spans="1:16">
      <c r="A4" s="37"/>
      <c r="B4" s="38"/>
      <c r="C4" s="38"/>
      <c r="D4" s="38"/>
      <c r="E4" s="38"/>
      <c r="F4" s="38"/>
      <c r="G4" s="38"/>
      <c r="H4" s="39"/>
      <c r="J4">
        <v>4</v>
      </c>
      <c r="K4" t="s">
        <v>1121</v>
      </c>
      <c r="L4">
        <v>303</v>
      </c>
      <c r="M4">
        <v>9149</v>
      </c>
      <c r="N4">
        <v>234507.28</v>
      </c>
      <c r="O4">
        <v>18.53</v>
      </c>
      <c r="P4">
        <v>26.98</v>
      </c>
    </row>
    <row r="5" spans="1:16">
      <c r="A5" s="37"/>
      <c r="B5" s="38"/>
      <c r="C5" s="38"/>
      <c r="D5" s="38"/>
      <c r="E5" s="38"/>
      <c r="F5" s="38"/>
      <c r="G5" s="38"/>
      <c r="H5" s="39"/>
      <c r="J5">
        <v>3</v>
      </c>
      <c r="K5" t="s">
        <v>1119</v>
      </c>
      <c r="L5">
        <v>295</v>
      </c>
      <c r="M5">
        <v>7906</v>
      </c>
      <c r="N5">
        <v>167357.22</v>
      </c>
      <c r="O5">
        <v>13.22</v>
      </c>
      <c r="P5">
        <v>22.6</v>
      </c>
    </row>
    <row r="6" spans="1:16">
      <c r="A6" s="37"/>
      <c r="B6" s="38"/>
      <c r="C6" s="38"/>
      <c r="D6" s="38"/>
      <c r="E6" s="38"/>
      <c r="F6" s="38"/>
      <c r="G6" s="38"/>
      <c r="H6" s="39"/>
      <c r="J6">
        <v>6</v>
      </c>
      <c r="K6" t="s">
        <v>1125</v>
      </c>
      <c r="L6">
        <v>161</v>
      </c>
      <c r="M6">
        <v>4199</v>
      </c>
      <c r="N6">
        <v>163022.35999999999</v>
      </c>
      <c r="O6">
        <v>12.88</v>
      </c>
      <c r="P6">
        <v>42.87</v>
      </c>
    </row>
    <row r="7" spans="1:16">
      <c r="A7" s="37"/>
      <c r="B7" s="38"/>
      <c r="C7" s="38"/>
      <c r="D7" s="38"/>
      <c r="E7" s="38"/>
      <c r="F7" s="38"/>
      <c r="G7" s="38"/>
      <c r="H7" s="39"/>
      <c r="J7">
        <v>8</v>
      </c>
      <c r="K7" t="s">
        <v>1129</v>
      </c>
      <c r="L7">
        <v>291</v>
      </c>
      <c r="M7">
        <v>7681</v>
      </c>
      <c r="N7">
        <v>131261.74</v>
      </c>
      <c r="O7">
        <v>10.37</v>
      </c>
      <c r="P7">
        <v>19.059999999999999</v>
      </c>
    </row>
    <row r="8" spans="1:16">
      <c r="A8" s="37"/>
      <c r="B8" s="38"/>
      <c r="C8" s="38"/>
      <c r="D8" s="38"/>
      <c r="E8" s="38"/>
      <c r="F8" s="38"/>
      <c r="G8" s="38"/>
      <c r="H8" s="39"/>
      <c r="J8">
        <v>2</v>
      </c>
      <c r="K8" t="s">
        <v>1117</v>
      </c>
      <c r="L8">
        <v>193</v>
      </c>
      <c r="M8">
        <v>5298</v>
      </c>
      <c r="N8">
        <v>106047.09</v>
      </c>
      <c r="O8">
        <v>8.3800000000000008</v>
      </c>
      <c r="P8">
        <v>21.32</v>
      </c>
    </row>
    <row r="9" spans="1:16">
      <c r="A9" s="37"/>
      <c r="B9" s="38"/>
      <c r="C9" s="38"/>
      <c r="D9" s="38"/>
      <c r="E9" s="38"/>
      <c r="F9" s="38"/>
      <c r="G9" s="38"/>
      <c r="H9" s="39"/>
      <c r="J9">
        <v>7</v>
      </c>
      <c r="K9" t="s">
        <v>1127</v>
      </c>
      <c r="L9">
        <v>129</v>
      </c>
      <c r="M9">
        <v>2990</v>
      </c>
      <c r="N9">
        <v>99984.58</v>
      </c>
      <c r="O9">
        <v>7.9</v>
      </c>
      <c r="P9">
        <v>35.19</v>
      </c>
    </row>
    <row r="10" spans="1:16">
      <c r="A10" s="37"/>
      <c r="B10" s="38"/>
      <c r="C10" s="38"/>
      <c r="D10" s="38"/>
      <c r="E10" s="38"/>
      <c r="F10" s="38"/>
      <c r="G10" s="38"/>
      <c r="H10" s="39"/>
      <c r="J10">
        <v>5</v>
      </c>
      <c r="K10" t="s">
        <v>1123</v>
      </c>
      <c r="L10">
        <v>182</v>
      </c>
      <c r="M10">
        <v>4562</v>
      </c>
      <c r="N10">
        <v>95744.59</v>
      </c>
      <c r="O10">
        <v>7.56</v>
      </c>
      <c r="P10">
        <v>21.25</v>
      </c>
    </row>
    <row r="11" spans="1:16">
      <c r="A11" s="37"/>
      <c r="B11" s="38"/>
      <c r="C11" s="38"/>
      <c r="D11" s="38"/>
      <c r="E11" s="38"/>
      <c r="F11" s="38"/>
      <c r="G11" s="38"/>
      <c r="H11" s="39"/>
    </row>
    <row r="12" spans="1:16">
      <c r="A12" s="37"/>
      <c r="B12" s="38"/>
      <c r="C12" s="38"/>
      <c r="D12" s="38"/>
      <c r="E12" s="38"/>
      <c r="F12" s="38"/>
      <c r="G12" s="38"/>
      <c r="H12" s="39"/>
    </row>
    <row r="13" spans="1:16">
      <c r="A13" s="37"/>
      <c r="B13" s="38"/>
      <c r="C13" s="38"/>
      <c r="D13" s="38"/>
      <c r="E13" s="38"/>
      <c r="F13" s="38"/>
      <c r="G13" s="38"/>
      <c r="H13" s="39"/>
    </row>
    <row r="14" spans="1:16">
      <c r="A14" s="37"/>
      <c r="B14" s="38"/>
      <c r="C14" s="38"/>
      <c r="D14" s="38"/>
      <c r="E14" s="38"/>
      <c r="F14" s="38"/>
      <c r="G14" s="38"/>
      <c r="H14" s="39"/>
    </row>
    <row r="15" spans="1:16">
      <c r="A15" s="37"/>
      <c r="B15" s="38"/>
      <c r="C15" s="38"/>
      <c r="D15" s="38"/>
      <c r="E15" s="38"/>
      <c r="F15" s="38"/>
      <c r="G15" s="38"/>
      <c r="H15" s="39"/>
    </row>
    <row r="16" spans="1:16">
      <c r="A16" s="37"/>
      <c r="B16" s="38"/>
      <c r="C16" s="38"/>
      <c r="D16" s="38"/>
      <c r="E16" s="38"/>
      <c r="F16" s="38"/>
      <c r="G16" s="38"/>
      <c r="H16" s="39"/>
    </row>
    <row r="17" spans="1:17">
      <c r="A17" s="37"/>
      <c r="B17" s="38"/>
      <c r="C17" s="38"/>
      <c r="D17" s="38"/>
      <c r="E17" s="38"/>
      <c r="F17" s="38"/>
      <c r="G17" s="38"/>
      <c r="H17" s="39"/>
    </row>
    <row r="18" spans="1:17">
      <c r="A18" s="37"/>
      <c r="B18" s="38"/>
      <c r="C18" s="38"/>
      <c r="D18" s="38"/>
      <c r="E18" s="38"/>
      <c r="F18" s="38"/>
      <c r="G18" s="38"/>
      <c r="H18" s="39"/>
    </row>
    <row r="19" spans="1:17">
      <c r="A19" s="37"/>
      <c r="B19" s="38"/>
      <c r="C19" s="38"/>
      <c r="D19" s="38"/>
      <c r="E19" s="38"/>
      <c r="F19" s="38"/>
      <c r="G19" s="38"/>
      <c r="H19" s="39"/>
    </row>
    <row r="20" spans="1:17">
      <c r="A20" s="37"/>
      <c r="B20" s="38"/>
      <c r="C20" s="38"/>
      <c r="D20" s="38"/>
      <c r="E20" s="38"/>
      <c r="F20" s="38"/>
      <c r="G20" s="38"/>
      <c r="H20" s="39"/>
    </row>
    <row r="21" spans="1:17">
      <c r="A21" s="37"/>
      <c r="B21" s="38"/>
      <c r="C21" s="38"/>
      <c r="D21" s="38"/>
      <c r="E21" s="38"/>
      <c r="F21" s="38"/>
      <c r="G21" s="38"/>
      <c r="H21" s="39"/>
    </row>
    <row r="22" spans="1:17" ht="14" thickBot="1">
      <c r="A22" s="40"/>
      <c r="B22" s="41"/>
      <c r="C22" s="41"/>
      <c r="D22" s="41"/>
      <c r="E22" s="41"/>
      <c r="F22" s="41"/>
      <c r="G22" s="41"/>
      <c r="H22" s="42"/>
    </row>
    <row r="27" spans="1:17" ht="14" thickBot="1"/>
    <row r="28" spans="1:17" ht="14" thickBot="1">
      <c r="A28" s="43" t="s">
        <v>1224</v>
      </c>
      <c r="B28" s="44"/>
      <c r="C28" s="44"/>
      <c r="D28" s="44"/>
      <c r="E28" s="44"/>
      <c r="F28" s="44"/>
      <c r="G28" s="44"/>
      <c r="H28" s="45"/>
    </row>
    <row r="29" spans="1:17" ht="14.25" customHeight="1">
      <c r="A29" s="37" t="s">
        <v>1225</v>
      </c>
      <c r="B29" s="38"/>
      <c r="C29" s="38"/>
      <c r="D29" s="38"/>
      <c r="E29" s="38"/>
      <c r="F29" s="38"/>
      <c r="G29" s="38"/>
      <c r="H29" s="39"/>
      <c r="I29" s="7"/>
      <c r="J29" t="s">
        <v>224</v>
      </c>
      <c r="K29" t="s">
        <v>225</v>
      </c>
      <c r="L29" t="s">
        <v>1113</v>
      </c>
      <c r="M29" t="s">
        <v>1201</v>
      </c>
      <c r="N29" t="s">
        <v>1198</v>
      </c>
      <c r="O29" t="s">
        <v>1132</v>
      </c>
      <c r="P29" t="s">
        <v>1202</v>
      </c>
      <c r="Q29" t="s">
        <v>1203</v>
      </c>
    </row>
    <row r="30" spans="1:17">
      <c r="A30" s="37"/>
      <c r="B30" s="38"/>
      <c r="C30" s="38"/>
      <c r="D30" s="38"/>
      <c r="E30" s="38"/>
      <c r="F30" s="38"/>
      <c r="G30" s="38"/>
      <c r="H30" s="39"/>
      <c r="I30" s="7"/>
      <c r="J30">
        <v>38</v>
      </c>
      <c r="K30" t="s">
        <v>1204</v>
      </c>
      <c r="L30" t="s">
        <v>1115</v>
      </c>
      <c r="M30">
        <v>24</v>
      </c>
      <c r="N30">
        <v>623</v>
      </c>
      <c r="O30">
        <v>141396.73000000001</v>
      </c>
      <c r="P30">
        <v>52.79</v>
      </c>
      <c r="Q30">
        <v>245.93</v>
      </c>
    </row>
    <row r="31" spans="1:17">
      <c r="A31" s="37"/>
      <c r="B31" s="38"/>
      <c r="C31" s="38"/>
      <c r="D31" s="38"/>
      <c r="E31" s="38"/>
      <c r="F31" s="38"/>
      <c r="G31" s="38"/>
      <c r="H31" s="39"/>
      <c r="I31" s="7"/>
      <c r="J31">
        <v>29</v>
      </c>
      <c r="K31" t="s">
        <v>1205</v>
      </c>
      <c r="L31" t="s">
        <v>1125</v>
      </c>
      <c r="M31">
        <v>32</v>
      </c>
      <c r="N31">
        <v>746</v>
      </c>
      <c r="O31">
        <v>80368.67</v>
      </c>
      <c r="P31">
        <v>49.3</v>
      </c>
      <c r="Q31">
        <v>116.04</v>
      </c>
    </row>
    <row r="32" spans="1:17">
      <c r="A32" s="37"/>
      <c r="B32" s="38"/>
      <c r="C32" s="38"/>
      <c r="D32" s="38"/>
      <c r="E32" s="38"/>
      <c r="F32" s="38"/>
      <c r="G32" s="38"/>
      <c r="H32" s="39"/>
      <c r="I32" s="7"/>
      <c r="J32">
        <v>59</v>
      </c>
      <c r="K32" t="s">
        <v>346</v>
      </c>
      <c r="L32" t="s">
        <v>1121</v>
      </c>
      <c r="M32">
        <v>54</v>
      </c>
      <c r="N32">
        <v>1496</v>
      </c>
      <c r="O32">
        <v>71155.7</v>
      </c>
      <c r="P32">
        <v>30.34</v>
      </c>
      <c r="Q32">
        <v>51.13</v>
      </c>
    </row>
    <row r="33" spans="1:17">
      <c r="A33" s="37"/>
      <c r="B33" s="38"/>
      <c r="C33" s="38"/>
      <c r="D33" s="38"/>
      <c r="E33" s="38"/>
      <c r="F33" s="38"/>
      <c r="G33" s="38"/>
      <c r="H33" s="39"/>
      <c r="I33" s="7"/>
      <c r="J33">
        <v>62</v>
      </c>
      <c r="K33" t="s">
        <v>352</v>
      </c>
      <c r="L33" t="s">
        <v>1119</v>
      </c>
      <c r="M33">
        <v>48</v>
      </c>
      <c r="N33">
        <v>1083</v>
      </c>
      <c r="O33">
        <v>47234.97</v>
      </c>
      <c r="P33">
        <v>28.22</v>
      </c>
      <c r="Q33">
        <v>46.41</v>
      </c>
    </row>
    <row r="34" spans="1:17">
      <c r="A34" s="37"/>
      <c r="B34" s="38"/>
      <c r="C34" s="38"/>
      <c r="D34" s="38"/>
      <c r="E34" s="38"/>
      <c r="F34" s="38"/>
      <c r="G34" s="38"/>
      <c r="H34" s="39"/>
      <c r="I34" s="7"/>
      <c r="J34">
        <v>60</v>
      </c>
      <c r="K34" t="s">
        <v>348</v>
      </c>
      <c r="L34" t="s">
        <v>1121</v>
      </c>
      <c r="M34">
        <v>51</v>
      </c>
      <c r="N34">
        <v>1577</v>
      </c>
      <c r="O34">
        <v>46825.48</v>
      </c>
      <c r="P34">
        <v>19.97</v>
      </c>
      <c r="Q34">
        <v>32.130000000000003</v>
      </c>
    </row>
    <row r="35" spans="1:17">
      <c r="A35" s="37"/>
      <c r="B35" s="38"/>
      <c r="C35" s="38"/>
      <c r="D35" s="38"/>
      <c r="E35" s="38"/>
      <c r="F35" s="38"/>
      <c r="G35" s="38"/>
      <c r="H35" s="39"/>
      <c r="I35" s="7"/>
      <c r="J35">
        <v>56</v>
      </c>
      <c r="K35" t="s">
        <v>341</v>
      </c>
      <c r="L35" t="s">
        <v>1123</v>
      </c>
      <c r="M35">
        <v>50</v>
      </c>
      <c r="N35">
        <v>1263</v>
      </c>
      <c r="O35">
        <v>42593.06</v>
      </c>
      <c r="P35">
        <v>44.49</v>
      </c>
      <c r="Q35">
        <v>35.42</v>
      </c>
    </row>
    <row r="36" spans="1:17">
      <c r="A36" s="37"/>
      <c r="B36" s="38"/>
      <c r="C36" s="38"/>
      <c r="D36" s="38"/>
      <c r="E36" s="38"/>
      <c r="F36" s="38"/>
      <c r="G36" s="38"/>
      <c r="H36" s="39"/>
      <c r="I36" s="7"/>
      <c r="J36">
        <v>51</v>
      </c>
      <c r="K36" t="s">
        <v>331</v>
      </c>
      <c r="L36" t="s">
        <v>1127</v>
      </c>
      <c r="M36">
        <v>39</v>
      </c>
      <c r="N36">
        <v>886</v>
      </c>
      <c r="O36">
        <v>41819.65</v>
      </c>
      <c r="P36">
        <v>41.83</v>
      </c>
      <c r="Q36">
        <v>50.55</v>
      </c>
    </row>
    <row r="37" spans="1:17">
      <c r="A37" s="37"/>
      <c r="B37" s="38"/>
      <c r="C37" s="38"/>
      <c r="D37" s="38"/>
      <c r="E37" s="38"/>
      <c r="F37" s="38"/>
      <c r="G37" s="38"/>
      <c r="H37" s="39"/>
      <c r="I37" s="7"/>
      <c r="J37">
        <v>17</v>
      </c>
      <c r="K37" t="s">
        <v>265</v>
      </c>
      <c r="L37" t="s">
        <v>1125</v>
      </c>
      <c r="M37">
        <v>37</v>
      </c>
      <c r="N37">
        <v>978</v>
      </c>
      <c r="O37">
        <v>32698.38</v>
      </c>
      <c r="P37">
        <v>20.059999999999999</v>
      </c>
      <c r="Q37">
        <v>36.47</v>
      </c>
    </row>
    <row r="38" spans="1:17">
      <c r="A38" s="37"/>
      <c r="B38" s="38"/>
      <c r="C38" s="38"/>
      <c r="D38" s="38"/>
      <c r="E38" s="38"/>
      <c r="F38" s="38"/>
      <c r="G38" s="38"/>
      <c r="H38" s="39"/>
      <c r="I38" s="7"/>
      <c r="J38">
        <v>18</v>
      </c>
      <c r="K38" t="s">
        <v>267</v>
      </c>
      <c r="L38" t="s">
        <v>1129</v>
      </c>
      <c r="M38">
        <v>27</v>
      </c>
      <c r="N38">
        <v>539</v>
      </c>
      <c r="O38">
        <v>29171.88</v>
      </c>
      <c r="P38">
        <v>22.22</v>
      </c>
      <c r="Q38">
        <v>59.72</v>
      </c>
    </row>
    <row r="39" spans="1:17">
      <c r="A39" s="37"/>
      <c r="B39" s="38"/>
      <c r="C39" s="38"/>
      <c r="D39" s="38"/>
      <c r="E39" s="38"/>
      <c r="F39" s="38"/>
      <c r="G39" s="38"/>
      <c r="H39" s="39"/>
      <c r="I39" s="7"/>
      <c r="J39">
        <v>28</v>
      </c>
      <c r="K39" t="s">
        <v>1206</v>
      </c>
      <c r="L39" t="s">
        <v>1127</v>
      </c>
      <c r="M39">
        <v>33</v>
      </c>
      <c r="N39">
        <v>640</v>
      </c>
      <c r="O39">
        <v>25696.639999999999</v>
      </c>
      <c r="P39">
        <v>25.7</v>
      </c>
      <c r="Q39">
        <v>41.98</v>
      </c>
    </row>
    <row r="40" spans="1:17">
      <c r="A40" s="37"/>
      <c r="B40" s="38"/>
      <c r="C40" s="38"/>
      <c r="D40" s="38"/>
      <c r="E40" s="38"/>
      <c r="F40" s="38"/>
      <c r="G40" s="38"/>
      <c r="H40" s="39"/>
      <c r="I40" s="7"/>
      <c r="J40">
        <v>72</v>
      </c>
      <c r="K40" t="s">
        <v>370</v>
      </c>
      <c r="L40" t="s">
        <v>1121</v>
      </c>
      <c r="M40">
        <v>38</v>
      </c>
      <c r="N40">
        <v>806</v>
      </c>
      <c r="O40">
        <v>24900.13</v>
      </c>
      <c r="P40">
        <v>10.62</v>
      </c>
      <c r="Q40">
        <v>32.04</v>
      </c>
    </row>
    <row r="41" spans="1:17">
      <c r="A41" s="37"/>
      <c r="B41" s="38"/>
      <c r="C41" s="38"/>
      <c r="D41" s="38"/>
      <c r="E41" s="38"/>
      <c r="F41" s="38"/>
      <c r="G41" s="38"/>
      <c r="H41" s="39"/>
      <c r="I41" s="7"/>
      <c r="J41">
        <v>43</v>
      </c>
      <c r="K41" t="s">
        <v>315</v>
      </c>
      <c r="L41" t="s">
        <v>1115</v>
      </c>
      <c r="M41">
        <v>28</v>
      </c>
      <c r="N41">
        <v>580</v>
      </c>
      <c r="O41">
        <v>23526.7</v>
      </c>
      <c r="P41">
        <v>8.7799999999999994</v>
      </c>
      <c r="Q41">
        <v>43.04</v>
      </c>
    </row>
    <row r="42" spans="1:17">
      <c r="A42" s="37"/>
      <c r="B42" s="38"/>
      <c r="C42" s="38"/>
      <c r="D42" s="38"/>
      <c r="E42" s="38"/>
      <c r="F42" s="38"/>
      <c r="G42" s="38"/>
      <c r="H42" s="39"/>
      <c r="I42" s="7"/>
      <c r="J42">
        <v>20</v>
      </c>
      <c r="K42" t="s">
        <v>271</v>
      </c>
      <c r="L42" t="s">
        <v>1119</v>
      </c>
      <c r="M42">
        <v>16</v>
      </c>
      <c r="N42">
        <v>313</v>
      </c>
      <c r="O42">
        <v>22563.360000000001</v>
      </c>
      <c r="P42">
        <v>13.48</v>
      </c>
      <c r="Q42">
        <v>75.94</v>
      </c>
    </row>
    <row r="43" spans="1:17">
      <c r="A43" s="37"/>
      <c r="B43" s="38"/>
      <c r="C43" s="38"/>
      <c r="D43" s="38"/>
      <c r="E43" s="38"/>
      <c r="F43" s="38"/>
      <c r="G43" s="38"/>
      <c r="H43" s="39"/>
      <c r="I43" s="7"/>
      <c r="J43">
        <v>7</v>
      </c>
      <c r="K43" t="s">
        <v>245</v>
      </c>
      <c r="L43" t="s">
        <v>1127</v>
      </c>
      <c r="M43">
        <v>29</v>
      </c>
      <c r="N43">
        <v>763</v>
      </c>
      <c r="O43">
        <v>22044.3</v>
      </c>
      <c r="P43">
        <v>22.05</v>
      </c>
      <c r="Q43">
        <v>29.17</v>
      </c>
    </row>
    <row r="44" spans="1:17">
      <c r="A44" s="37"/>
      <c r="B44" s="38"/>
      <c r="C44" s="38"/>
      <c r="D44" s="38"/>
      <c r="E44" s="38"/>
      <c r="F44" s="38"/>
      <c r="G44" s="38"/>
      <c r="H44" s="39"/>
      <c r="I44" s="7"/>
      <c r="J44">
        <v>64</v>
      </c>
      <c r="K44" t="s">
        <v>1207</v>
      </c>
      <c r="L44" t="s">
        <v>1123</v>
      </c>
      <c r="M44">
        <v>30</v>
      </c>
      <c r="N44">
        <v>740</v>
      </c>
      <c r="O44">
        <v>21957.97</v>
      </c>
      <c r="P44">
        <v>22.93</v>
      </c>
      <c r="Q44">
        <v>31.03</v>
      </c>
    </row>
    <row r="45" spans="1:17">
      <c r="A45" s="37"/>
      <c r="B45" s="38"/>
      <c r="C45" s="38"/>
      <c r="D45" s="38"/>
      <c r="E45" s="38"/>
      <c r="F45" s="38"/>
      <c r="G45" s="38"/>
      <c r="H45" s="39"/>
      <c r="I45" s="7"/>
      <c r="J45">
        <v>69</v>
      </c>
      <c r="K45" t="s">
        <v>365</v>
      </c>
      <c r="L45" t="s">
        <v>1121</v>
      </c>
      <c r="M45">
        <v>31</v>
      </c>
      <c r="N45">
        <v>714</v>
      </c>
      <c r="O45">
        <v>21942.36</v>
      </c>
      <c r="P45">
        <v>9.36</v>
      </c>
      <c r="Q45">
        <v>33.450000000000003</v>
      </c>
    </row>
    <row r="46" spans="1:17" ht="14" thickBot="1">
      <c r="A46" s="40"/>
      <c r="B46" s="41"/>
      <c r="C46" s="41"/>
      <c r="D46" s="41"/>
      <c r="E46" s="41"/>
      <c r="F46" s="41"/>
      <c r="G46" s="41"/>
      <c r="H46" s="42"/>
      <c r="I46" s="7"/>
      <c r="J46">
        <v>10</v>
      </c>
      <c r="K46" t="s">
        <v>251</v>
      </c>
      <c r="L46" t="s">
        <v>1129</v>
      </c>
      <c r="M46">
        <v>33</v>
      </c>
      <c r="N46">
        <v>742</v>
      </c>
      <c r="O46">
        <v>20867.34</v>
      </c>
      <c r="P46">
        <v>15.9</v>
      </c>
      <c r="Q46">
        <v>29.68</v>
      </c>
    </row>
    <row r="47" spans="1:17">
      <c r="A47" s="7"/>
      <c r="B47" s="7"/>
      <c r="C47" s="7"/>
      <c r="D47" s="7"/>
      <c r="E47" s="7"/>
      <c r="F47" s="7"/>
      <c r="G47" s="7"/>
      <c r="H47" s="7"/>
      <c r="I47" s="7"/>
      <c r="J47">
        <v>53</v>
      </c>
      <c r="K47" t="s">
        <v>335</v>
      </c>
      <c r="L47" t="s">
        <v>1125</v>
      </c>
      <c r="M47">
        <v>30</v>
      </c>
      <c r="N47">
        <v>722</v>
      </c>
      <c r="O47">
        <v>20574.169999999998</v>
      </c>
      <c r="P47">
        <v>12.62</v>
      </c>
      <c r="Q47">
        <v>30.16</v>
      </c>
    </row>
    <row r="48" spans="1:17">
      <c r="A48" s="7"/>
      <c r="B48" s="7"/>
      <c r="C48" s="7"/>
      <c r="D48" s="7"/>
      <c r="E48" s="7"/>
      <c r="F48" s="7"/>
      <c r="G48" s="7"/>
      <c r="H48" s="7"/>
      <c r="I48" s="7"/>
      <c r="J48">
        <v>26</v>
      </c>
      <c r="K48" t="s">
        <v>1208</v>
      </c>
      <c r="L48" t="s">
        <v>1119</v>
      </c>
      <c r="M48">
        <v>32</v>
      </c>
      <c r="N48">
        <v>753</v>
      </c>
      <c r="O48">
        <v>19849.14</v>
      </c>
      <c r="P48">
        <v>11.86</v>
      </c>
      <c r="Q48">
        <v>28.86</v>
      </c>
    </row>
    <row r="49" spans="1:17">
      <c r="A49" s="7"/>
      <c r="B49" s="7"/>
      <c r="C49" s="7"/>
      <c r="D49" s="7"/>
      <c r="E49" s="7"/>
      <c r="F49" s="7"/>
      <c r="G49" s="7"/>
      <c r="H49" s="7"/>
      <c r="I49" s="7"/>
      <c r="J49">
        <v>71</v>
      </c>
      <c r="K49" t="s">
        <v>1209</v>
      </c>
      <c r="L49" t="s">
        <v>1121</v>
      </c>
      <c r="M49">
        <v>42</v>
      </c>
      <c r="N49">
        <v>1057</v>
      </c>
      <c r="O49">
        <v>19551.03</v>
      </c>
      <c r="P49">
        <v>8.34</v>
      </c>
      <c r="Q49">
        <v>19.760000000000002</v>
      </c>
    </row>
    <row r="50" spans="1:17">
      <c r="A50" s="7"/>
      <c r="B50" s="7"/>
      <c r="C50" s="7"/>
      <c r="D50" s="7"/>
      <c r="E50" s="7"/>
      <c r="F50" s="7"/>
      <c r="G50" s="7"/>
      <c r="H50" s="7"/>
      <c r="I50" s="7"/>
      <c r="J50">
        <v>40</v>
      </c>
      <c r="K50" t="s">
        <v>309</v>
      </c>
      <c r="L50" t="s">
        <v>1129</v>
      </c>
      <c r="M50">
        <v>41</v>
      </c>
      <c r="N50">
        <v>1103</v>
      </c>
      <c r="O50">
        <v>17910.63</v>
      </c>
      <c r="P50">
        <v>13.64</v>
      </c>
      <c r="Q50">
        <v>17.23</v>
      </c>
    </row>
    <row r="51" spans="1:17">
      <c r="A51" s="7"/>
      <c r="B51" s="7"/>
      <c r="C51" s="7"/>
      <c r="D51" s="7"/>
      <c r="E51" s="7"/>
      <c r="F51" s="7"/>
      <c r="G51" s="7"/>
      <c r="H51" s="7"/>
      <c r="I51" s="7"/>
      <c r="J51">
        <v>55</v>
      </c>
      <c r="K51" t="s">
        <v>1210</v>
      </c>
      <c r="L51" t="s">
        <v>1125</v>
      </c>
      <c r="M51">
        <v>33</v>
      </c>
      <c r="N51">
        <v>903</v>
      </c>
      <c r="O51">
        <v>17426.400000000001</v>
      </c>
      <c r="P51">
        <v>10.69</v>
      </c>
      <c r="Q51">
        <v>22.4</v>
      </c>
    </row>
    <row r="52" spans="1:17">
      <c r="A52" s="7"/>
      <c r="B52" s="7"/>
      <c r="C52" s="7"/>
      <c r="D52" s="7"/>
      <c r="E52" s="7"/>
      <c r="F52" s="7"/>
      <c r="G52" s="7"/>
      <c r="H52" s="7"/>
      <c r="I52" s="7"/>
      <c r="J52">
        <v>16</v>
      </c>
      <c r="K52" t="s">
        <v>263</v>
      </c>
      <c r="L52" t="s">
        <v>1119</v>
      </c>
      <c r="M52">
        <v>43</v>
      </c>
      <c r="N52">
        <v>1158</v>
      </c>
      <c r="O52">
        <v>17215.78</v>
      </c>
      <c r="P52">
        <v>10.29</v>
      </c>
      <c r="Q52">
        <v>16.38</v>
      </c>
    </row>
    <row r="53" spans="1:17">
      <c r="A53" s="7"/>
      <c r="B53" s="7"/>
      <c r="C53" s="7"/>
      <c r="D53" s="7"/>
      <c r="E53" s="7"/>
      <c r="F53" s="7"/>
      <c r="G53" s="7"/>
      <c r="H53" s="7"/>
      <c r="I53" s="7"/>
      <c r="J53">
        <v>63</v>
      </c>
      <c r="K53" t="s">
        <v>354</v>
      </c>
      <c r="L53" t="s">
        <v>1117</v>
      </c>
      <c r="M53">
        <v>17</v>
      </c>
      <c r="N53">
        <v>445</v>
      </c>
      <c r="O53">
        <v>16701.099999999999</v>
      </c>
      <c r="P53">
        <v>15.75</v>
      </c>
      <c r="Q53">
        <v>40.79</v>
      </c>
    </row>
    <row r="54" spans="1:17">
      <c r="A54" s="7"/>
      <c r="B54" s="7"/>
      <c r="C54" s="7"/>
      <c r="D54" s="7"/>
      <c r="E54" s="7"/>
      <c r="F54" s="7"/>
      <c r="G54" s="7"/>
      <c r="H54" s="7"/>
      <c r="I54" s="7"/>
      <c r="J54">
        <v>2</v>
      </c>
      <c r="K54" t="s">
        <v>235</v>
      </c>
      <c r="L54" t="s">
        <v>1115</v>
      </c>
      <c r="M54">
        <v>44</v>
      </c>
      <c r="N54">
        <v>1057</v>
      </c>
      <c r="O54">
        <v>16355.96</v>
      </c>
      <c r="P54">
        <v>6.11</v>
      </c>
      <c r="Q54">
        <v>17.88</v>
      </c>
    </row>
    <row r="55" spans="1:17">
      <c r="A55" s="7"/>
      <c r="B55" s="7"/>
      <c r="C55" s="7"/>
      <c r="D55" s="7"/>
      <c r="E55" s="7"/>
      <c r="F55" s="7"/>
      <c r="G55" s="7"/>
      <c r="H55" s="7"/>
      <c r="I55" s="7"/>
      <c r="J55">
        <v>76</v>
      </c>
      <c r="K55" t="s">
        <v>1211</v>
      </c>
      <c r="L55" t="s">
        <v>1115</v>
      </c>
      <c r="M55">
        <v>39</v>
      </c>
      <c r="N55">
        <v>981</v>
      </c>
      <c r="O55">
        <v>15760.44</v>
      </c>
      <c r="P55">
        <v>5.88</v>
      </c>
      <c r="Q55">
        <v>16.98</v>
      </c>
    </row>
    <row r="56" spans="1:17">
      <c r="A56" s="7"/>
      <c r="B56" s="7"/>
      <c r="C56" s="7"/>
      <c r="D56" s="7"/>
      <c r="E56" s="7"/>
      <c r="F56" s="7"/>
      <c r="G56" s="7"/>
      <c r="H56" s="7"/>
      <c r="I56" s="7"/>
      <c r="J56">
        <v>27</v>
      </c>
      <c r="K56" t="s">
        <v>285</v>
      </c>
      <c r="L56" t="s">
        <v>1119</v>
      </c>
      <c r="M56">
        <v>9</v>
      </c>
      <c r="N56">
        <v>365</v>
      </c>
      <c r="O56">
        <v>15099.88</v>
      </c>
      <c r="P56">
        <v>9.02</v>
      </c>
      <c r="Q56">
        <v>40.97</v>
      </c>
    </row>
    <row r="57" spans="1:17">
      <c r="A57" s="7"/>
      <c r="B57" s="7"/>
      <c r="C57" s="7"/>
      <c r="D57" s="7"/>
      <c r="E57" s="7"/>
      <c r="F57" s="7"/>
      <c r="G57" s="7"/>
      <c r="H57" s="7"/>
      <c r="I57" s="7"/>
      <c r="J57">
        <v>31</v>
      </c>
      <c r="K57" t="s">
        <v>293</v>
      </c>
      <c r="L57" t="s">
        <v>1121</v>
      </c>
      <c r="M57">
        <v>51</v>
      </c>
      <c r="N57">
        <v>1397</v>
      </c>
      <c r="O57">
        <v>14920.88</v>
      </c>
      <c r="P57">
        <v>6.36</v>
      </c>
      <c r="Q57">
        <v>11.67</v>
      </c>
    </row>
    <row r="58" spans="1:17">
      <c r="A58" s="7"/>
      <c r="B58" s="7"/>
      <c r="C58" s="7"/>
      <c r="D58" s="7"/>
      <c r="E58" s="7"/>
      <c r="F58" s="7"/>
      <c r="G58" s="7"/>
      <c r="H58" s="7"/>
      <c r="I58" s="7"/>
      <c r="J58">
        <v>61</v>
      </c>
      <c r="K58" t="s">
        <v>1212</v>
      </c>
      <c r="L58" t="s">
        <v>1117</v>
      </c>
      <c r="M58">
        <v>24</v>
      </c>
      <c r="N58">
        <v>603</v>
      </c>
      <c r="O58">
        <v>14352.6</v>
      </c>
      <c r="P58">
        <v>13.53</v>
      </c>
      <c r="Q58">
        <v>27.79</v>
      </c>
    </row>
    <row r="59" spans="1:17">
      <c r="A59" s="7"/>
      <c r="B59" s="7"/>
      <c r="C59" s="7"/>
      <c r="D59" s="7"/>
      <c r="E59" s="7"/>
      <c r="F59" s="7"/>
      <c r="G59" s="7"/>
      <c r="H59" s="7"/>
      <c r="I59" s="7"/>
      <c r="J59">
        <v>65</v>
      </c>
      <c r="K59" t="s">
        <v>358</v>
      </c>
      <c r="L59" t="s">
        <v>1117</v>
      </c>
      <c r="M59">
        <v>32</v>
      </c>
      <c r="N59">
        <v>745</v>
      </c>
      <c r="O59">
        <v>13869.89</v>
      </c>
      <c r="P59">
        <v>13.08</v>
      </c>
      <c r="Q59">
        <v>19.46</v>
      </c>
    </row>
    <row r="60" spans="1:17">
      <c r="A60" s="7"/>
      <c r="B60" s="7"/>
      <c r="C60" s="7"/>
      <c r="D60" s="7"/>
      <c r="E60" s="7"/>
      <c r="F60" s="7"/>
      <c r="G60" s="7"/>
      <c r="H60" s="7"/>
      <c r="I60" s="7"/>
      <c r="J60">
        <v>35</v>
      </c>
      <c r="K60" t="s">
        <v>300</v>
      </c>
      <c r="L60" t="s">
        <v>1115</v>
      </c>
      <c r="M60">
        <v>36</v>
      </c>
      <c r="N60">
        <v>883</v>
      </c>
      <c r="O60">
        <v>13644</v>
      </c>
      <c r="P60">
        <v>5.09</v>
      </c>
      <c r="Q60">
        <v>17</v>
      </c>
    </row>
    <row r="61" spans="1:17">
      <c r="A61" s="7"/>
      <c r="B61" s="7"/>
      <c r="C61" s="7"/>
      <c r="D61" s="7"/>
      <c r="E61" s="7"/>
      <c r="F61" s="7"/>
      <c r="G61" s="7"/>
      <c r="H61" s="7"/>
      <c r="I61" s="7"/>
      <c r="J61">
        <v>36</v>
      </c>
      <c r="K61" t="s">
        <v>301</v>
      </c>
      <c r="L61" t="s">
        <v>1129</v>
      </c>
      <c r="M61">
        <v>31</v>
      </c>
      <c r="N61">
        <v>805</v>
      </c>
      <c r="O61">
        <v>13458.46</v>
      </c>
      <c r="P61">
        <v>10.25</v>
      </c>
      <c r="Q61">
        <v>17.899999999999999</v>
      </c>
    </row>
    <row r="62" spans="1:17">
      <c r="A62" s="7"/>
      <c r="B62" s="7"/>
      <c r="C62" s="7"/>
      <c r="D62" s="7"/>
      <c r="E62" s="7"/>
      <c r="F62" s="7"/>
      <c r="G62" s="7"/>
      <c r="H62" s="7"/>
      <c r="I62" s="7"/>
      <c r="J62">
        <v>30</v>
      </c>
      <c r="K62" t="s">
        <v>291</v>
      </c>
      <c r="L62" t="s">
        <v>1129</v>
      </c>
      <c r="M62">
        <v>32</v>
      </c>
      <c r="N62">
        <v>612</v>
      </c>
      <c r="O62">
        <v>13424.2</v>
      </c>
      <c r="P62">
        <v>10.23</v>
      </c>
      <c r="Q62">
        <v>24.27</v>
      </c>
    </row>
    <row r="63" spans="1:17">
      <c r="A63" s="7"/>
      <c r="B63" s="7"/>
      <c r="C63" s="7"/>
      <c r="D63" s="7"/>
      <c r="E63" s="7"/>
      <c r="F63" s="7"/>
      <c r="G63" s="7"/>
      <c r="H63" s="7"/>
      <c r="I63" s="7"/>
      <c r="J63">
        <v>11</v>
      </c>
      <c r="K63" t="s">
        <v>253</v>
      </c>
      <c r="L63" t="s">
        <v>1121</v>
      </c>
      <c r="M63">
        <v>38</v>
      </c>
      <c r="N63">
        <v>706</v>
      </c>
      <c r="O63">
        <v>12901.77</v>
      </c>
      <c r="P63">
        <v>5.5</v>
      </c>
      <c r="Q63">
        <v>19.600000000000001</v>
      </c>
    </row>
    <row r="64" spans="1:17">
      <c r="J64">
        <v>1</v>
      </c>
      <c r="K64" t="s">
        <v>233</v>
      </c>
      <c r="L64" t="s">
        <v>1115</v>
      </c>
      <c r="M64">
        <v>38</v>
      </c>
      <c r="N64">
        <v>828</v>
      </c>
      <c r="O64">
        <v>12788.1</v>
      </c>
      <c r="P64">
        <v>4.7699999999999996</v>
      </c>
      <c r="Q64">
        <v>17.149999999999999</v>
      </c>
    </row>
    <row r="65" spans="10:17">
      <c r="J65">
        <v>8</v>
      </c>
      <c r="K65" t="s">
        <v>247</v>
      </c>
      <c r="L65" t="s">
        <v>1117</v>
      </c>
      <c r="M65">
        <v>13</v>
      </c>
      <c r="N65">
        <v>372</v>
      </c>
      <c r="O65">
        <v>12772</v>
      </c>
      <c r="P65">
        <v>12.04</v>
      </c>
      <c r="Q65">
        <v>38.770000000000003</v>
      </c>
    </row>
    <row r="66" spans="10:17">
      <c r="J66">
        <v>39</v>
      </c>
      <c r="K66" t="s">
        <v>307</v>
      </c>
      <c r="L66" t="s">
        <v>1115</v>
      </c>
      <c r="M66">
        <v>30</v>
      </c>
      <c r="N66">
        <v>793</v>
      </c>
      <c r="O66">
        <v>12294.54</v>
      </c>
      <c r="P66">
        <v>4.59</v>
      </c>
      <c r="Q66">
        <v>16.68</v>
      </c>
    </row>
    <row r="67" spans="10:17">
      <c r="J67">
        <v>12</v>
      </c>
      <c r="K67" t="s">
        <v>255</v>
      </c>
      <c r="L67" t="s">
        <v>1121</v>
      </c>
      <c r="M67">
        <v>14</v>
      </c>
      <c r="N67">
        <v>344</v>
      </c>
      <c r="O67">
        <v>12257.66</v>
      </c>
      <c r="P67">
        <v>5.23</v>
      </c>
      <c r="Q67">
        <v>36.909999999999997</v>
      </c>
    </row>
    <row r="68" spans="10:17">
      <c r="J68">
        <v>70</v>
      </c>
      <c r="K68" t="s">
        <v>367</v>
      </c>
      <c r="L68" t="s">
        <v>1115</v>
      </c>
      <c r="M68">
        <v>39</v>
      </c>
      <c r="N68">
        <v>817</v>
      </c>
      <c r="O68">
        <v>10672.65</v>
      </c>
      <c r="P68">
        <v>3.98</v>
      </c>
      <c r="Q68">
        <v>14.15</v>
      </c>
    </row>
    <row r="69" spans="10:17">
      <c r="J69">
        <v>44</v>
      </c>
      <c r="K69" t="s">
        <v>317</v>
      </c>
      <c r="L69" t="s">
        <v>1117</v>
      </c>
      <c r="M69">
        <v>24</v>
      </c>
      <c r="N69">
        <v>601</v>
      </c>
      <c r="O69">
        <v>9915.94</v>
      </c>
      <c r="P69">
        <v>9.35</v>
      </c>
      <c r="Q69">
        <v>18.13</v>
      </c>
    </row>
    <row r="70" spans="10:17">
      <c r="J70">
        <v>49</v>
      </c>
      <c r="K70" t="s">
        <v>327</v>
      </c>
      <c r="L70" t="s">
        <v>1119</v>
      </c>
      <c r="M70">
        <v>21</v>
      </c>
      <c r="N70">
        <v>520</v>
      </c>
      <c r="O70">
        <v>9244.6</v>
      </c>
      <c r="P70">
        <v>5.52</v>
      </c>
      <c r="Q70">
        <v>18.48</v>
      </c>
    </row>
    <row r="71" spans="10:17">
      <c r="J71">
        <v>77</v>
      </c>
      <c r="K71" t="s">
        <v>1213</v>
      </c>
      <c r="L71" t="s">
        <v>1117</v>
      </c>
      <c r="M71">
        <v>38</v>
      </c>
      <c r="N71">
        <v>791</v>
      </c>
      <c r="O71">
        <v>9171.6299999999992</v>
      </c>
      <c r="P71">
        <v>8.65</v>
      </c>
      <c r="Q71">
        <v>12.11</v>
      </c>
    </row>
    <row r="72" spans="10:17">
      <c r="J72">
        <v>21</v>
      </c>
      <c r="K72" t="s">
        <v>273</v>
      </c>
      <c r="L72" t="s">
        <v>1119</v>
      </c>
      <c r="M72">
        <v>39</v>
      </c>
      <c r="N72">
        <v>1016</v>
      </c>
      <c r="O72">
        <v>9104</v>
      </c>
      <c r="P72">
        <v>5.44</v>
      </c>
      <c r="Q72">
        <v>9.3800000000000008</v>
      </c>
    </row>
    <row r="73" spans="10:17">
      <c r="J73">
        <v>68</v>
      </c>
      <c r="K73" t="s">
        <v>363</v>
      </c>
      <c r="L73" t="s">
        <v>1119</v>
      </c>
      <c r="M73">
        <v>34</v>
      </c>
      <c r="N73">
        <v>799</v>
      </c>
      <c r="O73">
        <v>8714</v>
      </c>
      <c r="P73">
        <v>5.21</v>
      </c>
      <c r="Q73">
        <v>11.54</v>
      </c>
    </row>
    <row r="74" spans="10:17">
      <c r="J74">
        <v>41</v>
      </c>
      <c r="K74" t="s">
        <v>311</v>
      </c>
      <c r="L74" t="s">
        <v>1129</v>
      </c>
      <c r="M74">
        <v>47</v>
      </c>
      <c r="N74">
        <v>981</v>
      </c>
      <c r="O74">
        <v>8680.35</v>
      </c>
      <c r="P74">
        <v>6.61</v>
      </c>
      <c r="Q74">
        <v>9.19</v>
      </c>
    </row>
    <row r="75" spans="10:17">
      <c r="J75">
        <v>42</v>
      </c>
      <c r="K75" t="s">
        <v>313</v>
      </c>
      <c r="L75" t="s">
        <v>1123</v>
      </c>
      <c r="M75">
        <v>30</v>
      </c>
      <c r="N75">
        <v>697</v>
      </c>
      <c r="O75">
        <v>8575</v>
      </c>
      <c r="P75">
        <v>8.9600000000000009</v>
      </c>
      <c r="Q75">
        <v>13.21</v>
      </c>
    </row>
    <row r="76" spans="10:17">
      <c r="J76">
        <v>4</v>
      </c>
      <c r="K76" t="s">
        <v>239</v>
      </c>
      <c r="L76" t="s">
        <v>1117</v>
      </c>
      <c r="M76">
        <v>20</v>
      </c>
      <c r="N76">
        <v>453</v>
      </c>
      <c r="O76">
        <v>8567.9</v>
      </c>
      <c r="P76">
        <v>8.08</v>
      </c>
      <c r="Q76">
        <v>20.68</v>
      </c>
    </row>
    <row r="77" spans="10:17">
      <c r="J77">
        <v>32</v>
      </c>
      <c r="K77" t="s">
        <v>295</v>
      </c>
      <c r="L77" t="s">
        <v>1121</v>
      </c>
      <c r="M77">
        <v>15</v>
      </c>
      <c r="N77">
        <v>297</v>
      </c>
      <c r="O77">
        <v>8404.16</v>
      </c>
      <c r="P77">
        <v>3.58</v>
      </c>
      <c r="Q77">
        <v>30.72</v>
      </c>
    </row>
    <row r="78" spans="10:17">
      <c r="J78">
        <v>75</v>
      </c>
      <c r="K78" t="s">
        <v>1214</v>
      </c>
      <c r="L78" t="s">
        <v>1115</v>
      </c>
      <c r="M78">
        <v>46</v>
      </c>
      <c r="N78">
        <v>1155</v>
      </c>
      <c r="O78">
        <v>8177.49</v>
      </c>
      <c r="P78">
        <v>3.05</v>
      </c>
      <c r="Q78">
        <v>7.38</v>
      </c>
    </row>
    <row r="79" spans="10:17">
      <c r="J79">
        <v>14</v>
      </c>
      <c r="K79" t="s">
        <v>259</v>
      </c>
      <c r="L79" t="s">
        <v>1127</v>
      </c>
      <c r="M79">
        <v>22</v>
      </c>
      <c r="N79">
        <v>404</v>
      </c>
      <c r="O79">
        <v>7991.49</v>
      </c>
      <c r="P79">
        <v>7.99</v>
      </c>
      <c r="Q79">
        <v>21.35</v>
      </c>
    </row>
    <row r="80" spans="10:17">
      <c r="J80">
        <v>57</v>
      </c>
      <c r="K80" t="s">
        <v>343</v>
      </c>
      <c r="L80" t="s">
        <v>1123</v>
      </c>
      <c r="M80">
        <v>23</v>
      </c>
      <c r="N80">
        <v>434</v>
      </c>
      <c r="O80">
        <v>7661.55</v>
      </c>
      <c r="P80">
        <v>8</v>
      </c>
      <c r="Q80">
        <v>18.14</v>
      </c>
    </row>
    <row r="81" spans="10:17">
      <c r="J81">
        <v>9</v>
      </c>
      <c r="K81" t="s">
        <v>249</v>
      </c>
      <c r="L81" t="s">
        <v>1125</v>
      </c>
      <c r="M81">
        <v>5</v>
      </c>
      <c r="N81">
        <v>95</v>
      </c>
      <c r="O81">
        <v>7226.5</v>
      </c>
      <c r="P81">
        <v>4.43</v>
      </c>
      <c r="Q81">
        <v>93.12</v>
      </c>
    </row>
    <row r="82" spans="10:17">
      <c r="J82">
        <v>6</v>
      </c>
      <c r="K82" t="s">
        <v>243</v>
      </c>
      <c r="L82" t="s">
        <v>1117</v>
      </c>
      <c r="M82">
        <v>12</v>
      </c>
      <c r="N82">
        <v>301</v>
      </c>
      <c r="O82">
        <v>7137</v>
      </c>
      <c r="P82">
        <v>6.73</v>
      </c>
      <c r="Q82">
        <v>24.17</v>
      </c>
    </row>
    <row r="83" spans="10:17">
      <c r="J83">
        <v>22</v>
      </c>
      <c r="K83" t="s">
        <v>1215</v>
      </c>
      <c r="L83" t="s">
        <v>1123</v>
      </c>
      <c r="M83">
        <v>14</v>
      </c>
      <c r="N83">
        <v>348</v>
      </c>
      <c r="O83">
        <v>7122.36</v>
      </c>
      <c r="P83">
        <v>7.44</v>
      </c>
      <c r="Q83">
        <v>20.399999999999999</v>
      </c>
    </row>
    <row r="84" spans="10:17">
      <c r="J84">
        <v>34</v>
      </c>
      <c r="K84" t="s">
        <v>299</v>
      </c>
      <c r="L84" t="s">
        <v>1115</v>
      </c>
      <c r="M84">
        <v>19</v>
      </c>
      <c r="N84">
        <v>506</v>
      </c>
      <c r="O84">
        <v>6350.4</v>
      </c>
      <c r="P84">
        <v>2.37</v>
      </c>
      <c r="Q84">
        <v>12.97</v>
      </c>
    </row>
    <row r="85" spans="10:17">
      <c r="J85">
        <v>46</v>
      </c>
      <c r="K85" t="s">
        <v>321</v>
      </c>
      <c r="L85" t="s">
        <v>1129</v>
      </c>
      <c r="M85">
        <v>27</v>
      </c>
      <c r="N85">
        <v>548</v>
      </c>
      <c r="O85">
        <v>5883</v>
      </c>
      <c r="P85">
        <v>4.4800000000000004</v>
      </c>
      <c r="Q85">
        <v>11.11</v>
      </c>
    </row>
    <row r="86" spans="10:17">
      <c r="J86">
        <v>58</v>
      </c>
      <c r="K86" t="s">
        <v>344</v>
      </c>
      <c r="L86" t="s">
        <v>1129</v>
      </c>
      <c r="M86">
        <v>18</v>
      </c>
      <c r="N86">
        <v>534</v>
      </c>
      <c r="O86">
        <v>5881.68</v>
      </c>
      <c r="P86">
        <v>4.4800000000000004</v>
      </c>
      <c r="Q86">
        <v>12.66</v>
      </c>
    </row>
    <row r="87" spans="10:17">
      <c r="J87">
        <v>19</v>
      </c>
      <c r="K87" t="s">
        <v>269</v>
      </c>
      <c r="L87" t="s">
        <v>1119</v>
      </c>
      <c r="M87">
        <v>37</v>
      </c>
      <c r="N87">
        <v>723</v>
      </c>
      <c r="O87">
        <v>5862.62</v>
      </c>
      <c r="P87">
        <v>3.5</v>
      </c>
      <c r="Q87">
        <v>8.5299999999999994</v>
      </c>
    </row>
    <row r="88" spans="10:17">
      <c r="J88">
        <v>5</v>
      </c>
      <c r="K88" t="s">
        <v>241</v>
      </c>
      <c r="L88" t="s">
        <v>1117</v>
      </c>
      <c r="M88">
        <v>10</v>
      </c>
      <c r="N88">
        <v>298</v>
      </c>
      <c r="O88">
        <v>5347.2</v>
      </c>
      <c r="P88">
        <v>5.04</v>
      </c>
      <c r="Q88">
        <v>19.61</v>
      </c>
    </row>
    <row r="89" spans="10:17">
      <c r="J89">
        <v>13</v>
      </c>
      <c r="K89" t="s">
        <v>257</v>
      </c>
      <c r="L89" t="s">
        <v>1129</v>
      </c>
      <c r="M89">
        <v>40</v>
      </c>
      <c r="N89">
        <v>891</v>
      </c>
      <c r="O89">
        <v>4960.4399999999996</v>
      </c>
      <c r="P89">
        <v>3.78</v>
      </c>
      <c r="Q89">
        <v>5.76</v>
      </c>
    </row>
    <row r="90" spans="10:17">
      <c r="J90">
        <v>54</v>
      </c>
      <c r="K90" t="s">
        <v>1216</v>
      </c>
      <c r="L90" t="s">
        <v>1125</v>
      </c>
      <c r="M90">
        <v>36</v>
      </c>
      <c r="N90">
        <v>755</v>
      </c>
      <c r="O90">
        <v>4728.24</v>
      </c>
      <c r="P90">
        <v>2.9</v>
      </c>
      <c r="Q90">
        <v>6.8</v>
      </c>
    </row>
    <row r="91" spans="10:17">
      <c r="J91">
        <v>23</v>
      </c>
      <c r="K91" t="s">
        <v>1217</v>
      </c>
      <c r="L91" t="s">
        <v>1123</v>
      </c>
      <c r="M91">
        <v>20</v>
      </c>
      <c r="N91">
        <v>580</v>
      </c>
      <c r="O91">
        <v>4601.7</v>
      </c>
      <c r="P91">
        <v>4.8099999999999996</v>
      </c>
      <c r="Q91">
        <v>8.3699999999999992</v>
      </c>
    </row>
    <row r="92" spans="10:17">
      <c r="J92">
        <v>24</v>
      </c>
      <c r="K92" t="s">
        <v>1218</v>
      </c>
      <c r="L92" t="s">
        <v>1115</v>
      </c>
      <c r="M92">
        <v>51</v>
      </c>
      <c r="N92">
        <v>1125</v>
      </c>
      <c r="O92">
        <v>4504.3599999999997</v>
      </c>
      <c r="P92">
        <v>1.68</v>
      </c>
      <c r="Q92">
        <v>4.24</v>
      </c>
    </row>
    <row r="93" spans="10:17">
      <c r="J93">
        <v>45</v>
      </c>
      <c r="K93" t="s">
        <v>1219</v>
      </c>
      <c r="L93" t="s">
        <v>1129</v>
      </c>
      <c r="M93">
        <v>14</v>
      </c>
      <c r="N93">
        <v>508</v>
      </c>
      <c r="O93">
        <v>4338.17</v>
      </c>
      <c r="P93">
        <v>3.3</v>
      </c>
      <c r="Q93">
        <v>9.23</v>
      </c>
    </row>
    <row r="94" spans="10:17">
      <c r="J94">
        <v>73</v>
      </c>
      <c r="K94" t="s">
        <v>1220</v>
      </c>
      <c r="L94" t="s">
        <v>1129</v>
      </c>
      <c r="M94">
        <v>14</v>
      </c>
      <c r="N94">
        <v>293</v>
      </c>
      <c r="O94">
        <v>3997.2</v>
      </c>
      <c r="P94">
        <v>3.05</v>
      </c>
      <c r="Q94">
        <v>14.36</v>
      </c>
    </row>
    <row r="95" spans="10:17">
      <c r="J95">
        <v>47</v>
      </c>
      <c r="K95" t="s">
        <v>323</v>
      </c>
      <c r="L95" t="s">
        <v>1119</v>
      </c>
      <c r="M95">
        <v>21</v>
      </c>
      <c r="N95">
        <v>485</v>
      </c>
      <c r="O95">
        <v>3958.08</v>
      </c>
      <c r="P95">
        <v>2.37</v>
      </c>
      <c r="Q95">
        <v>9.14</v>
      </c>
    </row>
    <row r="96" spans="10:17">
      <c r="J96">
        <v>25</v>
      </c>
      <c r="K96" t="s">
        <v>1221</v>
      </c>
      <c r="L96" t="s">
        <v>1119</v>
      </c>
      <c r="M96">
        <v>18</v>
      </c>
      <c r="N96">
        <v>318</v>
      </c>
      <c r="O96">
        <v>3704.4</v>
      </c>
      <c r="P96">
        <v>2.21</v>
      </c>
      <c r="Q96">
        <v>13.07</v>
      </c>
    </row>
    <row r="97" spans="10:17">
      <c r="J97">
        <v>50</v>
      </c>
      <c r="K97" t="s">
        <v>329</v>
      </c>
      <c r="L97" t="s">
        <v>1119</v>
      </c>
      <c r="M97">
        <v>10</v>
      </c>
      <c r="N97">
        <v>235</v>
      </c>
      <c r="O97">
        <v>3437.69</v>
      </c>
      <c r="P97">
        <v>2.0499999999999998</v>
      </c>
      <c r="Q97">
        <v>14.95</v>
      </c>
    </row>
    <row r="98" spans="10:17">
      <c r="J98">
        <v>66</v>
      </c>
      <c r="K98" t="s">
        <v>360</v>
      </c>
      <c r="L98" t="s">
        <v>1117</v>
      </c>
      <c r="M98">
        <v>8</v>
      </c>
      <c r="N98">
        <v>239</v>
      </c>
      <c r="O98">
        <v>3383</v>
      </c>
      <c r="P98">
        <v>3.19</v>
      </c>
      <c r="Q98">
        <v>15.3</v>
      </c>
    </row>
    <row r="99" spans="10:17">
      <c r="J99">
        <v>52</v>
      </c>
      <c r="K99" t="s">
        <v>333</v>
      </c>
      <c r="L99" t="s">
        <v>1123</v>
      </c>
      <c r="M99">
        <v>29</v>
      </c>
      <c r="N99">
        <v>500</v>
      </c>
      <c r="O99">
        <v>3232.95</v>
      </c>
      <c r="P99">
        <v>3.38</v>
      </c>
      <c r="Q99">
        <v>6.76</v>
      </c>
    </row>
    <row r="100" spans="10:17">
      <c r="J100">
        <v>3</v>
      </c>
      <c r="K100" t="s">
        <v>237</v>
      </c>
      <c r="L100" t="s">
        <v>1117</v>
      </c>
      <c r="M100">
        <v>12</v>
      </c>
      <c r="N100">
        <v>328</v>
      </c>
      <c r="O100">
        <v>3044</v>
      </c>
      <c r="P100">
        <v>2.87</v>
      </c>
      <c r="Q100">
        <v>9.5</v>
      </c>
    </row>
    <row r="101" spans="10:17">
      <c r="J101">
        <v>37</v>
      </c>
      <c r="K101" t="s">
        <v>303</v>
      </c>
      <c r="L101" t="s">
        <v>1129</v>
      </c>
      <c r="M101">
        <v>6</v>
      </c>
      <c r="N101">
        <v>125</v>
      </c>
      <c r="O101">
        <v>2688.4</v>
      </c>
      <c r="P101">
        <v>2.0499999999999998</v>
      </c>
      <c r="Q101">
        <v>23.4</v>
      </c>
    </row>
    <row r="102" spans="10:17">
      <c r="J102">
        <v>74</v>
      </c>
      <c r="K102" t="s">
        <v>373</v>
      </c>
      <c r="L102" t="s">
        <v>1127</v>
      </c>
      <c r="M102">
        <v>13</v>
      </c>
      <c r="N102">
        <v>297</v>
      </c>
      <c r="O102">
        <v>2432.5</v>
      </c>
      <c r="P102">
        <v>2.4300000000000002</v>
      </c>
      <c r="Q102">
        <v>8.77</v>
      </c>
    </row>
    <row r="103" spans="10:17">
      <c r="J103">
        <v>67</v>
      </c>
      <c r="K103" t="s">
        <v>362</v>
      </c>
      <c r="L103" t="s">
        <v>1115</v>
      </c>
      <c r="M103">
        <v>10</v>
      </c>
      <c r="N103">
        <v>184</v>
      </c>
      <c r="O103">
        <v>2396.8000000000002</v>
      </c>
      <c r="P103">
        <v>0.89</v>
      </c>
      <c r="Q103">
        <v>13.72</v>
      </c>
    </row>
    <row r="104" spans="10:17">
      <c r="J104">
        <v>15</v>
      </c>
      <c r="K104" t="s">
        <v>261</v>
      </c>
      <c r="L104" t="s">
        <v>1117</v>
      </c>
      <c r="M104">
        <v>6</v>
      </c>
      <c r="N104">
        <v>122</v>
      </c>
      <c r="O104">
        <v>1784.82</v>
      </c>
      <c r="P104">
        <v>1.68</v>
      </c>
      <c r="Q104">
        <v>14.47</v>
      </c>
    </row>
    <row r="105" spans="10:17">
      <c r="J105">
        <v>33</v>
      </c>
      <c r="K105" t="s">
        <v>297</v>
      </c>
      <c r="L105" t="s">
        <v>1121</v>
      </c>
      <c r="M105">
        <v>32</v>
      </c>
      <c r="N105">
        <v>755</v>
      </c>
      <c r="O105">
        <v>1648.12</v>
      </c>
      <c r="P105">
        <v>0.7</v>
      </c>
      <c r="Q105">
        <v>2.33</v>
      </c>
    </row>
    <row r="106" spans="10:17">
      <c r="J106">
        <v>48</v>
      </c>
      <c r="K106" t="s">
        <v>325</v>
      </c>
      <c r="L106" t="s">
        <v>1119</v>
      </c>
      <c r="M106">
        <v>6</v>
      </c>
      <c r="N106">
        <v>138</v>
      </c>
      <c r="O106">
        <v>1368.71</v>
      </c>
      <c r="P106">
        <v>0.82</v>
      </c>
      <c r="Q106">
        <v>11.9</v>
      </c>
    </row>
  </sheetData>
  <mergeCells count="4">
    <mergeCell ref="A2:H22"/>
    <mergeCell ref="A29:H46"/>
    <mergeCell ref="A1:H1"/>
    <mergeCell ref="A28:H28"/>
  </mergeCells>
  <pageMargins left="0.7" right="0.7" top="0.75" bottom="0.75" header="0.3" footer="0.3"/>
  <pageSetup orientation="portrait" r:id="rId1"/>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A2076-898A-4281-BAE9-8C79F701280A}">
  <dimension ref="A1:H483"/>
  <sheetViews>
    <sheetView workbookViewId="0">
      <selection activeCell="I4" sqref="I4"/>
    </sheetView>
  </sheetViews>
  <sheetFormatPr baseColWidth="10" defaultColWidth="8.83203125" defaultRowHeight="13"/>
  <cols>
    <col min="1" max="1" width="10.5" bestFit="1" customWidth="1"/>
    <col min="2" max="2" width="13.1640625" bestFit="1" customWidth="1"/>
    <col min="3" max="3" width="16.83203125" bestFit="1" customWidth="1"/>
    <col min="4" max="4" width="14.1640625" bestFit="1" customWidth="1"/>
    <col min="5" max="5" width="15.83203125" bestFit="1" customWidth="1"/>
    <col min="6" max="6" width="10.6640625" bestFit="1" customWidth="1"/>
    <col min="7" max="7" width="20.1640625" bestFit="1" customWidth="1"/>
    <col min="8" max="8" width="24.5" bestFit="1" customWidth="1"/>
  </cols>
  <sheetData>
    <row r="1" spans="1:8">
      <c r="A1" t="s">
        <v>8</v>
      </c>
      <c r="B1" t="s">
        <v>5</v>
      </c>
      <c r="C1" t="s">
        <v>1113</v>
      </c>
      <c r="D1" t="s">
        <v>1187</v>
      </c>
      <c r="E1" t="s">
        <v>1226</v>
      </c>
      <c r="F1" t="s">
        <v>1227</v>
      </c>
      <c r="G1" t="s">
        <v>1228</v>
      </c>
      <c r="H1" t="s">
        <v>1229</v>
      </c>
    </row>
    <row r="2" spans="1:8">
      <c r="A2" t="s">
        <v>698</v>
      </c>
      <c r="B2" t="s">
        <v>697</v>
      </c>
      <c r="C2" t="s">
        <v>1119</v>
      </c>
      <c r="D2">
        <v>7</v>
      </c>
      <c r="E2">
        <v>55</v>
      </c>
      <c r="F2">
        <v>2095.1</v>
      </c>
      <c r="G2">
        <v>3</v>
      </c>
      <c r="H2">
        <v>698.37</v>
      </c>
    </row>
    <row r="3" spans="1:8">
      <c r="A3" t="s">
        <v>698</v>
      </c>
      <c r="B3" t="s">
        <v>697</v>
      </c>
      <c r="C3" t="s">
        <v>1115</v>
      </c>
      <c r="D3">
        <v>5</v>
      </c>
      <c r="E3">
        <v>62</v>
      </c>
      <c r="F3">
        <v>1518</v>
      </c>
      <c r="G3">
        <v>3</v>
      </c>
      <c r="H3">
        <v>506</v>
      </c>
    </row>
    <row r="4" spans="1:8">
      <c r="A4" t="s">
        <v>698</v>
      </c>
      <c r="B4" t="s">
        <v>697</v>
      </c>
      <c r="C4" t="s">
        <v>1127</v>
      </c>
      <c r="D4">
        <v>4</v>
      </c>
      <c r="E4">
        <v>33</v>
      </c>
      <c r="F4">
        <v>1139</v>
      </c>
      <c r="G4">
        <v>3</v>
      </c>
      <c r="H4">
        <v>379.67</v>
      </c>
    </row>
    <row r="5" spans="1:8">
      <c r="A5" t="s">
        <v>698</v>
      </c>
      <c r="B5" t="s">
        <v>697</v>
      </c>
      <c r="C5" t="s">
        <v>1121</v>
      </c>
      <c r="D5">
        <v>5</v>
      </c>
      <c r="E5">
        <v>44</v>
      </c>
      <c r="F5">
        <v>1118.5</v>
      </c>
      <c r="G5">
        <v>3</v>
      </c>
      <c r="H5">
        <v>372.83</v>
      </c>
    </row>
    <row r="6" spans="1:8">
      <c r="A6" t="s">
        <v>698</v>
      </c>
      <c r="B6" t="s">
        <v>697</v>
      </c>
      <c r="C6" t="s">
        <v>1117</v>
      </c>
      <c r="D6">
        <v>3</v>
      </c>
      <c r="E6">
        <v>45</v>
      </c>
      <c r="F6">
        <v>907</v>
      </c>
      <c r="G6">
        <v>2</v>
      </c>
      <c r="H6">
        <v>453.5</v>
      </c>
    </row>
    <row r="7" spans="1:8">
      <c r="A7" t="s">
        <v>698</v>
      </c>
      <c r="B7" t="s">
        <v>697</v>
      </c>
      <c r="C7" t="s">
        <v>1129</v>
      </c>
      <c r="D7">
        <v>4</v>
      </c>
      <c r="E7">
        <v>45</v>
      </c>
      <c r="F7">
        <v>570.5</v>
      </c>
      <c r="G7">
        <v>3</v>
      </c>
      <c r="H7">
        <v>190.17</v>
      </c>
    </row>
    <row r="8" spans="1:8">
      <c r="A8" t="s">
        <v>698</v>
      </c>
      <c r="B8" t="s">
        <v>697</v>
      </c>
      <c r="C8" t="s">
        <v>1123</v>
      </c>
      <c r="D8">
        <v>1</v>
      </c>
      <c r="E8">
        <v>20</v>
      </c>
      <c r="F8">
        <v>390</v>
      </c>
      <c r="G8">
        <v>1</v>
      </c>
      <c r="H8">
        <v>390</v>
      </c>
    </row>
    <row r="9" spans="1:8">
      <c r="A9" t="s">
        <v>443</v>
      </c>
      <c r="B9" t="s">
        <v>442</v>
      </c>
      <c r="C9" t="s">
        <v>1121</v>
      </c>
      <c r="D9">
        <v>16</v>
      </c>
      <c r="E9">
        <v>761</v>
      </c>
      <c r="F9">
        <v>17994.96</v>
      </c>
      <c r="G9">
        <v>1</v>
      </c>
      <c r="H9">
        <v>17994.96</v>
      </c>
    </row>
    <row r="10" spans="1:8">
      <c r="A10" t="s">
        <v>443</v>
      </c>
      <c r="B10" t="s">
        <v>442</v>
      </c>
      <c r="C10" t="s">
        <v>1117</v>
      </c>
      <c r="D10">
        <v>11</v>
      </c>
      <c r="E10">
        <v>654</v>
      </c>
      <c r="F10">
        <v>13820.06</v>
      </c>
      <c r="G10">
        <v>1</v>
      </c>
      <c r="H10">
        <v>13820.06</v>
      </c>
    </row>
    <row r="11" spans="1:8">
      <c r="A11" t="s">
        <v>443</v>
      </c>
      <c r="B11" t="s">
        <v>442</v>
      </c>
      <c r="C11" t="s">
        <v>1119</v>
      </c>
      <c r="D11">
        <v>9</v>
      </c>
      <c r="E11">
        <v>520</v>
      </c>
      <c r="F11">
        <v>12458.26</v>
      </c>
      <c r="G11">
        <v>1</v>
      </c>
      <c r="H11">
        <v>12458.26</v>
      </c>
    </row>
    <row r="12" spans="1:8">
      <c r="A12" t="s">
        <v>443</v>
      </c>
      <c r="B12" t="s">
        <v>442</v>
      </c>
      <c r="C12" t="s">
        <v>1115</v>
      </c>
      <c r="D12">
        <v>14</v>
      </c>
      <c r="E12">
        <v>694</v>
      </c>
      <c r="F12">
        <v>10910.3</v>
      </c>
      <c r="G12">
        <v>1</v>
      </c>
      <c r="H12">
        <v>10910.3</v>
      </c>
    </row>
    <row r="13" spans="1:8">
      <c r="A13" t="s">
        <v>443</v>
      </c>
      <c r="B13" t="s">
        <v>631</v>
      </c>
      <c r="C13" t="s">
        <v>1115</v>
      </c>
      <c r="D13">
        <v>3</v>
      </c>
      <c r="E13">
        <v>160</v>
      </c>
      <c r="F13">
        <v>10608</v>
      </c>
      <c r="G13">
        <v>1</v>
      </c>
      <c r="H13">
        <v>10608</v>
      </c>
    </row>
    <row r="14" spans="1:8">
      <c r="A14" t="s">
        <v>443</v>
      </c>
      <c r="B14" t="s">
        <v>442</v>
      </c>
      <c r="C14" t="s">
        <v>1127</v>
      </c>
      <c r="D14">
        <v>7</v>
      </c>
      <c r="E14">
        <v>283</v>
      </c>
      <c r="F14">
        <v>9437.27</v>
      </c>
      <c r="G14">
        <v>1</v>
      </c>
      <c r="H14">
        <v>9437.27</v>
      </c>
    </row>
    <row r="15" spans="1:8">
      <c r="A15" t="s">
        <v>443</v>
      </c>
      <c r="B15" t="s">
        <v>442</v>
      </c>
      <c r="C15" t="s">
        <v>1123</v>
      </c>
      <c r="D15">
        <v>8</v>
      </c>
      <c r="E15">
        <v>370</v>
      </c>
      <c r="F15">
        <v>8415.2000000000007</v>
      </c>
      <c r="G15">
        <v>1</v>
      </c>
      <c r="H15">
        <v>8415.2000000000007</v>
      </c>
    </row>
    <row r="16" spans="1:8">
      <c r="A16" t="s">
        <v>443</v>
      </c>
      <c r="B16" t="s">
        <v>442</v>
      </c>
      <c r="C16" t="s">
        <v>1125</v>
      </c>
      <c r="D16">
        <v>7</v>
      </c>
      <c r="E16">
        <v>292</v>
      </c>
      <c r="F16">
        <v>8325.56</v>
      </c>
      <c r="G16">
        <v>1</v>
      </c>
      <c r="H16">
        <v>8325.56</v>
      </c>
    </row>
    <row r="17" spans="1:8">
      <c r="A17" t="s">
        <v>443</v>
      </c>
      <c r="B17" t="s">
        <v>442</v>
      </c>
      <c r="C17" t="s">
        <v>1129</v>
      </c>
      <c r="D17">
        <v>8</v>
      </c>
      <c r="E17">
        <v>423</v>
      </c>
      <c r="F17">
        <v>6864.48</v>
      </c>
      <c r="G17">
        <v>1</v>
      </c>
      <c r="H17">
        <v>6864.48</v>
      </c>
    </row>
    <row r="18" spans="1:8">
      <c r="A18" t="s">
        <v>443</v>
      </c>
      <c r="B18" t="s">
        <v>631</v>
      </c>
      <c r="C18" t="s">
        <v>1121</v>
      </c>
      <c r="D18">
        <v>4</v>
      </c>
      <c r="E18">
        <v>115</v>
      </c>
      <c r="F18">
        <v>2970.28</v>
      </c>
      <c r="G18">
        <v>1</v>
      </c>
      <c r="H18">
        <v>2970.28</v>
      </c>
    </row>
    <row r="19" spans="1:8">
      <c r="A19" t="s">
        <v>443</v>
      </c>
      <c r="B19" t="s">
        <v>631</v>
      </c>
      <c r="C19" t="s">
        <v>1125</v>
      </c>
      <c r="D19">
        <v>2</v>
      </c>
      <c r="E19">
        <v>70</v>
      </c>
      <c r="F19">
        <v>2496</v>
      </c>
      <c r="G19">
        <v>1</v>
      </c>
      <c r="H19">
        <v>2496</v>
      </c>
    </row>
    <row r="20" spans="1:8">
      <c r="A20" t="s">
        <v>443</v>
      </c>
      <c r="B20" t="s">
        <v>631</v>
      </c>
      <c r="C20" t="s">
        <v>1117</v>
      </c>
      <c r="D20">
        <v>3</v>
      </c>
      <c r="E20">
        <v>41</v>
      </c>
      <c r="F20">
        <v>1167.18</v>
      </c>
      <c r="G20">
        <v>1</v>
      </c>
      <c r="H20">
        <v>1167.18</v>
      </c>
    </row>
    <row r="21" spans="1:8">
      <c r="A21" t="s">
        <v>443</v>
      </c>
      <c r="B21" t="s">
        <v>631</v>
      </c>
      <c r="C21" t="s">
        <v>1123</v>
      </c>
      <c r="D21">
        <v>2</v>
      </c>
      <c r="E21">
        <v>55</v>
      </c>
      <c r="F21">
        <v>1125</v>
      </c>
      <c r="G21">
        <v>1</v>
      </c>
      <c r="H21">
        <v>1125</v>
      </c>
    </row>
    <row r="22" spans="1:8">
      <c r="A22" t="s">
        <v>443</v>
      </c>
      <c r="B22" t="s">
        <v>631</v>
      </c>
      <c r="C22" t="s">
        <v>1119</v>
      </c>
      <c r="D22">
        <v>2</v>
      </c>
      <c r="E22">
        <v>33</v>
      </c>
      <c r="F22">
        <v>718.65</v>
      </c>
      <c r="G22">
        <v>1</v>
      </c>
      <c r="H22">
        <v>718.65</v>
      </c>
    </row>
    <row r="23" spans="1:8">
      <c r="A23" t="s">
        <v>443</v>
      </c>
      <c r="B23" t="s">
        <v>631</v>
      </c>
      <c r="C23" t="s">
        <v>1127</v>
      </c>
      <c r="D23">
        <v>1</v>
      </c>
      <c r="E23">
        <v>35</v>
      </c>
      <c r="F23">
        <v>651</v>
      </c>
      <c r="G23">
        <v>1</v>
      </c>
      <c r="H23">
        <v>651</v>
      </c>
    </row>
    <row r="24" spans="1:8">
      <c r="A24" t="s">
        <v>443</v>
      </c>
      <c r="B24" t="s">
        <v>631</v>
      </c>
      <c r="C24" t="s">
        <v>1129</v>
      </c>
      <c r="D24">
        <v>1</v>
      </c>
      <c r="E24">
        <v>35</v>
      </c>
      <c r="F24">
        <v>337.75</v>
      </c>
      <c r="G24">
        <v>1</v>
      </c>
      <c r="H24">
        <v>337.75</v>
      </c>
    </row>
    <row r="25" spans="1:8">
      <c r="A25" t="s">
        <v>417</v>
      </c>
      <c r="B25" t="s">
        <v>415</v>
      </c>
      <c r="C25" t="s">
        <v>1121</v>
      </c>
      <c r="D25">
        <v>4</v>
      </c>
      <c r="E25">
        <v>200</v>
      </c>
      <c r="F25">
        <v>5043</v>
      </c>
      <c r="G25">
        <v>1</v>
      </c>
      <c r="H25">
        <v>5043</v>
      </c>
    </row>
    <row r="26" spans="1:8">
      <c r="A26" t="s">
        <v>417</v>
      </c>
      <c r="B26" t="s">
        <v>415</v>
      </c>
      <c r="C26" t="s">
        <v>1119</v>
      </c>
      <c r="D26">
        <v>4</v>
      </c>
      <c r="E26">
        <v>152</v>
      </c>
      <c r="F26">
        <v>4820.2</v>
      </c>
      <c r="G26">
        <v>1</v>
      </c>
      <c r="H26">
        <v>4820.2</v>
      </c>
    </row>
    <row r="27" spans="1:8">
      <c r="A27" t="s">
        <v>417</v>
      </c>
      <c r="B27" t="s">
        <v>415</v>
      </c>
      <c r="C27" t="s">
        <v>1115</v>
      </c>
      <c r="D27">
        <v>5</v>
      </c>
      <c r="E27">
        <v>166</v>
      </c>
      <c r="F27">
        <v>3025.68</v>
      </c>
      <c r="G27">
        <v>1</v>
      </c>
      <c r="H27">
        <v>3025.68</v>
      </c>
    </row>
    <row r="28" spans="1:8">
      <c r="A28" t="s">
        <v>417</v>
      </c>
      <c r="B28" t="s">
        <v>742</v>
      </c>
      <c r="C28" t="s">
        <v>1121</v>
      </c>
      <c r="D28">
        <v>3</v>
      </c>
      <c r="E28">
        <v>65</v>
      </c>
      <c r="F28">
        <v>2972</v>
      </c>
      <c r="G28">
        <v>1</v>
      </c>
      <c r="H28">
        <v>2972</v>
      </c>
    </row>
    <row r="29" spans="1:8">
      <c r="A29" t="s">
        <v>417</v>
      </c>
      <c r="B29" t="s">
        <v>742</v>
      </c>
      <c r="C29" t="s">
        <v>1119</v>
      </c>
      <c r="D29">
        <v>4</v>
      </c>
      <c r="E29">
        <v>118</v>
      </c>
      <c r="F29">
        <v>2659.38</v>
      </c>
      <c r="G29">
        <v>1</v>
      </c>
      <c r="H29">
        <v>2659.38</v>
      </c>
    </row>
    <row r="30" spans="1:8">
      <c r="A30" t="s">
        <v>417</v>
      </c>
      <c r="B30" t="s">
        <v>415</v>
      </c>
      <c r="C30" t="s">
        <v>1127</v>
      </c>
      <c r="D30">
        <v>3</v>
      </c>
      <c r="E30">
        <v>78</v>
      </c>
      <c r="F30">
        <v>2311.1999999999998</v>
      </c>
      <c r="G30">
        <v>1</v>
      </c>
      <c r="H30">
        <v>2311.1999999999998</v>
      </c>
    </row>
    <row r="31" spans="1:8">
      <c r="A31" t="s">
        <v>417</v>
      </c>
      <c r="B31" t="s">
        <v>415</v>
      </c>
      <c r="C31" t="s">
        <v>1123</v>
      </c>
      <c r="D31">
        <v>4</v>
      </c>
      <c r="E31">
        <v>97</v>
      </c>
      <c r="F31">
        <v>2184</v>
      </c>
      <c r="G31">
        <v>1</v>
      </c>
      <c r="H31">
        <v>2184</v>
      </c>
    </row>
    <row r="32" spans="1:8">
      <c r="A32" t="s">
        <v>417</v>
      </c>
      <c r="B32" t="s">
        <v>415</v>
      </c>
      <c r="C32" t="s">
        <v>1125</v>
      </c>
      <c r="D32">
        <v>2</v>
      </c>
      <c r="E32">
        <v>65</v>
      </c>
      <c r="F32">
        <v>1728</v>
      </c>
      <c r="G32">
        <v>1</v>
      </c>
      <c r="H32">
        <v>1728</v>
      </c>
    </row>
    <row r="33" spans="1:8">
      <c r="A33" t="s">
        <v>417</v>
      </c>
      <c r="B33" t="s">
        <v>415</v>
      </c>
      <c r="C33" t="s">
        <v>1117</v>
      </c>
      <c r="D33">
        <v>4</v>
      </c>
      <c r="E33">
        <v>121</v>
      </c>
      <c r="F33">
        <v>1675.6</v>
      </c>
      <c r="G33">
        <v>1</v>
      </c>
      <c r="H33">
        <v>1675.6</v>
      </c>
    </row>
    <row r="34" spans="1:8">
      <c r="A34" t="s">
        <v>417</v>
      </c>
      <c r="B34" t="s">
        <v>742</v>
      </c>
      <c r="C34" t="s">
        <v>1115</v>
      </c>
      <c r="D34">
        <v>2</v>
      </c>
      <c r="E34">
        <v>36</v>
      </c>
      <c r="F34">
        <v>1143</v>
      </c>
      <c r="G34">
        <v>1</v>
      </c>
      <c r="H34">
        <v>1143</v>
      </c>
    </row>
    <row r="35" spans="1:8">
      <c r="A35" t="s">
        <v>417</v>
      </c>
      <c r="B35" t="s">
        <v>742</v>
      </c>
      <c r="C35" t="s">
        <v>1127</v>
      </c>
      <c r="D35">
        <v>1</v>
      </c>
      <c r="E35">
        <v>20</v>
      </c>
      <c r="F35">
        <v>912</v>
      </c>
      <c r="G35">
        <v>1</v>
      </c>
      <c r="H35">
        <v>912</v>
      </c>
    </row>
    <row r="36" spans="1:8">
      <c r="A36" t="s">
        <v>417</v>
      </c>
      <c r="B36" t="s">
        <v>415</v>
      </c>
      <c r="C36" t="s">
        <v>1129</v>
      </c>
      <c r="D36">
        <v>2</v>
      </c>
      <c r="E36">
        <v>46</v>
      </c>
      <c r="F36">
        <v>814</v>
      </c>
      <c r="G36">
        <v>1</v>
      </c>
      <c r="H36">
        <v>814</v>
      </c>
    </row>
    <row r="37" spans="1:8">
      <c r="A37" t="s">
        <v>417</v>
      </c>
      <c r="B37" t="s">
        <v>742</v>
      </c>
      <c r="C37" t="s">
        <v>1117</v>
      </c>
      <c r="D37">
        <v>1</v>
      </c>
      <c r="E37">
        <v>26</v>
      </c>
      <c r="F37">
        <v>779.2</v>
      </c>
      <c r="G37">
        <v>1</v>
      </c>
      <c r="H37">
        <v>779.2</v>
      </c>
    </row>
    <row r="38" spans="1:8">
      <c r="A38" t="s">
        <v>417</v>
      </c>
      <c r="B38" t="s">
        <v>742</v>
      </c>
      <c r="C38" t="s">
        <v>1123</v>
      </c>
      <c r="D38">
        <v>1</v>
      </c>
      <c r="E38">
        <v>16</v>
      </c>
      <c r="F38">
        <v>608</v>
      </c>
      <c r="G38">
        <v>1</v>
      </c>
      <c r="H38">
        <v>608</v>
      </c>
    </row>
    <row r="39" spans="1:8">
      <c r="A39" t="s">
        <v>417</v>
      </c>
      <c r="B39" t="s">
        <v>742</v>
      </c>
      <c r="C39" t="s">
        <v>1125</v>
      </c>
      <c r="D39">
        <v>1</v>
      </c>
      <c r="E39">
        <v>14</v>
      </c>
      <c r="F39">
        <v>336</v>
      </c>
      <c r="G39">
        <v>1</v>
      </c>
      <c r="H39">
        <v>336</v>
      </c>
    </row>
    <row r="40" spans="1:8">
      <c r="A40" t="s">
        <v>417</v>
      </c>
      <c r="B40" t="s">
        <v>742</v>
      </c>
      <c r="C40" t="s">
        <v>1129</v>
      </c>
      <c r="D40">
        <v>2</v>
      </c>
      <c r="E40">
        <v>25</v>
      </c>
      <c r="F40">
        <v>326.5</v>
      </c>
      <c r="G40">
        <v>1</v>
      </c>
      <c r="H40">
        <v>326.5</v>
      </c>
    </row>
    <row r="41" spans="1:8">
      <c r="A41" t="s">
        <v>86</v>
      </c>
      <c r="B41" t="s">
        <v>405</v>
      </c>
      <c r="C41" t="s">
        <v>1115</v>
      </c>
      <c r="D41">
        <v>15</v>
      </c>
      <c r="E41">
        <v>354</v>
      </c>
      <c r="F41">
        <v>21540.18</v>
      </c>
      <c r="G41">
        <v>3</v>
      </c>
      <c r="H41">
        <v>7180.06</v>
      </c>
    </row>
    <row r="42" spans="1:8">
      <c r="A42" t="s">
        <v>86</v>
      </c>
      <c r="B42" t="s">
        <v>1150</v>
      </c>
      <c r="C42" t="s">
        <v>1115</v>
      </c>
      <c r="D42">
        <v>12</v>
      </c>
      <c r="E42">
        <v>426</v>
      </c>
      <c r="F42">
        <v>10737.77</v>
      </c>
      <c r="G42">
        <v>3</v>
      </c>
      <c r="H42">
        <v>3579.26</v>
      </c>
    </row>
    <row r="43" spans="1:8">
      <c r="A43" t="s">
        <v>86</v>
      </c>
      <c r="B43" t="s">
        <v>405</v>
      </c>
      <c r="C43" t="s">
        <v>1129</v>
      </c>
      <c r="D43">
        <v>12</v>
      </c>
      <c r="E43">
        <v>312</v>
      </c>
      <c r="F43">
        <v>7186.09</v>
      </c>
      <c r="G43">
        <v>3</v>
      </c>
      <c r="H43">
        <v>2395.36</v>
      </c>
    </row>
    <row r="44" spans="1:8">
      <c r="A44" t="s">
        <v>86</v>
      </c>
      <c r="B44" t="s">
        <v>1150</v>
      </c>
      <c r="C44" t="s">
        <v>1119</v>
      </c>
      <c r="D44">
        <v>13</v>
      </c>
      <c r="E44">
        <v>291</v>
      </c>
      <c r="F44">
        <v>6170.92</v>
      </c>
      <c r="G44">
        <v>4</v>
      </c>
      <c r="H44">
        <v>1542.73</v>
      </c>
    </row>
    <row r="45" spans="1:8">
      <c r="A45" t="s">
        <v>86</v>
      </c>
      <c r="B45" t="s">
        <v>1150</v>
      </c>
      <c r="C45" t="s">
        <v>1121</v>
      </c>
      <c r="D45">
        <v>12</v>
      </c>
      <c r="E45">
        <v>359</v>
      </c>
      <c r="F45">
        <v>6168.3</v>
      </c>
      <c r="G45">
        <v>4</v>
      </c>
      <c r="H45">
        <v>1542.08</v>
      </c>
    </row>
    <row r="46" spans="1:8">
      <c r="A46" t="s">
        <v>86</v>
      </c>
      <c r="B46" t="s">
        <v>405</v>
      </c>
      <c r="C46" t="s">
        <v>1117</v>
      </c>
      <c r="D46">
        <v>11</v>
      </c>
      <c r="E46">
        <v>307</v>
      </c>
      <c r="F46">
        <v>5229.8100000000004</v>
      </c>
      <c r="G46">
        <v>3</v>
      </c>
      <c r="H46">
        <v>1743.27</v>
      </c>
    </row>
    <row r="47" spans="1:8">
      <c r="A47" t="s">
        <v>86</v>
      </c>
      <c r="B47" t="s">
        <v>405</v>
      </c>
      <c r="C47" t="s">
        <v>1121</v>
      </c>
      <c r="D47">
        <v>10</v>
      </c>
      <c r="E47">
        <v>196</v>
      </c>
      <c r="F47">
        <v>4976.8</v>
      </c>
      <c r="G47">
        <v>3</v>
      </c>
      <c r="H47">
        <v>1658.93</v>
      </c>
    </row>
    <row r="48" spans="1:8">
      <c r="A48" t="s">
        <v>86</v>
      </c>
      <c r="B48" t="s">
        <v>1150</v>
      </c>
      <c r="C48" t="s">
        <v>1125</v>
      </c>
      <c r="D48">
        <v>7</v>
      </c>
      <c r="E48">
        <v>140</v>
      </c>
      <c r="F48">
        <v>4350.5</v>
      </c>
      <c r="G48">
        <v>4</v>
      </c>
      <c r="H48">
        <v>1087.6300000000001</v>
      </c>
    </row>
    <row r="49" spans="1:8">
      <c r="A49" t="s">
        <v>86</v>
      </c>
      <c r="B49" t="s">
        <v>405</v>
      </c>
      <c r="C49" t="s">
        <v>1119</v>
      </c>
      <c r="D49">
        <v>13</v>
      </c>
      <c r="E49">
        <v>327</v>
      </c>
      <c r="F49">
        <v>4248.92</v>
      </c>
      <c r="G49">
        <v>3</v>
      </c>
      <c r="H49">
        <v>1416.31</v>
      </c>
    </row>
    <row r="50" spans="1:8">
      <c r="A50" t="s">
        <v>86</v>
      </c>
      <c r="B50" t="s">
        <v>1150</v>
      </c>
      <c r="C50" t="s">
        <v>1129</v>
      </c>
      <c r="D50">
        <v>13</v>
      </c>
      <c r="E50">
        <v>201</v>
      </c>
      <c r="F50">
        <v>3571.32</v>
      </c>
      <c r="G50">
        <v>4</v>
      </c>
      <c r="H50">
        <v>892.83</v>
      </c>
    </row>
    <row r="51" spans="1:8">
      <c r="A51" t="s">
        <v>86</v>
      </c>
      <c r="B51" t="s">
        <v>1150</v>
      </c>
      <c r="C51" t="s">
        <v>1123</v>
      </c>
      <c r="D51">
        <v>4</v>
      </c>
      <c r="E51">
        <v>100</v>
      </c>
      <c r="F51">
        <v>3145.9</v>
      </c>
      <c r="G51">
        <v>3</v>
      </c>
      <c r="H51">
        <v>1048.6300000000001</v>
      </c>
    </row>
    <row r="52" spans="1:8">
      <c r="A52" t="s">
        <v>86</v>
      </c>
      <c r="B52" t="s">
        <v>1150</v>
      </c>
      <c r="C52" t="s">
        <v>1117</v>
      </c>
      <c r="D52">
        <v>6</v>
      </c>
      <c r="E52">
        <v>122</v>
      </c>
      <c r="F52">
        <v>2533</v>
      </c>
      <c r="G52">
        <v>3</v>
      </c>
      <c r="H52">
        <v>844.33</v>
      </c>
    </row>
    <row r="53" spans="1:8">
      <c r="A53" t="s">
        <v>86</v>
      </c>
      <c r="B53" t="s">
        <v>706</v>
      </c>
      <c r="C53" t="s">
        <v>1117</v>
      </c>
      <c r="D53">
        <v>2</v>
      </c>
      <c r="E53">
        <v>70</v>
      </c>
      <c r="F53">
        <v>2350</v>
      </c>
      <c r="G53">
        <v>1</v>
      </c>
      <c r="H53">
        <v>2350</v>
      </c>
    </row>
    <row r="54" spans="1:8">
      <c r="A54" t="s">
        <v>86</v>
      </c>
      <c r="B54" t="s">
        <v>430</v>
      </c>
      <c r="C54" t="s">
        <v>1125</v>
      </c>
      <c r="D54">
        <v>2</v>
      </c>
      <c r="E54">
        <v>35</v>
      </c>
      <c r="F54">
        <v>1789.8</v>
      </c>
      <c r="G54">
        <v>1</v>
      </c>
      <c r="H54">
        <v>1789.8</v>
      </c>
    </row>
    <row r="55" spans="1:8">
      <c r="A55" t="s">
        <v>86</v>
      </c>
      <c r="B55" t="s">
        <v>430</v>
      </c>
      <c r="C55" t="s">
        <v>1115</v>
      </c>
      <c r="D55">
        <v>5</v>
      </c>
      <c r="E55">
        <v>72</v>
      </c>
      <c r="F55">
        <v>1760.15</v>
      </c>
      <c r="G55">
        <v>1</v>
      </c>
      <c r="H55">
        <v>1760.15</v>
      </c>
    </row>
    <row r="56" spans="1:8">
      <c r="A56" t="s">
        <v>86</v>
      </c>
      <c r="B56" t="s">
        <v>405</v>
      </c>
      <c r="C56" t="s">
        <v>1123</v>
      </c>
      <c r="D56">
        <v>5</v>
      </c>
      <c r="E56">
        <v>127</v>
      </c>
      <c r="F56">
        <v>1631.65</v>
      </c>
      <c r="G56">
        <v>2</v>
      </c>
      <c r="H56">
        <v>815.82</v>
      </c>
    </row>
    <row r="57" spans="1:8">
      <c r="A57" t="s">
        <v>86</v>
      </c>
      <c r="B57" t="s">
        <v>405</v>
      </c>
      <c r="C57" t="s">
        <v>1127</v>
      </c>
      <c r="D57">
        <v>3</v>
      </c>
      <c r="E57">
        <v>52</v>
      </c>
      <c r="F57">
        <v>1616.72</v>
      </c>
      <c r="G57">
        <v>2</v>
      </c>
      <c r="H57">
        <v>808.36</v>
      </c>
    </row>
    <row r="58" spans="1:8">
      <c r="A58" t="s">
        <v>86</v>
      </c>
      <c r="B58" t="s">
        <v>706</v>
      </c>
      <c r="C58" t="s">
        <v>1127</v>
      </c>
      <c r="D58">
        <v>2</v>
      </c>
      <c r="E58">
        <v>31</v>
      </c>
      <c r="F58">
        <v>1560.5</v>
      </c>
      <c r="G58">
        <v>1</v>
      </c>
      <c r="H58">
        <v>1560.5</v>
      </c>
    </row>
    <row r="59" spans="1:8">
      <c r="A59" t="s">
        <v>86</v>
      </c>
      <c r="B59" t="s">
        <v>1150</v>
      </c>
      <c r="C59" t="s">
        <v>1127</v>
      </c>
      <c r="D59">
        <v>1</v>
      </c>
      <c r="E59">
        <v>42</v>
      </c>
      <c r="F59">
        <v>1375.92</v>
      </c>
      <c r="G59">
        <v>1</v>
      </c>
      <c r="H59">
        <v>1375.92</v>
      </c>
    </row>
    <row r="60" spans="1:8">
      <c r="A60" t="s">
        <v>86</v>
      </c>
      <c r="B60" t="s">
        <v>706</v>
      </c>
      <c r="C60" t="s">
        <v>1121</v>
      </c>
      <c r="D60">
        <v>2</v>
      </c>
      <c r="E60">
        <v>44</v>
      </c>
      <c r="F60">
        <v>1360</v>
      </c>
      <c r="G60">
        <v>1</v>
      </c>
      <c r="H60">
        <v>1360</v>
      </c>
    </row>
    <row r="61" spans="1:8">
      <c r="A61" t="s">
        <v>86</v>
      </c>
      <c r="B61" t="s">
        <v>706</v>
      </c>
      <c r="C61" t="s">
        <v>1123</v>
      </c>
      <c r="D61">
        <v>3</v>
      </c>
      <c r="E61">
        <v>60</v>
      </c>
      <c r="F61">
        <v>1150</v>
      </c>
      <c r="G61">
        <v>1</v>
      </c>
      <c r="H61">
        <v>1150</v>
      </c>
    </row>
    <row r="62" spans="1:8">
      <c r="A62" t="s">
        <v>86</v>
      </c>
      <c r="B62" t="s">
        <v>706</v>
      </c>
      <c r="C62" t="s">
        <v>1129</v>
      </c>
      <c r="D62">
        <v>3</v>
      </c>
      <c r="E62">
        <v>41</v>
      </c>
      <c r="F62">
        <v>1085.78</v>
      </c>
      <c r="G62">
        <v>1</v>
      </c>
      <c r="H62">
        <v>1085.78</v>
      </c>
    </row>
    <row r="63" spans="1:8">
      <c r="A63" t="s">
        <v>86</v>
      </c>
      <c r="B63" t="s">
        <v>405</v>
      </c>
      <c r="C63" t="s">
        <v>1125</v>
      </c>
      <c r="D63">
        <v>3</v>
      </c>
      <c r="E63">
        <v>36</v>
      </c>
      <c r="F63">
        <v>954.81</v>
      </c>
      <c r="G63">
        <v>2</v>
      </c>
      <c r="H63">
        <v>477.4</v>
      </c>
    </row>
    <row r="64" spans="1:8">
      <c r="A64" t="s">
        <v>86</v>
      </c>
      <c r="B64" t="s">
        <v>430</v>
      </c>
      <c r="C64" t="s">
        <v>1129</v>
      </c>
      <c r="D64">
        <v>3</v>
      </c>
      <c r="E64">
        <v>51</v>
      </c>
      <c r="F64">
        <v>863.94</v>
      </c>
      <c r="G64">
        <v>1</v>
      </c>
      <c r="H64">
        <v>863.94</v>
      </c>
    </row>
    <row r="65" spans="1:8">
      <c r="A65" t="s">
        <v>86</v>
      </c>
      <c r="B65" t="s">
        <v>430</v>
      </c>
      <c r="C65" t="s">
        <v>1121</v>
      </c>
      <c r="D65">
        <v>1</v>
      </c>
      <c r="E65">
        <v>15</v>
      </c>
      <c r="F65">
        <v>783.75</v>
      </c>
      <c r="G65">
        <v>1</v>
      </c>
      <c r="H65">
        <v>783.75</v>
      </c>
    </row>
    <row r="66" spans="1:8">
      <c r="A66" t="s">
        <v>86</v>
      </c>
      <c r="B66" t="s">
        <v>430</v>
      </c>
      <c r="C66" t="s">
        <v>1119</v>
      </c>
      <c r="D66">
        <v>2</v>
      </c>
      <c r="E66">
        <v>54</v>
      </c>
      <c r="F66">
        <v>551.76</v>
      </c>
      <c r="G66">
        <v>1</v>
      </c>
      <c r="H66">
        <v>551.76</v>
      </c>
    </row>
    <row r="67" spans="1:8">
      <c r="A67" t="s">
        <v>86</v>
      </c>
      <c r="B67" t="s">
        <v>706</v>
      </c>
      <c r="C67" t="s">
        <v>1115</v>
      </c>
      <c r="D67">
        <v>2</v>
      </c>
      <c r="E67">
        <v>40</v>
      </c>
      <c r="F67">
        <v>491.75</v>
      </c>
      <c r="G67">
        <v>1</v>
      </c>
      <c r="H67">
        <v>491.75</v>
      </c>
    </row>
    <row r="68" spans="1:8">
      <c r="A68" t="s">
        <v>86</v>
      </c>
      <c r="B68" t="s">
        <v>430</v>
      </c>
      <c r="C68" t="s">
        <v>1123</v>
      </c>
      <c r="D68">
        <v>2</v>
      </c>
      <c r="E68">
        <v>28</v>
      </c>
      <c r="F68">
        <v>194</v>
      </c>
      <c r="G68">
        <v>1</v>
      </c>
      <c r="H68">
        <v>194</v>
      </c>
    </row>
    <row r="69" spans="1:8">
      <c r="A69" t="s">
        <v>86</v>
      </c>
      <c r="B69" t="s">
        <v>706</v>
      </c>
      <c r="C69" t="s">
        <v>1119</v>
      </c>
      <c r="D69">
        <v>1</v>
      </c>
      <c r="E69">
        <v>15</v>
      </c>
      <c r="F69">
        <v>142.5</v>
      </c>
      <c r="G69">
        <v>1</v>
      </c>
      <c r="H69">
        <v>142.5</v>
      </c>
    </row>
    <row r="70" spans="1:8">
      <c r="A70" t="s">
        <v>86</v>
      </c>
      <c r="B70" t="s">
        <v>430</v>
      </c>
      <c r="C70" t="s">
        <v>1117</v>
      </c>
      <c r="D70">
        <v>1</v>
      </c>
      <c r="E70">
        <v>12</v>
      </c>
      <c r="F70">
        <v>124.8</v>
      </c>
      <c r="G70">
        <v>1</v>
      </c>
      <c r="H70">
        <v>124.8</v>
      </c>
    </row>
    <row r="71" spans="1:8">
      <c r="A71" t="s">
        <v>192</v>
      </c>
      <c r="B71" t="s">
        <v>1143</v>
      </c>
      <c r="C71" t="s">
        <v>1115</v>
      </c>
      <c r="D71">
        <v>3</v>
      </c>
      <c r="E71">
        <v>154</v>
      </c>
      <c r="F71">
        <v>9415.81</v>
      </c>
      <c r="G71">
        <v>1</v>
      </c>
      <c r="H71">
        <v>9415.81</v>
      </c>
    </row>
    <row r="72" spans="1:8">
      <c r="A72" t="s">
        <v>192</v>
      </c>
      <c r="B72" t="s">
        <v>1143</v>
      </c>
      <c r="C72" t="s">
        <v>1121</v>
      </c>
      <c r="D72">
        <v>4</v>
      </c>
      <c r="E72">
        <v>177</v>
      </c>
      <c r="F72">
        <v>4766.62</v>
      </c>
      <c r="G72">
        <v>1</v>
      </c>
      <c r="H72">
        <v>4766.62</v>
      </c>
    </row>
    <row r="73" spans="1:8">
      <c r="A73" t="s">
        <v>192</v>
      </c>
      <c r="B73" t="s">
        <v>682</v>
      </c>
      <c r="C73" t="s">
        <v>1121</v>
      </c>
      <c r="D73">
        <v>5</v>
      </c>
      <c r="E73">
        <v>189</v>
      </c>
      <c r="F73">
        <v>4753.05</v>
      </c>
      <c r="G73">
        <v>1</v>
      </c>
      <c r="H73">
        <v>4753.05</v>
      </c>
    </row>
    <row r="74" spans="1:8">
      <c r="A74" t="s">
        <v>192</v>
      </c>
      <c r="B74" t="s">
        <v>682</v>
      </c>
      <c r="C74" t="s">
        <v>1119</v>
      </c>
      <c r="D74">
        <v>4</v>
      </c>
      <c r="E74">
        <v>170</v>
      </c>
      <c r="F74">
        <v>4555.3999999999996</v>
      </c>
      <c r="G74">
        <v>1</v>
      </c>
      <c r="H74">
        <v>4555.3999999999996</v>
      </c>
    </row>
    <row r="75" spans="1:8">
      <c r="A75" t="s">
        <v>192</v>
      </c>
      <c r="B75" t="s">
        <v>1143</v>
      </c>
      <c r="C75" t="s">
        <v>1123</v>
      </c>
      <c r="D75">
        <v>6</v>
      </c>
      <c r="E75">
        <v>154</v>
      </c>
      <c r="F75">
        <v>4553.8500000000004</v>
      </c>
      <c r="G75">
        <v>1</v>
      </c>
      <c r="H75">
        <v>4553.8500000000004</v>
      </c>
    </row>
    <row r="76" spans="1:8">
      <c r="A76" t="s">
        <v>192</v>
      </c>
      <c r="B76" t="s">
        <v>1143</v>
      </c>
      <c r="C76" t="s">
        <v>1119</v>
      </c>
      <c r="D76">
        <v>8</v>
      </c>
      <c r="E76">
        <v>180</v>
      </c>
      <c r="F76">
        <v>2915.6</v>
      </c>
      <c r="G76">
        <v>1</v>
      </c>
      <c r="H76">
        <v>2915.6</v>
      </c>
    </row>
    <row r="77" spans="1:8">
      <c r="A77" t="s">
        <v>192</v>
      </c>
      <c r="B77" t="s">
        <v>1143</v>
      </c>
      <c r="C77" t="s">
        <v>1117</v>
      </c>
      <c r="D77">
        <v>4</v>
      </c>
      <c r="E77">
        <v>145</v>
      </c>
      <c r="F77">
        <v>2809.5</v>
      </c>
      <c r="G77">
        <v>1</v>
      </c>
      <c r="H77">
        <v>2809.5</v>
      </c>
    </row>
    <row r="78" spans="1:8">
      <c r="A78" t="s">
        <v>192</v>
      </c>
      <c r="B78" t="s">
        <v>1143</v>
      </c>
      <c r="C78" t="s">
        <v>1129</v>
      </c>
      <c r="D78">
        <v>2</v>
      </c>
      <c r="E78">
        <v>56</v>
      </c>
      <c r="F78">
        <v>2096</v>
      </c>
      <c r="G78">
        <v>1</v>
      </c>
      <c r="H78">
        <v>2096</v>
      </c>
    </row>
    <row r="79" spans="1:8">
      <c r="A79" t="s">
        <v>192</v>
      </c>
      <c r="B79" t="s">
        <v>1143</v>
      </c>
      <c r="C79" t="s">
        <v>1125</v>
      </c>
      <c r="D79">
        <v>1</v>
      </c>
      <c r="E79">
        <v>70</v>
      </c>
      <c r="F79">
        <v>2074.8000000000002</v>
      </c>
      <c r="G79">
        <v>1</v>
      </c>
      <c r="H79">
        <v>2074.8000000000002</v>
      </c>
    </row>
    <row r="80" spans="1:8">
      <c r="A80" t="s">
        <v>192</v>
      </c>
      <c r="B80" t="s">
        <v>682</v>
      </c>
      <c r="C80" t="s">
        <v>1129</v>
      </c>
      <c r="D80">
        <v>4</v>
      </c>
      <c r="E80">
        <v>121</v>
      </c>
      <c r="F80">
        <v>2032.05</v>
      </c>
      <c r="G80">
        <v>1</v>
      </c>
      <c r="H80">
        <v>2032.05</v>
      </c>
    </row>
    <row r="81" spans="1:8">
      <c r="A81" t="s">
        <v>192</v>
      </c>
      <c r="B81" t="s">
        <v>682</v>
      </c>
      <c r="C81" t="s">
        <v>1117</v>
      </c>
      <c r="D81">
        <v>5</v>
      </c>
      <c r="E81">
        <v>106</v>
      </c>
      <c r="F81">
        <v>1898.58</v>
      </c>
      <c r="G81">
        <v>1</v>
      </c>
      <c r="H81">
        <v>1898.58</v>
      </c>
    </row>
    <row r="82" spans="1:8">
      <c r="A82" t="s">
        <v>192</v>
      </c>
      <c r="B82" t="s">
        <v>682</v>
      </c>
      <c r="C82" t="s">
        <v>1125</v>
      </c>
      <c r="D82">
        <v>3</v>
      </c>
      <c r="E82">
        <v>71</v>
      </c>
      <c r="F82">
        <v>1692</v>
      </c>
      <c r="G82">
        <v>1</v>
      </c>
      <c r="H82">
        <v>1692</v>
      </c>
    </row>
    <row r="83" spans="1:8">
      <c r="A83" t="s">
        <v>192</v>
      </c>
      <c r="B83" t="s">
        <v>682</v>
      </c>
      <c r="C83" t="s">
        <v>1115</v>
      </c>
      <c r="D83">
        <v>4</v>
      </c>
      <c r="E83">
        <v>109</v>
      </c>
      <c r="F83">
        <v>1661.5</v>
      </c>
      <c r="G83">
        <v>1</v>
      </c>
      <c r="H83">
        <v>1661.5</v>
      </c>
    </row>
    <row r="84" spans="1:8">
      <c r="A84" t="s">
        <v>192</v>
      </c>
      <c r="B84" t="s">
        <v>682</v>
      </c>
      <c r="C84" t="s">
        <v>1123</v>
      </c>
      <c r="D84">
        <v>2</v>
      </c>
      <c r="E84">
        <v>38</v>
      </c>
      <c r="F84">
        <v>896.8</v>
      </c>
      <c r="G84">
        <v>1</v>
      </c>
      <c r="H84">
        <v>896.8</v>
      </c>
    </row>
    <row r="85" spans="1:8">
      <c r="A85" t="s">
        <v>192</v>
      </c>
      <c r="B85" t="s">
        <v>682</v>
      </c>
      <c r="C85" t="s">
        <v>1127</v>
      </c>
      <c r="D85">
        <v>1</v>
      </c>
      <c r="E85">
        <v>20</v>
      </c>
      <c r="F85">
        <v>600</v>
      </c>
      <c r="G85">
        <v>1</v>
      </c>
      <c r="H85">
        <v>600</v>
      </c>
    </row>
    <row r="86" spans="1:8">
      <c r="A86" t="s">
        <v>192</v>
      </c>
      <c r="B86" t="s">
        <v>1143</v>
      </c>
      <c r="C86" t="s">
        <v>1127</v>
      </c>
      <c r="D86">
        <v>1</v>
      </c>
      <c r="E86">
        <v>30</v>
      </c>
      <c r="F86">
        <v>240</v>
      </c>
      <c r="G86">
        <v>1</v>
      </c>
      <c r="H86">
        <v>240</v>
      </c>
    </row>
    <row r="87" spans="1:8">
      <c r="A87" t="s">
        <v>192</v>
      </c>
      <c r="B87" t="s">
        <v>722</v>
      </c>
      <c r="C87" t="s">
        <v>1129</v>
      </c>
      <c r="D87">
        <v>2</v>
      </c>
      <c r="E87">
        <v>27</v>
      </c>
      <c r="F87">
        <v>196</v>
      </c>
      <c r="G87">
        <v>1</v>
      </c>
      <c r="H87">
        <v>196</v>
      </c>
    </row>
    <row r="88" spans="1:8">
      <c r="A88" t="s">
        <v>192</v>
      </c>
      <c r="B88" t="s">
        <v>722</v>
      </c>
      <c r="C88" t="s">
        <v>1123</v>
      </c>
      <c r="D88">
        <v>2</v>
      </c>
      <c r="E88">
        <v>15</v>
      </c>
      <c r="F88">
        <v>107</v>
      </c>
      <c r="G88">
        <v>1</v>
      </c>
      <c r="H88">
        <v>107</v>
      </c>
    </row>
    <row r="89" spans="1:8">
      <c r="A89" t="s">
        <v>192</v>
      </c>
      <c r="B89" t="s">
        <v>722</v>
      </c>
      <c r="C89" t="s">
        <v>1115</v>
      </c>
      <c r="D89">
        <v>2</v>
      </c>
      <c r="E89">
        <v>10</v>
      </c>
      <c r="F89">
        <v>97.5</v>
      </c>
      <c r="G89">
        <v>1</v>
      </c>
      <c r="H89">
        <v>97.5</v>
      </c>
    </row>
    <row r="90" spans="1:8">
      <c r="A90" t="s">
        <v>192</v>
      </c>
      <c r="B90" t="s">
        <v>722</v>
      </c>
      <c r="C90" t="s">
        <v>1119</v>
      </c>
      <c r="D90">
        <v>1</v>
      </c>
      <c r="E90">
        <v>5</v>
      </c>
      <c r="F90">
        <v>70</v>
      </c>
      <c r="G90">
        <v>1</v>
      </c>
      <c r="H90">
        <v>70</v>
      </c>
    </row>
    <row r="91" spans="1:8">
      <c r="A91" t="s">
        <v>192</v>
      </c>
      <c r="B91" t="s">
        <v>722</v>
      </c>
      <c r="C91" t="s">
        <v>1117</v>
      </c>
      <c r="D91">
        <v>1</v>
      </c>
      <c r="E91">
        <v>5</v>
      </c>
      <c r="F91">
        <v>52</v>
      </c>
      <c r="G91">
        <v>1</v>
      </c>
      <c r="H91">
        <v>52</v>
      </c>
    </row>
    <row r="92" spans="1:8">
      <c r="A92" t="s">
        <v>161</v>
      </c>
      <c r="B92" t="s">
        <v>1155</v>
      </c>
      <c r="C92" t="s">
        <v>1115</v>
      </c>
      <c r="D92">
        <v>1</v>
      </c>
      <c r="E92">
        <v>50</v>
      </c>
      <c r="F92">
        <v>10540</v>
      </c>
      <c r="G92">
        <v>1</v>
      </c>
      <c r="H92">
        <v>10540</v>
      </c>
    </row>
    <row r="93" spans="1:8">
      <c r="A93" t="s">
        <v>161</v>
      </c>
      <c r="B93" t="s">
        <v>1157</v>
      </c>
      <c r="C93" t="s">
        <v>1117</v>
      </c>
      <c r="D93">
        <v>7</v>
      </c>
      <c r="E93">
        <v>155</v>
      </c>
      <c r="F93">
        <v>3505.15</v>
      </c>
      <c r="G93">
        <v>1</v>
      </c>
      <c r="H93">
        <v>3505.15</v>
      </c>
    </row>
    <row r="94" spans="1:8">
      <c r="A94" t="s">
        <v>161</v>
      </c>
      <c r="B94" t="s">
        <v>1157</v>
      </c>
      <c r="C94" t="s">
        <v>1129</v>
      </c>
      <c r="D94">
        <v>5</v>
      </c>
      <c r="E94">
        <v>173</v>
      </c>
      <c r="F94">
        <v>2787.42</v>
      </c>
      <c r="G94">
        <v>1</v>
      </c>
      <c r="H94">
        <v>2787.42</v>
      </c>
    </row>
    <row r="95" spans="1:8">
      <c r="A95" t="s">
        <v>161</v>
      </c>
      <c r="B95" t="s">
        <v>1157</v>
      </c>
      <c r="C95" t="s">
        <v>1127</v>
      </c>
      <c r="D95">
        <v>2</v>
      </c>
      <c r="E95">
        <v>70</v>
      </c>
      <c r="F95">
        <v>2762.4</v>
      </c>
      <c r="G95">
        <v>1</v>
      </c>
      <c r="H95">
        <v>2762.4</v>
      </c>
    </row>
    <row r="96" spans="1:8">
      <c r="A96" t="s">
        <v>161</v>
      </c>
      <c r="B96" t="s">
        <v>1157</v>
      </c>
      <c r="C96" t="s">
        <v>1125</v>
      </c>
      <c r="D96">
        <v>3</v>
      </c>
      <c r="E96">
        <v>86</v>
      </c>
      <c r="F96">
        <v>2082.5</v>
      </c>
      <c r="G96">
        <v>1</v>
      </c>
      <c r="H96">
        <v>2082.5</v>
      </c>
    </row>
    <row r="97" spans="1:8">
      <c r="A97" t="s">
        <v>161</v>
      </c>
      <c r="B97" t="s">
        <v>1157</v>
      </c>
      <c r="C97" t="s">
        <v>1119</v>
      </c>
      <c r="D97">
        <v>3</v>
      </c>
      <c r="E97">
        <v>100</v>
      </c>
      <c r="F97">
        <v>1664.5</v>
      </c>
      <c r="G97">
        <v>1</v>
      </c>
      <c r="H97">
        <v>1664.5</v>
      </c>
    </row>
    <row r="98" spans="1:8">
      <c r="A98" t="s">
        <v>161</v>
      </c>
      <c r="B98" t="s">
        <v>1157</v>
      </c>
      <c r="C98" t="s">
        <v>1115</v>
      </c>
      <c r="D98">
        <v>6</v>
      </c>
      <c r="E98">
        <v>145</v>
      </c>
      <c r="F98">
        <v>1485.7</v>
      </c>
      <c r="G98">
        <v>1</v>
      </c>
      <c r="H98">
        <v>1485.7</v>
      </c>
    </row>
    <row r="99" spans="1:8">
      <c r="A99" t="s">
        <v>161</v>
      </c>
      <c r="B99" t="s">
        <v>1157</v>
      </c>
      <c r="C99" t="s">
        <v>1121</v>
      </c>
      <c r="D99">
        <v>2</v>
      </c>
      <c r="E99">
        <v>48</v>
      </c>
      <c r="F99">
        <v>1456.5</v>
      </c>
      <c r="G99">
        <v>1</v>
      </c>
      <c r="H99">
        <v>1456.5</v>
      </c>
    </row>
    <row r="100" spans="1:8">
      <c r="A100" t="s">
        <v>161</v>
      </c>
      <c r="B100" t="s">
        <v>1155</v>
      </c>
      <c r="C100" t="s">
        <v>1127</v>
      </c>
      <c r="D100">
        <v>1</v>
      </c>
      <c r="E100">
        <v>30</v>
      </c>
      <c r="F100">
        <v>1192.5</v>
      </c>
      <c r="G100">
        <v>1</v>
      </c>
      <c r="H100">
        <v>1192.5</v>
      </c>
    </row>
    <row r="101" spans="1:8">
      <c r="A101" t="s">
        <v>161</v>
      </c>
      <c r="B101" t="s">
        <v>1155</v>
      </c>
      <c r="C101" t="s">
        <v>1121</v>
      </c>
      <c r="D101">
        <v>2</v>
      </c>
      <c r="E101">
        <v>41</v>
      </c>
      <c r="F101">
        <v>1187.8</v>
      </c>
      <c r="G101">
        <v>1</v>
      </c>
      <c r="H101">
        <v>1187.8</v>
      </c>
    </row>
    <row r="102" spans="1:8">
      <c r="A102" t="s">
        <v>161</v>
      </c>
      <c r="B102" t="s">
        <v>1155</v>
      </c>
      <c r="C102" t="s">
        <v>1125</v>
      </c>
      <c r="D102">
        <v>1</v>
      </c>
      <c r="E102">
        <v>60</v>
      </c>
      <c r="F102">
        <v>1080</v>
      </c>
      <c r="G102">
        <v>1</v>
      </c>
      <c r="H102">
        <v>1080</v>
      </c>
    </row>
    <row r="103" spans="1:8">
      <c r="A103" t="s">
        <v>161</v>
      </c>
      <c r="B103" t="s">
        <v>1155</v>
      </c>
      <c r="C103" t="s">
        <v>1129</v>
      </c>
      <c r="D103">
        <v>3</v>
      </c>
      <c r="E103">
        <v>57</v>
      </c>
      <c r="F103">
        <v>1069.8399999999999</v>
      </c>
      <c r="G103">
        <v>1</v>
      </c>
      <c r="H103">
        <v>1069.8399999999999</v>
      </c>
    </row>
    <row r="104" spans="1:8">
      <c r="A104" t="s">
        <v>161</v>
      </c>
      <c r="B104" t="s">
        <v>1155</v>
      </c>
      <c r="C104" t="s">
        <v>1117</v>
      </c>
      <c r="D104">
        <v>2</v>
      </c>
      <c r="E104">
        <v>55</v>
      </c>
      <c r="F104">
        <v>820</v>
      </c>
      <c r="G104">
        <v>1</v>
      </c>
      <c r="H104">
        <v>820</v>
      </c>
    </row>
    <row r="105" spans="1:8">
      <c r="A105" t="s">
        <v>161</v>
      </c>
      <c r="B105" t="s">
        <v>1155</v>
      </c>
      <c r="C105" t="s">
        <v>1119</v>
      </c>
      <c r="D105">
        <v>3</v>
      </c>
      <c r="E105">
        <v>71</v>
      </c>
      <c r="F105">
        <v>694.88</v>
      </c>
      <c r="G105">
        <v>1</v>
      </c>
      <c r="H105">
        <v>694.88</v>
      </c>
    </row>
    <row r="106" spans="1:8">
      <c r="A106" t="s">
        <v>161</v>
      </c>
      <c r="B106" t="s">
        <v>1157</v>
      </c>
      <c r="C106" t="s">
        <v>1123</v>
      </c>
      <c r="D106">
        <v>1</v>
      </c>
      <c r="E106">
        <v>15</v>
      </c>
      <c r="F106">
        <v>99.75</v>
      </c>
      <c r="G106">
        <v>1</v>
      </c>
      <c r="H106">
        <v>99.75</v>
      </c>
    </row>
    <row r="107" spans="1:8">
      <c r="A107" t="s">
        <v>176</v>
      </c>
      <c r="B107" t="s">
        <v>474</v>
      </c>
      <c r="C107" t="s">
        <v>1121</v>
      </c>
      <c r="D107">
        <v>7</v>
      </c>
      <c r="E107">
        <v>216</v>
      </c>
      <c r="F107">
        <v>4856.1099999999997</v>
      </c>
      <c r="G107">
        <v>1</v>
      </c>
      <c r="H107">
        <v>4856.1099999999997</v>
      </c>
    </row>
    <row r="108" spans="1:8">
      <c r="A108" t="s">
        <v>176</v>
      </c>
      <c r="B108" t="s">
        <v>474</v>
      </c>
      <c r="C108" t="s">
        <v>1125</v>
      </c>
      <c r="D108">
        <v>5</v>
      </c>
      <c r="E108">
        <v>88</v>
      </c>
      <c r="F108">
        <v>3220.78</v>
      </c>
      <c r="G108">
        <v>1</v>
      </c>
      <c r="H108">
        <v>3220.78</v>
      </c>
    </row>
    <row r="109" spans="1:8">
      <c r="A109" t="s">
        <v>176</v>
      </c>
      <c r="B109" t="s">
        <v>474</v>
      </c>
      <c r="C109" t="s">
        <v>1123</v>
      </c>
      <c r="D109">
        <v>4</v>
      </c>
      <c r="E109">
        <v>94</v>
      </c>
      <c r="F109">
        <v>2393</v>
      </c>
      <c r="G109">
        <v>1</v>
      </c>
      <c r="H109">
        <v>2393</v>
      </c>
    </row>
    <row r="110" spans="1:8">
      <c r="A110" t="s">
        <v>176</v>
      </c>
      <c r="B110" t="s">
        <v>474</v>
      </c>
      <c r="C110" t="s">
        <v>1115</v>
      </c>
      <c r="D110">
        <v>4</v>
      </c>
      <c r="E110">
        <v>59</v>
      </c>
      <c r="F110">
        <v>1438.4</v>
      </c>
      <c r="G110">
        <v>1</v>
      </c>
      <c r="H110">
        <v>1438.4</v>
      </c>
    </row>
    <row r="111" spans="1:8">
      <c r="A111" t="s">
        <v>176</v>
      </c>
      <c r="B111" t="s">
        <v>474</v>
      </c>
      <c r="C111" t="s">
        <v>1117</v>
      </c>
      <c r="D111">
        <v>2</v>
      </c>
      <c r="E111">
        <v>50</v>
      </c>
      <c r="F111">
        <v>1120</v>
      </c>
      <c r="G111">
        <v>1</v>
      </c>
      <c r="H111">
        <v>1120</v>
      </c>
    </row>
    <row r="112" spans="1:8">
      <c r="A112" t="s">
        <v>176</v>
      </c>
      <c r="B112" t="s">
        <v>474</v>
      </c>
      <c r="C112" t="s">
        <v>1127</v>
      </c>
      <c r="D112">
        <v>4</v>
      </c>
      <c r="E112">
        <v>70</v>
      </c>
      <c r="F112">
        <v>969.61</v>
      </c>
      <c r="G112">
        <v>1</v>
      </c>
      <c r="H112">
        <v>969.61</v>
      </c>
    </row>
    <row r="113" spans="1:8">
      <c r="A113" t="s">
        <v>176</v>
      </c>
      <c r="B113" t="s">
        <v>474</v>
      </c>
      <c r="C113" t="s">
        <v>1129</v>
      </c>
      <c r="D113">
        <v>4</v>
      </c>
      <c r="E113">
        <v>86</v>
      </c>
      <c r="F113">
        <v>918.5</v>
      </c>
      <c r="G113">
        <v>1</v>
      </c>
      <c r="H113">
        <v>918.5</v>
      </c>
    </row>
    <row r="114" spans="1:8">
      <c r="A114" t="s">
        <v>176</v>
      </c>
      <c r="B114" t="s">
        <v>756</v>
      </c>
      <c r="C114" t="s">
        <v>1117</v>
      </c>
      <c r="D114">
        <v>3</v>
      </c>
      <c r="E114">
        <v>25</v>
      </c>
      <c r="F114">
        <v>753</v>
      </c>
      <c r="G114">
        <v>1</v>
      </c>
      <c r="H114">
        <v>753</v>
      </c>
    </row>
    <row r="115" spans="1:8">
      <c r="A115" t="s">
        <v>176</v>
      </c>
      <c r="B115" t="s">
        <v>756</v>
      </c>
      <c r="C115" t="s">
        <v>1121</v>
      </c>
      <c r="D115">
        <v>2</v>
      </c>
      <c r="E115">
        <v>14</v>
      </c>
      <c r="F115">
        <v>702</v>
      </c>
      <c r="G115">
        <v>1</v>
      </c>
      <c r="H115">
        <v>702</v>
      </c>
    </row>
    <row r="116" spans="1:8">
      <c r="A116" t="s">
        <v>176</v>
      </c>
      <c r="B116" t="s">
        <v>756</v>
      </c>
      <c r="C116" t="s">
        <v>1115</v>
      </c>
      <c r="D116">
        <v>4</v>
      </c>
      <c r="E116">
        <v>38</v>
      </c>
      <c r="F116">
        <v>582</v>
      </c>
      <c r="G116">
        <v>1</v>
      </c>
      <c r="H116">
        <v>582</v>
      </c>
    </row>
    <row r="117" spans="1:8">
      <c r="A117" t="s">
        <v>176</v>
      </c>
      <c r="B117" t="s">
        <v>756</v>
      </c>
      <c r="C117" t="s">
        <v>1119</v>
      </c>
      <c r="D117">
        <v>3</v>
      </c>
      <c r="E117">
        <v>45</v>
      </c>
      <c r="F117">
        <v>562.75</v>
      </c>
      <c r="G117">
        <v>1</v>
      </c>
      <c r="H117">
        <v>562.75</v>
      </c>
    </row>
    <row r="118" spans="1:8">
      <c r="A118" t="s">
        <v>176</v>
      </c>
      <c r="B118" t="s">
        <v>474</v>
      </c>
      <c r="C118" t="s">
        <v>1119</v>
      </c>
      <c r="D118">
        <v>3</v>
      </c>
      <c r="E118">
        <v>44</v>
      </c>
      <c r="F118">
        <v>462.3</v>
      </c>
      <c r="G118">
        <v>1</v>
      </c>
      <c r="H118">
        <v>462.3</v>
      </c>
    </row>
    <row r="119" spans="1:8">
      <c r="A119" t="s">
        <v>176</v>
      </c>
      <c r="B119" t="s">
        <v>756</v>
      </c>
      <c r="C119" t="s">
        <v>1129</v>
      </c>
      <c r="D119">
        <v>1</v>
      </c>
      <c r="E119">
        <v>12</v>
      </c>
      <c r="F119">
        <v>220.8</v>
      </c>
      <c r="G119">
        <v>1</v>
      </c>
      <c r="H119">
        <v>220.8</v>
      </c>
    </row>
    <row r="120" spans="1:8">
      <c r="A120" t="s">
        <v>176</v>
      </c>
      <c r="B120" t="s">
        <v>756</v>
      </c>
      <c r="C120" t="s">
        <v>1127</v>
      </c>
      <c r="D120">
        <v>1</v>
      </c>
      <c r="E120">
        <v>3</v>
      </c>
      <c r="F120">
        <v>136.80000000000001</v>
      </c>
      <c r="G120">
        <v>1</v>
      </c>
      <c r="H120">
        <v>136.80000000000001</v>
      </c>
    </row>
    <row r="121" spans="1:8">
      <c r="A121" t="s">
        <v>176</v>
      </c>
      <c r="B121" t="s">
        <v>756</v>
      </c>
      <c r="C121" t="s">
        <v>1125</v>
      </c>
      <c r="D121">
        <v>1</v>
      </c>
      <c r="E121">
        <v>5</v>
      </c>
      <c r="F121">
        <v>120</v>
      </c>
      <c r="G121">
        <v>1</v>
      </c>
      <c r="H121">
        <v>120</v>
      </c>
    </row>
    <row r="122" spans="1:8">
      <c r="A122" t="s">
        <v>176</v>
      </c>
      <c r="B122" t="s">
        <v>756</v>
      </c>
      <c r="C122" t="s">
        <v>1123</v>
      </c>
      <c r="D122">
        <v>1</v>
      </c>
      <c r="E122">
        <v>6</v>
      </c>
      <c r="F122">
        <v>84</v>
      </c>
      <c r="G122">
        <v>1</v>
      </c>
      <c r="H122">
        <v>84</v>
      </c>
    </row>
    <row r="123" spans="1:8">
      <c r="A123" t="s">
        <v>140</v>
      </c>
      <c r="B123" t="s">
        <v>609</v>
      </c>
      <c r="C123" t="s">
        <v>1129</v>
      </c>
      <c r="D123">
        <v>8</v>
      </c>
      <c r="E123">
        <v>214</v>
      </c>
      <c r="F123">
        <v>5368.58</v>
      </c>
      <c r="G123">
        <v>1</v>
      </c>
      <c r="H123">
        <v>5368.58</v>
      </c>
    </row>
    <row r="124" spans="1:8">
      <c r="A124" t="s">
        <v>140</v>
      </c>
      <c r="B124" t="s">
        <v>693</v>
      </c>
      <c r="C124" t="s">
        <v>1129</v>
      </c>
      <c r="D124">
        <v>3</v>
      </c>
      <c r="E124">
        <v>90</v>
      </c>
      <c r="F124">
        <v>5208</v>
      </c>
      <c r="G124">
        <v>1</v>
      </c>
      <c r="H124">
        <v>5208</v>
      </c>
    </row>
    <row r="125" spans="1:8">
      <c r="A125" t="s">
        <v>140</v>
      </c>
      <c r="B125" t="s">
        <v>470</v>
      </c>
      <c r="C125" t="s">
        <v>1125</v>
      </c>
      <c r="D125">
        <v>3</v>
      </c>
      <c r="E125">
        <v>111</v>
      </c>
      <c r="F125">
        <v>4976.6000000000004</v>
      </c>
      <c r="G125">
        <v>1</v>
      </c>
      <c r="H125">
        <v>4976.6000000000004</v>
      </c>
    </row>
    <row r="126" spans="1:8">
      <c r="A126" t="s">
        <v>140</v>
      </c>
      <c r="B126" t="s">
        <v>470</v>
      </c>
      <c r="C126" t="s">
        <v>1115</v>
      </c>
      <c r="D126">
        <v>6</v>
      </c>
      <c r="E126">
        <v>149</v>
      </c>
      <c r="F126">
        <v>3975.92</v>
      </c>
      <c r="G126">
        <v>1</v>
      </c>
      <c r="H126">
        <v>3975.92</v>
      </c>
    </row>
    <row r="127" spans="1:8">
      <c r="A127" t="s">
        <v>140</v>
      </c>
      <c r="B127" t="s">
        <v>609</v>
      </c>
      <c r="C127" t="s">
        <v>1127</v>
      </c>
      <c r="D127">
        <v>4</v>
      </c>
      <c r="E127">
        <v>98</v>
      </c>
      <c r="F127">
        <v>3370</v>
      </c>
      <c r="G127">
        <v>1</v>
      </c>
      <c r="H127">
        <v>3370</v>
      </c>
    </row>
    <row r="128" spans="1:8">
      <c r="A128" t="s">
        <v>140</v>
      </c>
      <c r="B128" t="s">
        <v>470</v>
      </c>
      <c r="C128" t="s">
        <v>1121</v>
      </c>
      <c r="D128">
        <v>5</v>
      </c>
      <c r="E128">
        <v>152</v>
      </c>
      <c r="F128">
        <v>2872</v>
      </c>
      <c r="G128">
        <v>1</v>
      </c>
      <c r="H128">
        <v>2872</v>
      </c>
    </row>
    <row r="129" spans="1:8">
      <c r="A129" t="s">
        <v>140</v>
      </c>
      <c r="B129" t="s">
        <v>609</v>
      </c>
      <c r="C129" t="s">
        <v>1117</v>
      </c>
      <c r="D129">
        <v>3</v>
      </c>
      <c r="E129">
        <v>120</v>
      </c>
      <c r="F129">
        <v>2662.48</v>
      </c>
      <c r="G129">
        <v>1</v>
      </c>
      <c r="H129">
        <v>2662.48</v>
      </c>
    </row>
    <row r="130" spans="1:8">
      <c r="A130" t="s">
        <v>140</v>
      </c>
      <c r="B130" t="s">
        <v>627</v>
      </c>
      <c r="C130" t="s">
        <v>1125</v>
      </c>
      <c r="D130">
        <v>2</v>
      </c>
      <c r="E130">
        <v>30</v>
      </c>
      <c r="F130">
        <v>2496.0100000000002</v>
      </c>
      <c r="G130">
        <v>1</v>
      </c>
      <c r="H130">
        <v>2496.0100000000002</v>
      </c>
    </row>
    <row r="131" spans="1:8">
      <c r="A131" t="s">
        <v>140</v>
      </c>
      <c r="B131" t="s">
        <v>609</v>
      </c>
      <c r="C131" t="s">
        <v>1123</v>
      </c>
      <c r="D131">
        <v>4</v>
      </c>
      <c r="E131">
        <v>117</v>
      </c>
      <c r="F131">
        <v>2444.5500000000002</v>
      </c>
      <c r="G131">
        <v>1</v>
      </c>
      <c r="H131">
        <v>2444.5500000000002</v>
      </c>
    </row>
    <row r="132" spans="1:8">
      <c r="A132" t="s">
        <v>140</v>
      </c>
      <c r="B132" t="s">
        <v>411</v>
      </c>
      <c r="C132" t="s">
        <v>1119</v>
      </c>
      <c r="D132">
        <v>4</v>
      </c>
      <c r="E132">
        <v>78</v>
      </c>
      <c r="F132">
        <v>2396.6999999999998</v>
      </c>
      <c r="G132">
        <v>1</v>
      </c>
      <c r="H132">
        <v>2396.6999999999998</v>
      </c>
    </row>
    <row r="133" spans="1:8">
      <c r="A133" t="s">
        <v>140</v>
      </c>
      <c r="B133" t="s">
        <v>579</v>
      </c>
      <c r="C133" t="s">
        <v>1125</v>
      </c>
      <c r="D133">
        <v>2</v>
      </c>
      <c r="E133">
        <v>29</v>
      </c>
      <c r="F133">
        <v>2318.06</v>
      </c>
      <c r="G133">
        <v>2</v>
      </c>
      <c r="H133">
        <v>1159.03</v>
      </c>
    </row>
    <row r="134" spans="1:8">
      <c r="A134" t="s">
        <v>140</v>
      </c>
      <c r="B134" t="s">
        <v>609</v>
      </c>
      <c r="C134" t="s">
        <v>1119</v>
      </c>
      <c r="D134">
        <v>5</v>
      </c>
      <c r="E134">
        <v>151</v>
      </c>
      <c r="F134">
        <v>2313.67</v>
      </c>
      <c r="G134">
        <v>1</v>
      </c>
      <c r="H134">
        <v>2313.67</v>
      </c>
    </row>
    <row r="135" spans="1:8">
      <c r="A135" t="s">
        <v>140</v>
      </c>
      <c r="B135" t="s">
        <v>609</v>
      </c>
      <c r="C135" t="s">
        <v>1115</v>
      </c>
      <c r="D135">
        <v>4</v>
      </c>
      <c r="E135">
        <v>101</v>
      </c>
      <c r="F135">
        <v>2275.9</v>
      </c>
      <c r="G135">
        <v>1</v>
      </c>
      <c r="H135">
        <v>2275.9</v>
      </c>
    </row>
    <row r="136" spans="1:8">
      <c r="A136" t="s">
        <v>140</v>
      </c>
      <c r="B136" t="s">
        <v>693</v>
      </c>
      <c r="C136" t="s">
        <v>1119</v>
      </c>
      <c r="D136">
        <v>4</v>
      </c>
      <c r="E136">
        <v>123</v>
      </c>
      <c r="F136">
        <v>2232</v>
      </c>
      <c r="G136">
        <v>1</v>
      </c>
      <c r="H136">
        <v>2232</v>
      </c>
    </row>
    <row r="137" spans="1:8">
      <c r="A137" t="s">
        <v>140</v>
      </c>
      <c r="B137" t="s">
        <v>470</v>
      </c>
      <c r="C137" t="s">
        <v>1123</v>
      </c>
      <c r="D137">
        <v>3</v>
      </c>
      <c r="E137">
        <v>105</v>
      </c>
      <c r="F137">
        <v>2217.1</v>
      </c>
      <c r="G137">
        <v>1</v>
      </c>
      <c r="H137">
        <v>2217.1</v>
      </c>
    </row>
    <row r="138" spans="1:8">
      <c r="A138" t="s">
        <v>140</v>
      </c>
      <c r="B138" t="s">
        <v>627</v>
      </c>
      <c r="C138" t="s">
        <v>1119</v>
      </c>
      <c r="D138">
        <v>4</v>
      </c>
      <c r="E138">
        <v>85</v>
      </c>
      <c r="F138">
        <v>2085.9</v>
      </c>
      <c r="G138">
        <v>1</v>
      </c>
      <c r="H138">
        <v>2085.9</v>
      </c>
    </row>
    <row r="139" spans="1:8">
      <c r="A139" t="s">
        <v>140</v>
      </c>
      <c r="B139" t="s">
        <v>411</v>
      </c>
      <c r="C139" t="s">
        <v>1115</v>
      </c>
      <c r="D139">
        <v>4</v>
      </c>
      <c r="E139">
        <v>100</v>
      </c>
      <c r="F139">
        <v>1989.5</v>
      </c>
      <c r="G139">
        <v>1</v>
      </c>
      <c r="H139">
        <v>1989.5</v>
      </c>
    </row>
    <row r="140" spans="1:8">
      <c r="A140" t="s">
        <v>140</v>
      </c>
      <c r="B140" t="s">
        <v>470</v>
      </c>
      <c r="C140" t="s">
        <v>1119</v>
      </c>
      <c r="D140">
        <v>2</v>
      </c>
      <c r="E140">
        <v>70</v>
      </c>
      <c r="F140">
        <v>1939</v>
      </c>
      <c r="G140">
        <v>1</v>
      </c>
      <c r="H140">
        <v>1939</v>
      </c>
    </row>
    <row r="141" spans="1:8">
      <c r="A141" t="s">
        <v>140</v>
      </c>
      <c r="B141" t="s">
        <v>609</v>
      </c>
      <c r="C141" t="s">
        <v>1121</v>
      </c>
      <c r="D141">
        <v>4</v>
      </c>
      <c r="E141">
        <v>74</v>
      </c>
      <c r="F141">
        <v>1912.42</v>
      </c>
      <c r="G141">
        <v>1</v>
      </c>
      <c r="H141">
        <v>1912.42</v>
      </c>
    </row>
    <row r="142" spans="1:8">
      <c r="A142" t="s">
        <v>140</v>
      </c>
      <c r="B142" t="s">
        <v>627</v>
      </c>
      <c r="C142" t="s">
        <v>1115</v>
      </c>
      <c r="D142">
        <v>6</v>
      </c>
      <c r="E142">
        <v>135</v>
      </c>
      <c r="F142">
        <v>1867.15</v>
      </c>
      <c r="G142">
        <v>1</v>
      </c>
      <c r="H142">
        <v>1867.15</v>
      </c>
    </row>
    <row r="143" spans="1:8">
      <c r="A143" t="s">
        <v>140</v>
      </c>
      <c r="B143" t="s">
        <v>693</v>
      </c>
      <c r="C143" t="s">
        <v>1127</v>
      </c>
      <c r="D143">
        <v>1</v>
      </c>
      <c r="E143">
        <v>50</v>
      </c>
      <c r="F143">
        <v>1845</v>
      </c>
      <c r="G143">
        <v>1</v>
      </c>
      <c r="H143">
        <v>1845</v>
      </c>
    </row>
    <row r="144" spans="1:8">
      <c r="A144" t="s">
        <v>140</v>
      </c>
      <c r="B144" t="s">
        <v>470</v>
      </c>
      <c r="C144" t="s">
        <v>1129</v>
      </c>
      <c r="D144">
        <v>4</v>
      </c>
      <c r="E144">
        <v>49</v>
      </c>
      <c r="F144">
        <v>1461.46</v>
      </c>
      <c r="G144">
        <v>1</v>
      </c>
      <c r="H144">
        <v>1461.46</v>
      </c>
    </row>
    <row r="145" spans="1:8">
      <c r="A145" t="s">
        <v>140</v>
      </c>
      <c r="B145" t="s">
        <v>139</v>
      </c>
      <c r="C145" t="s">
        <v>1115</v>
      </c>
      <c r="D145">
        <v>2</v>
      </c>
      <c r="E145">
        <v>19</v>
      </c>
      <c r="F145">
        <v>1426</v>
      </c>
      <c r="G145">
        <v>1</v>
      </c>
      <c r="H145">
        <v>1426</v>
      </c>
    </row>
    <row r="146" spans="1:8">
      <c r="A146" t="s">
        <v>140</v>
      </c>
      <c r="B146" t="s">
        <v>693</v>
      </c>
      <c r="C146" t="s">
        <v>1117</v>
      </c>
      <c r="D146">
        <v>1</v>
      </c>
      <c r="E146">
        <v>30</v>
      </c>
      <c r="F146">
        <v>1317</v>
      </c>
      <c r="G146">
        <v>1</v>
      </c>
      <c r="H146">
        <v>1317</v>
      </c>
    </row>
    <row r="147" spans="1:8">
      <c r="A147" t="s">
        <v>140</v>
      </c>
      <c r="B147" t="s">
        <v>411</v>
      </c>
      <c r="C147" t="s">
        <v>1129</v>
      </c>
      <c r="D147">
        <v>4</v>
      </c>
      <c r="E147">
        <v>80</v>
      </c>
      <c r="F147">
        <v>1243.4000000000001</v>
      </c>
      <c r="G147">
        <v>1</v>
      </c>
      <c r="H147">
        <v>1243.4000000000001</v>
      </c>
    </row>
    <row r="148" spans="1:8">
      <c r="A148" t="s">
        <v>140</v>
      </c>
      <c r="B148" t="s">
        <v>411</v>
      </c>
      <c r="C148" t="s">
        <v>1121</v>
      </c>
      <c r="D148">
        <v>2</v>
      </c>
      <c r="E148">
        <v>44</v>
      </c>
      <c r="F148">
        <v>1120.5</v>
      </c>
      <c r="G148">
        <v>1</v>
      </c>
      <c r="H148">
        <v>1120.5</v>
      </c>
    </row>
    <row r="149" spans="1:8">
      <c r="A149" t="s">
        <v>140</v>
      </c>
      <c r="B149" t="s">
        <v>411</v>
      </c>
      <c r="C149" t="s">
        <v>1117</v>
      </c>
      <c r="D149">
        <v>3</v>
      </c>
      <c r="E149">
        <v>52</v>
      </c>
      <c r="F149">
        <v>1104.8499999999999</v>
      </c>
      <c r="G149">
        <v>1</v>
      </c>
      <c r="H149">
        <v>1104.8499999999999</v>
      </c>
    </row>
    <row r="150" spans="1:8">
      <c r="A150" t="s">
        <v>140</v>
      </c>
      <c r="B150" t="s">
        <v>470</v>
      </c>
      <c r="C150" t="s">
        <v>1127</v>
      </c>
      <c r="D150">
        <v>1</v>
      </c>
      <c r="E150">
        <v>30</v>
      </c>
      <c r="F150">
        <v>1092</v>
      </c>
      <c r="G150">
        <v>1</v>
      </c>
      <c r="H150">
        <v>1092</v>
      </c>
    </row>
    <row r="151" spans="1:8">
      <c r="A151" t="s">
        <v>140</v>
      </c>
      <c r="B151" t="s">
        <v>775</v>
      </c>
      <c r="C151" t="s">
        <v>1119</v>
      </c>
      <c r="D151">
        <v>3</v>
      </c>
      <c r="E151">
        <v>20</v>
      </c>
      <c r="F151">
        <v>1000.15</v>
      </c>
      <c r="G151">
        <v>1</v>
      </c>
      <c r="H151">
        <v>1000.15</v>
      </c>
    </row>
    <row r="152" spans="1:8">
      <c r="A152" t="s">
        <v>140</v>
      </c>
      <c r="B152" t="s">
        <v>411</v>
      </c>
      <c r="C152" t="s">
        <v>1127</v>
      </c>
      <c r="D152">
        <v>4</v>
      </c>
      <c r="E152">
        <v>45</v>
      </c>
      <c r="F152">
        <v>936.3</v>
      </c>
      <c r="G152">
        <v>1</v>
      </c>
      <c r="H152">
        <v>936.3</v>
      </c>
    </row>
    <row r="153" spans="1:8">
      <c r="A153" t="s">
        <v>140</v>
      </c>
      <c r="B153" t="s">
        <v>397</v>
      </c>
      <c r="C153" t="s">
        <v>1121</v>
      </c>
      <c r="D153">
        <v>2</v>
      </c>
      <c r="E153">
        <v>44</v>
      </c>
      <c r="F153">
        <v>880.6</v>
      </c>
      <c r="G153">
        <v>1</v>
      </c>
      <c r="H153">
        <v>880.6</v>
      </c>
    </row>
    <row r="154" spans="1:8">
      <c r="A154" t="s">
        <v>140</v>
      </c>
      <c r="B154" t="s">
        <v>609</v>
      </c>
      <c r="C154" t="s">
        <v>1125</v>
      </c>
      <c r="D154">
        <v>3</v>
      </c>
      <c r="E154">
        <v>55</v>
      </c>
      <c r="F154">
        <v>822.9</v>
      </c>
      <c r="G154">
        <v>1</v>
      </c>
      <c r="H154">
        <v>822.9</v>
      </c>
    </row>
    <row r="155" spans="1:8">
      <c r="A155" t="s">
        <v>140</v>
      </c>
      <c r="B155" t="s">
        <v>627</v>
      </c>
      <c r="C155" t="s">
        <v>1117</v>
      </c>
      <c r="D155">
        <v>3</v>
      </c>
      <c r="E155">
        <v>53</v>
      </c>
      <c r="F155">
        <v>774.86</v>
      </c>
      <c r="G155">
        <v>1</v>
      </c>
      <c r="H155">
        <v>774.86</v>
      </c>
    </row>
    <row r="156" spans="1:8">
      <c r="A156" t="s">
        <v>140</v>
      </c>
      <c r="B156" t="s">
        <v>627</v>
      </c>
      <c r="C156" t="s">
        <v>1121</v>
      </c>
      <c r="D156">
        <v>3</v>
      </c>
      <c r="E156">
        <v>48</v>
      </c>
      <c r="F156">
        <v>757.76</v>
      </c>
      <c r="G156">
        <v>1</v>
      </c>
      <c r="H156">
        <v>757.76</v>
      </c>
    </row>
    <row r="157" spans="1:8">
      <c r="A157" t="s">
        <v>140</v>
      </c>
      <c r="B157" t="s">
        <v>627</v>
      </c>
      <c r="C157" t="s">
        <v>1129</v>
      </c>
      <c r="D157">
        <v>5</v>
      </c>
      <c r="E157">
        <v>60</v>
      </c>
      <c r="F157">
        <v>752.21</v>
      </c>
      <c r="G157">
        <v>1</v>
      </c>
      <c r="H157">
        <v>752.21</v>
      </c>
    </row>
    <row r="158" spans="1:8">
      <c r="A158" t="s">
        <v>140</v>
      </c>
      <c r="B158" t="s">
        <v>579</v>
      </c>
      <c r="C158" t="s">
        <v>1119</v>
      </c>
      <c r="D158">
        <v>2</v>
      </c>
      <c r="E158">
        <v>26</v>
      </c>
      <c r="F158">
        <v>727.5</v>
      </c>
      <c r="G158">
        <v>2</v>
      </c>
      <c r="H158">
        <v>363.75</v>
      </c>
    </row>
    <row r="159" spans="1:8">
      <c r="A159" t="s">
        <v>140</v>
      </c>
      <c r="B159" t="s">
        <v>579</v>
      </c>
      <c r="C159" t="s">
        <v>1115</v>
      </c>
      <c r="D159">
        <v>3</v>
      </c>
      <c r="E159">
        <v>33</v>
      </c>
      <c r="F159">
        <v>554</v>
      </c>
      <c r="G159">
        <v>2</v>
      </c>
      <c r="H159">
        <v>277</v>
      </c>
    </row>
    <row r="160" spans="1:8">
      <c r="A160" t="s">
        <v>140</v>
      </c>
      <c r="B160" t="s">
        <v>693</v>
      </c>
      <c r="C160" t="s">
        <v>1121</v>
      </c>
      <c r="D160">
        <v>1</v>
      </c>
      <c r="E160">
        <v>12</v>
      </c>
      <c r="F160">
        <v>528</v>
      </c>
      <c r="G160">
        <v>1</v>
      </c>
      <c r="H160">
        <v>528</v>
      </c>
    </row>
    <row r="161" spans="1:8">
      <c r="A161" t="s">
        <v>140</v>
      </c>
      <c r="B161" t="s">
        <v>775</v>
      </c>
      <c r="C161" t="s">
        <v>1115</v>
      </c>
      <c r="D161">
        <v>3</v>
      </c>
      <c r="E161">
        <v>34</v>
      </c>
      <c r="F161">
        <v>497.5</v>
      </c>
      <c r="G161">
        <v>1</v>
      </c>
      <c r="H161">
        <v>497.5</v>
      </c>
    </row>
    <row r="162" spans="1:8">
      <c r="A162" t="s">
        <v>140</v>
      </c>
      <c r="B162" t="s">
        <v>579</v>
      </c>
      <c r="C162" t="s">
        <v>1129</v>
      </c>
      <c r="D162">
        <v>2</v>
      </c>
      <c r="E162">
        <v>24</v>
      </c>
      <c r="F162">
        <v>445.1</v>
      </c>
      <c r="G162">
        <v>1</v>
      </c>
      <c r="H162">
        <v>445.1</v>
      </c>
    </row>
    <row r="163" spans="1:8">
      <c r="A163" t="s">
        <v>140</v>
      </c>
      <c r="B163" t="s">
        <v>693</v>
      </c>
      <c r="C163" t="s">
        <v>1115</v>
      </c>
      <c r="D163">
        <v>3</v>
      </c>
      <c r="E163">
        <v>37</v>
      </c>
      <c r="F163">
        <v>375.5</v>
      </c>
      <c r="G163">
        <v>1</v>
      </c>
      <c r="H163">
        <v>375.5</v>
      </c>
    </row>
    <row r="164" spans="1:8">
      <c r="A164" t="s">
        <v>140</v>
      </c>
      <c r="B164" t="s">
        <v>139</v>
      </c>
      <c r="C164" t="s">
        <v>1129</v>
      </c>
      <c r="D164">
        <v>1</v>
      </c>
      <c r="E164">
        <v>6</v>
      </c>
      <c r="F164">
        <v>375</v>
      </c>
      <c r="G164">
        <v>1</v>
      </c>
      <c r="H164">
        <v>375</v>
      </c>
    </row>
    <row r="165" spans="1:8">
      <c r="A165" t="s">
        <v>140</v>
      </c>
      <c r="B165" t="s">
        <v>411</v>
      </c>
      <c r="C165" t="s">
        <v>1123</v>
      </c>
      <c r="D165">
        <v>2</v>
      </c>
      <c r="E165">
        <v>29</v>
      </c>
      <c r="F165">
        <v>362.86</v>
      </c>
      <c r="G165">
        <v>1</v>
      </c>
      <c r="H165">
        <v>362.86</v>
      </c>
    </row>
    <row r="166" spans="1:8">
      <c r="A166" t="s">
        <v>140</v>
      </c>
      <c r="B166" t="s">
        <v>139</v>
      </c>
      <c r="C166" t="s">
        <v>1121</v>
      </c>
      <c r="D166">
        <v>1</v>
      </c>
      <c r="E166">
        <v>10</v>
      </c>
      <c r="F166">
        <v>360</v>
      </c>
      <c r="G166">
        <v>1</v>
      </c>
      <c r="H166">
        <v>360</v>
      </c>
    </row>
    <row r="167" spans="1:8">
      <c r="A167" t="s">
        <v>140</v>
      </c>
      <c r="B167" t="s">
        <v>627</v>
      </c>
      <c r="C167" t="s">
        <v>1127</v>
      </c>
      <c r="D167">
        <v>1</v>
      </c>
      <c r="E167">
        <v>8</v>
      </c>
      <c r="F167">
        <v>346.56</v>
      </c>
      <c r="G167">
        <v>1</v>
      </c>
      <c r="H167">
        <v>346.56</v>
      </c>
    </row>
    <row r="168" spans="1:8">
      <c r="A168" t="s">
        <v>140</v>
      </c>
      <c r="B168" t="s">
        <v>397</v>
      </c>
      <c r="C168" t="s">
        <v>1123</v>
      </c>
      <c r="D168">
        <v>3</v>
      </c>
      <c r="E168">
        <v>32</v>
      </c>
      <c r="F168">
        <v>345.6</v>
      </c>
      <c r="G168">
        <v>1</v>
      </c>
      <c r="H168">
        <v>345.6</v>
      </c>
    </row>
    <row r="169" spans="1:8">
      <c r="A169" t="s">
        <v>140</v>
      </c>
      <c r="B169" t="s">
        <v>397</v>
      </c>
      <c r="C169" t="s">
        <v>1129</v>
      </c>
      <c r="D169">
        <v>2</v>
      </c>
      <c r="E169">
        <v>22</v>
      </c>
      <c r="F169">
        <v>253.8</v>
      </c>
      <c r="G169">
        <v>1</v>
      </c>
      <c r="H169">
        <v>253.8</v>
      </c>
    </row>
    <row r="170" spans="1:8">
      <c r="A170" t="s">
        <v>140</v>
      </c>
      <c r="B170" t="s">
        <v>579</v>
      </c>
      <c r="C170" t="s">
        <v>1117</v>
      </c>
      <c r="D170">
        <v>1</v>
      </c>
      <c r="E170">
        <v>12</v>
      </c>
      <c r="F170">
        <v>252.6</v>
      </c>
      <c r="G170">
        <v>1</v>
      </c>
      <c r="H170">
        <v>252.6</v>
      </c>
    </row>
    <row r="171" spans="1:8">
      <c r="A171" t="s">
        <v>140</v>
      </c>
      <c r="B171" t="s">
        <v>775</v>
      </c>
      <c r="C171" t="s">
        <v>1125</v>
      </c>
      <c r="D171">
        <v>1</v>
      </c>
      <c r="E171">
        <v>6</v>
      </c>
      <c r="F171">
        <v>234</v>
      </c>
      <c r="G171">
        <v>1</v>
      </c>
      <c r="H171">
        <v>234</v>
      </c>
    </row>
    <row r="172" spans="1:8">
      <c r="A172" t="s">
        <v>140</v>
      </c>
      <c r="B172" t="s">
        <v>627</v>
      </c>
      <c r="C172" t="s">
        <v>1123</v>
      </c>
      <c r="D172">
        <v>2</v>
      </c>
      <c r="E172">
        <v>13</v>
      </c>
      <c r="F172">
        <v>211.75</v>
      </c>
      <c r="G172">
        <v>1</v>
      </c>
      <c r="H172">
        <v>211.75</v>
      </c>
    </row>
    <row r="173" spans="1:8">
      <c r="A173" t="s">
        <v>140</v>
      </c>
      <c r="B173" t="s">
        <v>579</v>
      </c>
      <c r="C173" t="s">
        <v>1121</v>
      </c>
      <c r="D173">
        <v>1</v>
      </c>
      <c r="E173">
        <v>7</v>
      </c>
      <c r="F173">
        <v>201.6</v>
      </c>
      <c r="G173">
        <v>1</v>
      </c>
      <c r="H173">
        <v>201.6</v>
      </c>
    </row>
    <row r="174" spans="1:8">
      <c r="A174" t="s">
        <v>140</v>
      </c>
      <c r="B174" t="s">
        <v>579</v>
      </c>
      <c r="C174" t="s">
        <v>1127</v>
      </c>
      <c r="D174">
        <v>1</v>
      </c>
      <c r="E174">
        <v>3</v>
      </c>
      <c r="F174">
        <v>159</v>
      </c>
      <c r="G174">
        <v>1</v>
      </c>
      <c r="H174">
        <v>159</v>
      </c>
    </row>
    <row r="175" spans="1:8">
      <c r="A175" t="s">
        <v>140</v>
      </c>
      <c r="B175" t="s">
        <v>775</v>
      </c>
      <c r="C175" t="s">
        <v>1127</v>
      </c>
      <c r="D175">
        <v>1</v>
      </c>
      <c r="E175">
        <v>5</v>
      </c>
      <c r="F175">
        <v>150</v>
      </c>
      <c r="G175">
        <v>1</v>
      </c>
      <c r="H175">
        <v>150</v>
      </c>
    </row>
    <row r="176" spans="1:8">
      <c r="A176" t="s">
        <v>140</v>
      </c>
      <c r="B176" t="s">
        <v>579</v>
      </c>
      <c r="C176" t="s">
        <v>1123</v>
      </c>
      <c r="D176">
        <v>2</v>
      </c>
      <c r="E176">
        <v>15</v>
      </c>
      <c r="F176">
        <v>130.19999999999999</v>
      </c>
      <c r="G176">
        <v>1</v>
      </c>
      <c r="H176">
        <v>130.19999999999999</v>
      </c>
    </row>
    <row r="177" spans="1:8">
      <c r="A177" t="s">
        <v>140</v>
      </c>
      <c r="B177" t="s">
        <v>693</v>
      </c>
      <c r="C177" t="s">
        <v>1123</v>
      </c>
      <c r="D177">
        <v>1</v>
      </c>
      <c r="E177">
        <v>6</v>
      </c>
      <c r="F177">
        <v>126</v>
      </c>
      <c r="G177">
        <v>1</v>
      </c>
      <c r="H177">
        <v>126</v>
      </c>
    </row>
    <row r="178" spans="1:8">
      <c r="A178" t="s">
        <v>140</v>
      </c>
      <c r="B178" t="s">
        <v>775</v>
      </c>
      <c r="C178" t="s">
        <v>1129</v>
      </c>
      <c r="D178">
        <v>1</v>
      </c>
      <c r="E178">
        <v>6</v>
      </c>
      <c r="F178">
        <v>57.9</v>
      </c>
      <c r="G178">
        <v>1</v>
      </c>
      <c r="H178">
        <v>57.9</v>
      </c>
    </row>
    <row r="179" spans="1:8">
      <c r="A179" t="s">
        <v>140</v>
      </c>
      <c r="B179" t="s">
        <v>139</v>
      </c>
      <c r="C179" t="s">
        <v>1119</v>
      </c>
      <c r="D179">
        <v>1</v>
      </c>
      <c r="E179">
        <v>3</v>
      </c>
      <c r="F179">
        <v>52.35</v>
      </c>
      <c r="G179">
        <v>1</v>
      </c>
      <c r="H179">
        <v>52.35</v>
      </c>
    </row>
    <row r="180" spans="1:8">
      <c r="A180" t="s">
        <v>140</v>
      </c>
      <c r="B180" t="s">
        <v>693</v>
      </c>
      <c r="C180" t="s">
        <v>1125</v>
      </c>
      <c r="D180">
        <v>1</v>
      </c>
      <c r="E180">
        <v>6</v>
      </c>
      <c r="F180">
        <v>35.4</v>
      </c>
      <c r="G180">
        <v>1</v>
      </c>
      <c r="H180">
        <v>35.4</v>
      </c>
    </row>
    <row r="181" spans="1:8">
      <c r="A181" t="s">
        <v>140</v>
      </c>
      <c r="B181" t="s">
        <v>775</v>
      </c>
      <c r="C181" t="s">
        <v>1123</v>
      </c>
      <c r="D181">
        <v>1</v>
      </c>
      <c r="E181">
        <v>5</v>
      </c>
      <c r="F181">
        <v>35</v>
      </c>
      <c r="G181">
        <v>1</v>
      </c>
      <c r="H181">
        <v>35</v>
      </c>
    </row>
    <row r="182" spans="1:8">
      <c r="A182" t="s">
        <v>140</v>
      </c>
      <c r="B182" t="s">
        <v>411</v>
      </c>
      <c r="C182" t="s">
        <v>1125</v>
      </c>
      <c r="D182">
        <v>1</v>
      </c>
      <c r="E182">
        <v>6</v>
      </c>
      <c r="F182">
        <v>28.32</v>
      </c>
      <c r="G182">
        <v>1</v>
      </c>
      <c r="H182">
        <v>28.32</v>
      </c>
    </row>
    <row r="183" spans="1:8">
      <c r="A183" t="s">
        <v>140</v>
      </c>
      <c r="B183" t="s">
        <v>775</v>
      </c>
      <c r="C183" t="s">
        <v>1121</v>
      </c>
      <c r="D183">
        <v>1</v>
      </c>
      <c r="E183">
        <v>7</v>
      </c>
      <c r="F183">
        <v>17.5</v>
      </c>
      <c r="G183">
        <v>1</v>
      </c>
      <c r="H183">
        <v>17.5</v>
      </c>
    </row>
    <row r="184" spans="1:8">
      <c r="A184" t="s">
        <v>93</v>
      </c>
      <c r="B184" t="s">
        <v>497</v>
      </c>
      <c r="C184" t="s">
        <v>1115</v>
      </c>
      <c r="D184">
        <v>14</v>
      </c>
      <c r="E184">
        <v>875</v>
      </c>
      <c r="F184">
        <v>36059.68</v>
      </c>
      <c r="G184">
        <v>1</v>
      </c>
      <c r="H184">
        <v>36059.68</v>
      </c>
    </row>
    <row r="185" spans="1:8">
      <c r="A185" t="s">
        <v>93</v>
      </c>
      <c r="B185" t="s">
        <v>497</v>
      </c>
      <c r="C185" t="s">
        <v>1119</v>
      </c>
      <c r="D185">
        <v>9</v>
      </c>
      <c r="E185">
        <v>598</v>
      </c>
      <c r="F185">
        <v>15347.6</v>
      </c>
      <c r="G185">
        <v>1</v>
      </c>
      <c r="H185">
        <v>15347.6</v>
      </c>
    </row>
    <row r="186" spans="1:8">
      <c r="A186" t="s">
        <v>93</v>
      </c>
      <c r="B186" t="s">
        <v>497</v>
      </c>
      <c r="C186" t="s">
        <v>1121</v>
      </c>
      <c r="D186">
        <v>9</v>
      </c>
      <c r="E186">
        <v>470</v>
      </c>
      <c r="F186">
        <v>12582.85</v>
      </c>
      <c r="G186">
        <v>1</v>
      </c>
      <c r="H186">
        <v>12582.85</v>
      </c>
    </row>
    <row r="187" spans="1:8">
      <c r="A187" t="s">
        <v>93</v>
      </c>
      <c r="B187" t="s">
        <v>497</v>
      </c>
      <c r="C187" t="s">
        <v>1125</v>
      </c>
      <c r="D187">
        <v>5</v>
      </c>
      <c r="E187">
        <v>232</v>
      </c>
      <c r="F187">
        <v>9754.9599999999991</v>
      </c>
      <c r="G187">
        <v>1</v>
      </c>
      <c r="H187">
        <v>9754.9599999999991</v>
      </c>
    </row>
    <row r="188" spans="1:8">
      <c r="A188" t="s">
        <v>93</v>
      </c>
      <c r="B188" t="s">
        <v>592</v>
      </c>
      <c r="C188" t="s">
        <v>1115</v>
      </c>
      <c r="D188">
        <v>7</v>
      </c>
      <c r="E188">
        <v>128</v>
      </c>
      <c r="F188">
        <v>9455.1</v>
      </c>
      <c r="G188">
        <v>1</v>
      </c>
      <c r="H188">
        <v>9455.1</v>
      </c>
    </row>
    <row r="189" spans="1:8">
      <c r="A189" t="s">
        <v>93</v>
      </c>
      <c r="B189" t="s">
        <v>497</v>
      </c>
      <c r="C189" t="s">
        <v>1129</v>
      </c>
      <c r="D189">
        <v>11</v>
      </c>
      <c r="E189">
        <v>557</v>
      </c>
      <c r="F189">
        <v>9367.74</v>
      </c>
      <c r="G189">
        <v>1</v>
      </c>
      <c r="H189">
        <v>9367.74</v>
      </c>
    </row>
    <row r="190" spans="1:8">
      <c r="A190" t="s">
        <v>93</v>
      </c>
      <c r="B190" t="s">
        <v>497</v>
      </c>
      <c r="C190" t="s">
        <v>1117</v>
      </c>
      <c r="D190">
        <v>10</v>
      </c>
      <c r="E190">
        <v>519</v>
      </c>
      <c r="F190">
        <v>9214.94</v>
      </c>
      <c r="G190">
        <v>1</v>
      </c>
      <c r="H190">
        <v>9214.94</v>
      </c>
    </row>
    <row r="191" spans="1:8">
      <c r="A191" t="s">
        <v>93</v>
      </c>
      <c r="B191" t="s">
        <v>1149</v>
      </c>
      <c r="C191" t="s">
        <v>1121</v>
      </c>
      <c r="D191">
        <v>7</v>
      </c>
      <c r="E191">
        <v>307</v>
      </c>
      <c r="F191">
        <v>8163.8</v>
      </c>
      <c r="G191">
        <v>1</v>
      </c>
      <c r="H191">
        <v>8163.8</v>
      </c>
    </row>
    <row r="192" spans="1:8">
      <c r="A192" t="s">
        <v>93</v>
      </c>
      <c r="B192" t="s">
        <v>497</v>
      </c>
      <c r="C192" t="s">
        <v>1127</v>
      </c>
      <c r="D192">
        <v>4</v>
      </c>
      <c r="E192">
        <v>198</v>
      </c>
      <c r="F192">
        <v>6332.4</v>
      </c>
      <c r="G192">
        <v>1</v>
      </c>
      <c r="H192">
        <v>6332.4</v>
      </c>
    </row>
    <row r="193" spans="1:8">
      <c r="A193" t="s">
        <v>93</v>
      </c>
      <c r="B193" t="s">
        <v>592</v>
      </c>
      <c r="C193" t="s">
        <v>1121</v>
      </c>
      <c r="D193">
        <v>5</v>
      </c>
      <c r="E193">
        <v>156</v>
      </c>
      <c r="F193">
        <v>5778.25</v>
      </c>
      <c r="G193">
        <v>1</v>
      </c>
      <c r="H193">
        <v>5778.25</v>
      </c>
    </row>
    <row r="194" spans="1:8">
      <c r="A194" t="s">
        <v>93</v>
      </c>
      <c r="B194" t="s">
        <v>497</v>
      </c>
      <c r="C194" t="s">
        <v>1123</v>
      </c>
      <c r="D194">
        <v>5</v>
      </c>
      <c r="E194">
        <v>344</v>
      </c>
      <c r="F194">
        <v>5310.9</v>
      </c>
      <c r="G194">
        <v>1</v>
      </c>
      <c r="H194">
        <v>5310.9</v>
      </c>
    </row>
    <row r="195" spans="1:8">
      <c r="A195" t="s">
        <v>93</v>
      </c>
      <c r="B195" t="s">
        <v>517</v>
      </c>
      <c r="C195" t="s">
        <v>1121</v>
      </c>
      <c r="D195">
        <v>6</v>
      </c>
      <c r="E195">
        <v>215</v>
      </c>
      <c r="F195">
        <v>5224</v>
      </c>
      <c r="G195">
        <v>1</v>
      </c>
      <c r="H195">
        <v>5224</v>
      </c>
    </row>
    <row r="196" spans="1:8">
      <c r="A196" t="s">
        <v>93</v>
      </c>
      <c r="B196" t="s">
        <v>1149</v>
      </c>
      <c r="C196" t="s">
        <v>1129</v>
      </c>
      <c r="D196">
        <v>8</v>
      </c>
      <c r="E196">
        <v>338</v>
      </c>
      <c r="F196">
        <v>4868.45</v>
      </c>
      <c r="G196">
        <v>1</v>
      </c>
      <c r="H196">
        <v>4868.45</v>
      </c>
    </row>
    <row r="197" spans="1:8">
      <c r="A197" t="s">
        <v>93</v>
      </c>
      <c r="B197" t="s">
        <v>592</v>
      </c>
      <c r="C197" t="s">
        <v>1119</v>
      </c>
      <c r="D197">
        <v>6</v>
      </c>
      <c r="E197">
        <v>206</v>
      </c>
      <c r="F197">
        <v>4751.46</v>
      </c>
      <c r="G197">
        <v>1</v>
      </c>
      <c r="H197">
        <v>4751.46</v>
      </c>
    </row>
    <row r="198" spans="1:8">
      <c r="A198" t="s">
        <v>93</v>
      </c>
      <c r="B198" t="s">
        <v>592</v>
      </c>
      <c r="C198" t="s">
        <v>1125</v>
      </c>
      <c r="D198">
        <v>3</v>
      </c>
      <c r="E198">
        <v>60</v>
      </c>
      <c r="F198">
        <v>3414.42</v>
      </c>
      <c r="G198">
        <v>1</v>
      </c>
      <c r="H198">
        <v>3414.42</v>
      </c>
    </row>
    <row r="199" spans="1:8">
      <c r="A199" t="s">
        <v>93</v>
      </c>
      <c r="B199" t="s">
        <v>592</v>
      </c>
      <c r="C199" t="s">
        <v>1129</v>
      </c>
      <c r="D199">
        <v>6</v>
      </c>
      <c r="E199">
        <v>195</v>
      </c>
      <c r="F199">
        <v>3309.75</v>
      </c>
      <c r="G199">
        <v>1</v>
      </c>
      <c r="H199">
        <v>3309.75</v>
      </c>
    </row>
    <row r="200" spans="1:8">
      <c r="A200" t="s">
        <v>93</v>
      </c>
      <c r="B200" t="s">
        <v>1149</v>
      </c>
      <c r="C200" t="s">
        <v>1125</v>
      </c>
      <c r="D200">
        <v>5</v>
      </c>
      <c r="E200">
        <v>114</v>
      </c>
      <c r="F200">
        <v>2896.12</v>
      </c>
      <c r="G200">
        <v>1</v>
      </c>
      <c r="H200">
        <v>2896.12</v>
      </c>
    </row>
    <row r="201" spans="1:8">
      <c r="A201" t="s">
        <v>93</v>
      </c>
      <c r="B201" t="s">
        <v>1149</v>
      </c>
      <c r="C201" t="s">
        <v>1119</v>
      </c>
      <c r="D201">
        <v>6</v>
      </c>
      <c r="E201">
        <v>201</v>
      </c>
      <c r="F201">
        <v>2876.58</v>
      </c>
      <c r="G201">
        <v>1</v>
      </c>
      <c r="H201">
        <v>2876.58</v>
      </c>
    </row>
    <row r="202" spans="1:8">
      <c r="A202" t="s">
        <v>93</v>
      </c>
      <c r="B202" t="s">
        <v>556</v>
      </c>
      <c r="C202" t="s">
        <v>1121</v>
      </c>
      <c r="D202">
        <v>5</v>
      </c>
      <c r="E202">
        <v>148</v>
      </c>
      <c r="F202">
        <v>2833.5</v>
      </c>
      <c r="G202">
        <v>1</v>
      </c>
      <c r="H202">
        <v>2833.5</v>
      </c>
    </row>
    <row r="203" spans="1:8">
      <c r="A203" t="s">
        <v>93</v>
      </c>
      <c r="B203" t="s">
        <v>517</v>
      </c>
      <c r="C203" t="s">
        <v>1123</v>
      </c>
      <c r="D203">
        <v>4</v>
      </c>
      <c r="E203">
        <v>102</v>
      </c>
      <c r="F203">
        <v>2809.1</v>
      </c>
      <c r="G203">
        <v>1</v>
      </c>
      <c r="H203">
        <v>2809.1</v>
      </c>
    </row>
    <row r="204" spans="1:8">
      <c r="A204" t="s">
        <v>93</v>
      </c>
      <c r="B204" t="s">
        <v>1160</v>
      </c>
      <c r="C204" t="s">
        <v>1119</v>
      </c>
      <c r="D204">
        <v>4</v>
      </c>
      <c r="E204">
        <v>145</v>
      </c>
      <c r="F204">
        <v>2757.28</v>
      </c>
      <c r="G204">
        <v>1</v>
      </c>
      <c r="H204">
        <v>2757.28</v>
      </c>
    </row>
    <row r="205" spans="1:8">
      <c r="A205" t="s">
        <v>93</v>
      </c>
      <c r="B205" t="s">
        <v>1160</v>
      </c>
      <c r="C205" t="s">
        <v>1127</v>
      </c>
      <c r="D205">
        <v>4</v>
      </c>
      <c r="E205">
        <v>85</v>
      </c>
      <c r="F205">
        <v>2676.56</v>
      </c>
      <c r="G205">
        <v>1</v>
      </c>
      <c r="H205">
        <v>2676.56</v>
      </c>
    </row>
    <row r="206" spans="1:8">
      <c r="A206" t="s">
        <v>93</v>
      </c>
      <c r="B206" t="s">
        <v>517</v>
      </c>
      <c r="C206" t="s">
        <v>1125</v>
      </c>
      <c r="D206">
        <v>3</v>
      </c>
      <c r="E206">
        <v>43</v>
      </c>
      <c r="F206">
        <v>2638.82</v>
      </c>
      <c r="G206">
        <v>1</v>
      </c>
      <c r="H206">
        <v>2638.82</v>
      </c>
    </row>
    <row r="207" spans="1:8">
      <c r="A207" t="s">
        <v>93</v>
      </c>
      <c r="B207" t="s">
        <v>517</v>
      </c>
      <c r="C207" t="s">
        <v>1117</v>
      </c>
      <c r="D207">
        <v>5</v>
      </c>
      <c r="E207">
        <v>115</v>
      </c>
      <c r="F207">
        <v>2413.62</v>
      </c>
      <c r="G207">
        <v>1</v>
      </c>
      <c r="H207">
        <v>2413.62</v>
      </c>
    </row>
    <row r="208" spans="1:8">
      <c r="A208" t="s">
        <v>93</v>
      </c>
      <c r="B208" t="s">
        <v>1160</v>
      </c>
      <c r="C208" t="s">
        <v>1121</v>
      </c>
      <c r="D208">
        <v>3</v>
      </c>
      <c r="E208">
        <v>99</v>
      </c>
      <c r="F208">
        <v>2315.25</v>
      </c>
      <c r="G208">
        <v>1</v>
      </c>
      <c r="H208">
        <v>2315.25</v>
      </c>
    </row>
    <row r="209" spans="1:8">
      <c r="A209" t="s">
        <v>93</v>
      </c>
      <c r="B209" t="s">
        <v>1149</v>
      </c>
      <c r="C209" t="s">
        <v>1115</v>
      </c>
      <c r="D209">
        <v>6</v>
      </c>
      <c r="E209">
        <v>211</v>
      </c>
      <c r="F209">
        <v>2033.44</v>
      </c>
      <c r="G209">
        <v>1</v>
      </c>
      <c r="H209">
        <v>2033.44</v>
      </c>
    </row>
    <row r="210" spans="1:8">
      <c r="A210" t="s">
        <v>93</v>
      </c>
      <c r="B210" t="s">
        <v>517</v>
      </c>
      <c r="C210" t="s">
        <v>1119</v>
      </c>
      <c r="D210">
        <v>4</v>
      </c>
      <c r="E210">
        <v>45</v>
      </c>
      <c r="F210">
        <v>1942.02</v>
      </c>
      <c r="G210">
        <v>1</v>
      </c>
      <c r="H210">
        <v>1942.02</v>
      </c>
    </row>
    <row r="211" spans="1:8">
      <c r="A211" t="s">
        <v>93</v>
      </c>
      <c r="B211" t="s">
        <v>508</v>
      </c>
      <c r="C211" t="s">
        <v>1119</v>
      </c>
      <c r="D211">
        <v>3</v>
      </c>
      <c r="E211">
        <v>64</v>
      </c>
      <c r="F211">
        <v>1921.8</v>
      </c>
      <c r="G211">
        <v>1</v>
      </c>
      <c r="H211">
        <v>1921.8</v>
      </c>
    </row>
    <row r="212" spans="1:8">
      <c r="A212" t="s">
        <v>93</v>
      </c>
      <c r="B212" t="s">
        <v>592</v>
      </c>
      <c r="C212" t="s">
        <v>1117</v>
      </c>
      <c r="D212">
        <v>4</v>
      </c>
      <c r="E212">
        <v>90</v>
      </c>
      <c r="F212">
        <v>1872</v>
      </c>
      <c r="G212">
        <v>1</v>
      </c>
      <c r="H212">
        <v>1872</v>
      </c>
    </row>
    <row r="213" spans="1:8">
      <c r="A213" t="s">
        <v>93</v>
      </c>
      <c r="B213" t="s">
        <v>1168</v>
      </c>
      <c r="C213" t="s">
        <v>1127</v>
      </c>
      <c r="D213">
        <v>1</v>
      </c>
      <c r="E213">
        <v>49</v>
      </c>
      <c r="F213">
        <v>1863.4</v>
      </c>
      <c r="G213">
        <v>1</v>
      </c>
      <c r="H213">
        <v>1863.4</v>
      </c>
    </row>
    <row r="214" spans="1:8">
      <c r="A214" t="s">
        <v>93</v>
      </c>
      <c r="B214" t="s">
        <v>556</v>
      </c>
      <c r="C214" t="s">
        <v>1115</v>
      </c>
      <c r="D214">
        <v>4</v>
      </c>
      <c r="E214">
        <v>94</v>
      </c>
      <c r="F214">
        <v>1839.05</v>
      </c>
      <c r="G214">
        <v>1</v>
      </c>
      <c r="H214">
        <v>1839.05</v>
      </c>
    </row>
    <row r="215" spans="1:8">
      <c r="A215" t="s">
        <v>93</v>
      </c>
      <c r="B215" t="s">
        <v>508</v>
      </c>
      <c r="C215" t="s">
        <v>1121</v>
      </c>
      <c r="D215">
        <v>2</v>
      </c>
      <c r="E215">
        <v>52</v>
      </c>
      <c r="F215">
        <v>1829</v>
      </c>
      <c r="G215">
        <v>1</v>
      </c>
      <c r="H215">
        <v>1829</v>
      </c>
    </row>
    <row r="216" spans="1:8">
      <c r="A216" t="s">
        <v>93</v>
      </c>
      <c r="B216" t="s">
        <v>1149</v>
      </c>
      <c r="C216" t="s">
        <v>1123</v>
      </c>
      <c r="D216">
        <v>4</v>
      </c>
      <c r="E216">
        <v>142</v>
      </c>
      <c r="F216">
        <v>1612.12</v>
      </c>
      <c r="G216">
        <v>1</v>
      </c>
      <c r="H216">
        <v>1612.12</v>
      </c>
    </row>
    <row r="217" spans="1:8">
      <c r="A217" t="s">
        <v>93</v>
      </c>
      <c r="B217" t="s">
        <v>517</v>
      </c>
      <c r="C217" t="s">
        <v>1129</v>
      </c>
      <c r="D217">
        <v>3</v>
      </c>
      <c r="E217">
        <v>80</v>
      </c>
      <c r="F217">
        <v>1557.27</v>
      </c>
      <c r="G217">
        <v>1</v>
      </c>
      <c r="H217">
        <v>1557.27</v>
      </c>
    </row>
    <row r="218" spans="1:8">
      <c r="A218" t="s">
        <v>93</v>
      </c>
      <c r="B218" t="s">
        <v>556</v>
      </c>
      <c r="C218" t="s">
        <v>1123</v>
      </c>
      <c r="D218">
        <v>4</v>
      </c>
      <c r="E218">
        <v>80</v>
      </c>
      <c r="F218">
        <v>1551.88</v>
      </c>
      <c r="G218">
        <v>1</v>
      </c>
      <c r="H218">
        <v>1551.88</v>
      </c>
    </row>
    <row r="219" spans="1:8">
      <c r="A219" t="s">
        <v>93</v>
      </c>
      <c r="B219" t="s">
        <v>92</v>
      </c>
      <c r="C219" t="s">
        <v>1117</v>
      </c>
      <c r="D219">
        <v>4</v>
      </c>
      <c r="E219">
        <v>44</v>
      </c>
      <c r="F219">
        <v>1338.8</v>
      </c>
      <c r="G219">
        <v>1</v>
      </c>
      <c r="H219">
        <v>1338.8</v>
      </c>
    </row>
    <row r="220" spans="1:8">
      <c r="A220" t="s">
        <v>93</v>
      </c>
      <c r="B220" t="s">
        <v>1168</v>
      </c>
      <c r="C220" t="s">
        <v>1123</v>
      </c>
      <c r="D220">
        <v>3</v>
      </c>
      <c r="E220">
        <v>58</v>
      </c>
      <c r="F220">
        <v>1326.8</v>
      </c>
      <c r="G220">
        <v>1</v>
      </c>
      <c r="H220">
        <v>1326.8</v>
      </c>
    </row>
    <row r="221" spans="1:8">
      <c r="A221" t="s">
        <v>93</v>
      </c>
      <c r="B221" t="s">
        <v>1149</v>
      </c>
      <c r="C221" t="s">
        <v>1127</v>
      </c>
      <c r="D221">
        <v>2</v>
      </c>
      <c r="E221">
        <v>51</v>
      </c>
      <c r="F221">
        <v>1185.75</v>
      </c>
      <c r="G221">
        <v>1</v>
      </c>
      <c r="H221">
        <v>1185.75</v>
      </c>
    </row>
    <row r="222" spans="1:8">
      <c r="A222" t="s">
        <v>93</v>
      </c>
      <c r="B222" t="s">
        <v>1160</v>
      </c>
      <c r="C222" t="s">
        <v>1115</v>
      </c>
      <c r="D222">
        <v>3</v>
      </c>
      <c r="E222">
        <v>71</v>
      </c>
      <c r="F222">
        <v>1129</v>
      </c>
      <c r="G222">
        <v>1</v>
      </c>
      <c r="H222">
        <v>1129</v>
      </c>
    </row>
    <row r="223" spans="1:8">
      <c r="A223" t="s">
        <v>93</v>
      </c>
      <c r="B223" t="s">
        <v>1168</v>
      </c>
      <c r="C223" t="s">
        <v>1119</v>
      </c>
      <c r="D223">
        <v>3</v>
      </c>
      <c r="E223">
        <v>79</v>
      </c>
      <c r="F223">
        <v>1076.8399999999999</v>
      </c>
      <c r="G223">
        <v>1</v>
      </c>
      <c r="H223">
        <v>1076.8399999999999</v>
      </c>
    </row>
    <row r="224" spans="1:8">
      <c r="A224" t="s">
        <v>93</v>
      </c>
      <c r="B224" t="s">
        <v>517</v>
      </c>
      <c r="C224" t="s">
        <v>1115</v>
      </c>
      <c r="D224">
        <v>5</v>
      </c>
      <c r="E224">
        <v>84</v>
      </c>
      <c r="F224">
        <v>1046.5999999999999</v>
      </c>
      <c r="G224">
        <v>1</v>
      </c>
      <c r="H224">
        <v>1046.5999999999999</v>
      </c>
    </row>
    <row r="225" spans="1:8">
      <c r="A225" t="s">
        <v>93</v>
      </c>
      <c r="B225" t="s">
        <v>1160</v>
      </c>
      <c r="C225" t="s">
        <v>1117</v>
      </c>
      <c r="D225">
        <v>3</v>
      </c>
      <c r="E225">
        <v>61</v>
      </c>
      <c r="F225">
        <v>982.77</v>
      </c>
      <c r="G225">
        <v>1</v>
      </c>
      <c r="H225">
        <v>982.77</v>
      </c>
    </row>
    <row r="226" spans="1:8">
      <c r="A226" t="s">
        <v>93</v>
      </c>
      <c r="B226" t="s">
        <v>1160</v>
      </c>
      <c r="C226" t="s">
        <v>1123</v>
      </c>
      <c r="D226">
        <v>2</v>
      </c>
      <c r="E226">
        <v>70</v>
      </c>
      <c r="F226">
        <v>951</v>
      </c>
      <c r="G226">
        <v>1</v>
      </c>
      <c r="H226">
        <v>951</v>
      </c>
    </row>
    <row r="227" spans="1:8">
      <c r="A227" t="s">
        <v>93</v>
      </c>
      <c r="B227" t="s">
        <v>556</v>
      </c>
      <c r="C227" t="s">
        <v>1125</v>
      </c>
      <c r="D227">
        <v>3</v>
      </c>
      <c r="E227">
        <v>36</v>
      </c>
      <c r="F227">
        <v>840.8</v>
      </c>
      <c r="G227">
        <v>1</v>
      </c>
      <c r="H227">
        <v>840.8</v>
      </c>
    </row>
    <row r="228" spans="1:8">
      <c r="A228" t="s">
        <v>93</v>
      </c>
      <c r="B228" t="s">
        <v>92</v>
      </c>
      <c r="C228" t="s">
        <v>1121</v>
      </c>
      <c r="D228">
        <v>1</v>
      </c>
      <c r="E228">
        <v>15</v>
      </c>
      <c r="F228">
        <v>825</v>
      </c>
      <c r="G228">
        <v>1</v>
      </c>
      <c r="H228">
        <v>825</v>
      </c>
    </row>
    <row r="229" spans="1:8">
      <c r="A229" t="s">
        <v>93</v>
      </c>
      <c r="B229" t="s">
        <v>1160</v>
      </c>
      <c r="C229" t="s">
        <v>1129</v>
      </c>
      <c r="D229">
        <v>5</v>
      </c>
      <c r="E229">
        <v>75</v>
      </c>
      <c r="F229">
        <v>786.26</v>
      </c>
      <c r="G229">
        <v>1</v>
      </c>
      <c r="H229">
        <v>786.26</v>
      </c>
    </row>
    <row r="230" spans="1:8">
      <c r="A230" t="s">
        <v>93</v>
      </c>
      <c r="B230" t="s">
        <v>508</v>
      </c>
      <c r="C230" t="s">
        <v>1127</v>
      </c>
      <c r="D230">
        <v>1</v>
      </c>
      <c r="E230">
        <v>20</v>
      </c>
      <c r="F230">
        <v>728</v>
      </c>
      <c r="G230">
        <v>1</v>
      </c>
      <c r="H230">
        <v>728</v>
      </c>
    </row>
    <row r="231" spans="1:8">
      <c r="A231" t="s">
        <v>93</v>
      </c>
      <c r="B231" t="s">
        <v>645</v>
      </c>
      <c r="C231" t="s">
        <v>1125</v>
      </c>
      <c r="D231">
        <v>1</v>
      </c>
      <c r="E231">
        <v>20</v>
      </c>
      <c r="F231">
        <v>656</v>
      </c>
      <c r="G231">
        <v>1</v>
      </c>
      <c r="H231">
        <v>656</v>
      </c>
    </row>
    <row r="232" spans="1:8">
      <c r="A232" t="s">
        <v>93</v>
      </c>
      <c r="B232" t="s">
        <v>727</v>
      </c>
      <c r="C232" t="s">
        <v>1129</v>
      </c>
      <c r="D232">
        <v>1</v>
      </c>
      <c r="E232">
        <v>10</v>
      </c>
      <c r="F232">
        <v>625</v>
      </c>
      <c r="G232">
        <v>1</v>
      </c>
      <c r="H232">
        <v>625</v>
      </c>
    </row>
    <row r="233" spans="1:8">
      <c r="A233" t="s">
        <v>93</v>
      </c>
      <c r="B233" t="s">
        <v>645</v>
      </c>
      <c r="C233" t="s">
        <v>1121</v>
      </c>
      <c r="D233">
        <v>2</v>
      </c>
      <c r="E233">
        <v>40</v>
      </c>
      <c r="F233">
        <v>620</v>
      </c>
      <c r="G233">
        <v>1</v>
      </c>
      <c r="H233">
        <v>620</v>
      </c>
    </row>
    <row r="234" spans="1:8">
      <c r="A234" t="s">
        <v>93</v>
      </c>
      <c r="B234" t="s">
        <v>92</v>
      </c>
      <c r="C234" t="s">
        <v>1127</v>
      </c>
      <c r="D234">
        <v>2</v>
      </c>
      <c r="E234">
        <v>17</v>
      </c>
      <c r="F234">
        <v>604.20000000000005</v>
      </c>
      <c r="G234">
        <v>1</v>
      </c>
      <c r="H234">
        <v>604.20000000000005</v>
      </c>
    </row>
    <row r="235" spans="1:8">
      <c r="A235" t="s">
        <v>93</v>
      </c>
      <c r="B235" t="s">
        <v>727</v>
      </c>
      <c r="C235" t="s">
        <v>1127</v>
      </c>
      <c r="D235">
        <v>2</v>
      </c>
      <c r="E235">
        <v>11</v>
      </c>
      <c r="F235">
        <v>560.79999999999995</v>
      </c>
      <c r="G235">
        <v>1</v>
      </c>
      <c r="H235">
        <v>560.79999999999995</v>
      </c>
    </row>
    <row r="236" spans="1:8">
      <c r="A236" t="s">
        <v>93</v>
      </c>
      <c r="B236" t="s">
        <v>92</v>
      </c>
      <c r="C236" t="s">
        <v>1115</v>
      </c>
      <c r="D236">
        <v>2</v>
      </c>
      <c r="E236">
        <v>36</v>
      </c>
      <c r="F236">
        <v>553.5</v>
      </c>
      <c r="G236">
        <v>1</v>
      </c>
      <c r="H236">
        <v>553.5</v>
      </c>
    </row>
    <row r="237" spans="1:8">
      <c r="A237" t="s">
        <v>93</v>
      </c>
      <c r="B237" t="s">
        <v>556</v>
      </c>
      <c r="C237" t="s">
        <v>1119</v>
      </c>
      <c r="D237">
        <v>2</v>
      </c>
      <c r="E237">
        <v>52</v>
      </c>
      <c r="F237">
        <v>402.8</v>
      </c>
      <c r="G237">
        <v>1</v>
      </c>
      <c r="H237">
        <v>402.8</v>
      </c>
    </row>
    <row r="238" spans="1:8">
      <c r="A238" t="s">
        <v>93</v>
      </c>
      <c r="B238" t="s">
        <v>645</v>
      </c>
      <c r="C238" t="s">
        <v>1119</v>
      </c>
      <c r="D238">
        <v>1</v>
      </c>
      <c r="E238">
        <v>12</v>
      </c>
      <c r="F238">
        <v>374.76</v>
      </c>
      <c r="G238">
        <v>1</v>
      </c>
      <c r="H238">
        <v>374.76</v>
      </c>
    </row>
    <row r="239" spans="1:8">
      <c r="A239" t="s">
        <v>93</v>
      </c>
      <c r="B239" t="s">
        <v>1168</v>
      </c>
      <c r="C239" t="s">
        <v>1115</v>
      </c>
      <c r="D239">
        <v>3</v>
      </c>
      <c r="E239">
        <v>50</v>
      </c>
      <c r="F239">
        <v>349</v>
      </c>
      <c r="G239">
        <v>1</v>
      </c>
      <c r="H239">
        <v>349</v>
      </c>
    </row>
    <row r="240" spans="1:8">
      <c r="A240" t="s">
        <v>93</v>
      </c>
      <c r="B240" t="s">
        <v>727</v>
      </c>
      <c r="C240" t="s">
        <v>1115</v>
      </c>
      <c r="D240">
        <v>2</v>
      </c>
      <c r="E240">
        <v>19</v>
      </c>
      <c r="F240">
        <v>342</v>
      </c>
      <c r="G240">
        <v>1</v>
      </c>
      <c r="H240">
        <v>342</v>
      </c>
    </row>
    <row r="241" spans="1:8">
      <c r="A241" t="s">
        <v>93</v>
      </c>
      <c r="B241" t="s">
        <v>556</v>
      </c>
      <c r="C241" t="s">
        <v>1117</v>
      </c>
      <c r="D241">
        <v>1</v>
      </c>
      <c r="E241">
        <v>15</v>
      </c>
      <c r="F241">
        <v>342</v>
      </c>
      <c r="G241">
        <v>1</v>
      </c>
      <c r="H241">
        <v>342</v>
      </c>
    </row>
    <row r="242" spans="1:8">
      <c r="A242" t="s">
        <v>93</v>
      </c>
      <c r="B242" t="s">
        <v>727</v>
      </c>
      <c r="C242" t="s">
        <v>1119</v>
      </c>
      <c r="D242">
        <v>2</v>
      </c>
      <c r="E242">
        <v>34</v>
      </c>
      <c r="F242">
        <v>333</v>
      </c>
      <c r="G242">
        <v>1</v>
      </c>
      <c r="H242">
        <v>333</v>
      </c>
    </row>
    <row r="243" spans="1:8">
      <c r="A243" t="s">
        <v>93</v>
      </c>
      <c r="B243" t="s">
        <v>727</v>
      </c>
      <c r="C243" t="s">
        <v>1121</v>
      </c>
      <c r="D243">
        <v>1</v>
      </c>
      <c r="E243">
        <v>14</v>
      </c>
      <c r="F243">
        <v>294</v>
      </c>
      <c r="G243">
        <v>1</v>
      </c>
      <c r="H243">
        <v>294</v>
      </c>
    </row>
    <row r="244" spans="1:8">
      <c r="A244" t="s">
        <v>93</v>
      </c>
      <c r="B244" t="s">
        <v>1160</v>
      </c>
      <c r="C244" t="s">
        <v>1125</v>
      </c>
      <c r="D244">
        <v>1</v>
      </c>
      <c r="E244">
        <v>9</v>
      </c>
      <c r="F244">
        <v>265.68</v>
      </c>
      <c r="G244">
        <v>1</v>
      </c>
      <c r="H244">
        <v>265.68</v>
      </c>
    </row>
    <row r="245" spans="1:8">
      <c r="A245" t="s">
        <v>93</v>
      </c>
      <c r="B245" t="s">
        <v>508</v>
      </c>
      <c r="C245" t="s">
        <v>1117</v>
      </c>
      <c r="D245">
        <v>1</v>
      </c>
      <c r="E245">
        <v>6</v>
      </c>
      <c r="F245">
        <v>263.39999999999998</v>
      </c>
      <c r="G245">
        <v>1</v>
      </c>
      <c r="H245">
        <v>263.39999999999998</v>
      </c>
    </row>
    <row r="246" spans="1:8">
      <c r="A246" t="s">
        <v>93</v>
      </c>
      <c r="B246" t="s">
        <v>645</v>
      </c>
      <c r="C246" t="s">
        <v>1115</v>
      </c>
      <c r="D246">
        <v>1</v>
      </c>
      <c r="E246">
        <v>24</v>
      </c>
      <c r="F246">
        <v>247.2</v>
      </c>
      <c r="G246">
        <v>1</v>
      </c>
      <c r="H246">
        <v>247.2</v>
      </c>
    </row>
    <row r="247" spans="1:8">
      <c r="A247" t="s">
        <v>93</v>
      </c>
      <c r="B247" t="s">
        <v>1149</v>
      </c>
      <c r="C247" t="s">
        <v>1117</v>
      </c>
      <c r="D247">
        <v>1</v>
      </c>
      <c r="E247">
        <v>15</v>
      </c>
      <c r="F247">
        <v>195</v>
      </c>
      <c r="G247">
        <v>1</v>
      </c>
      <c r="H247">
        <v>195</v>
      </c>
    </row>
    <row r="248" spans="1:8">
      <c r="A248" t="s">
        <v>93</v>
      </c>
      <c r="B248" t="s">
        <v>508</v>
      </c>
      <c r="C248" t="s">
        <v>1115</v>
      </c>
      <c r="D248">
        <v>1</v>
      </c>
      <c r="E248">
        <v>10</v>
      </c>
      <c r="F248">
        <v>180</v>
      </c>
      <c r="G248">
        <v>1</v>
      </c>
      <c r="H248">
        <v>180</v>
      </c>
    </row>
    <row r="249" spans="1:8">
      <c r="A249" t="s">
        <v>93</v>
      </c>
      <c r="B249" t="s">
        <v>592</v>
      </c>
      <c r="C249" t="s">
        <v>1127</v>
      </c>
      <c r="D249">
        <v>1</v>
      </c>
      <c r="E249">
        <v>9</v>
      </c>
      <c r="F249">
        <v>167.4</v>
      </c>
      <c r="G249">
        <v>1</v>
      </c>
      <c r="H249">
        <v>167.4</v>
      </c>
    </row>
    <row r="250" spans="1:8">
      <c r="A250" t="s">
        <v>93</v>
      </c>
      <c r="B250" t="s">
        <v>727</v>
      </c>
      <c r="C250" t="s">
        <v>1125</v>
      </c>
      <c r="D250">
        <v>1</v>
      </c>
      <c r="E250">
        <v>20</v>
      </c>
      <c r="F250">
        <v>149</v>
      </c>
      <c r="G250">
        <v>1</v>
      </c>
      <c r="H250">
        <v>149</v>
      </c>
    </row>
    <row r="251" spans="1:8">
      <c r="A251" t="s">
        <v>93</v>
      </c>
      <c r="B251" t="s">
        <v>556</v>
      </c>
      <c r="C251" t="s">
        <v>1129</v>
      </c>
      <c r="D251">
        <v>1</v>
      </c>
      <c r="E251">
        <v>10</v>
      </c>
      <c r="F251">
        <v>147</v>
      </c>
      <c r="G251">
        <v>1</v>
      </c>
      <c r="H251">
        <v>147</v>
      </c>
    </row>
    <row r="252" spans="1:8">
      <c r="A252" t="s">
        <v>93</v>
      </c>
      <c r="B252" t="s">
        <v>556</v>
      </c>
      <c r="C252" t="s">
        <v>1127</v>
      </c>
      <c r="D252">
        <v>1</v>
      </c>
      <c r="E252">
        <v>4</v>
      </c>
      <c r="F252">
        <v>145.6</v>
      </c>
      <c r="G252">
        <v>1</v>
      </c>
      <c r="H252">
        <v>145.6</v>
      </c>
    </row>
    <row r="253" spans="1:8">
      <c r="A253" t="s">
        <v>93</v>
      </c>
      <c r="B253" t="s">
        <v>1168</v>
      </c>
      <c r="C253" t="s">
        <v>1129</v>
      </c>
      <c r="D253">
        <v>1</v>
      </c>
      <c r="E253">
        <v>14</v>
      </c>
      <c r="F253">
        <v>135.1</v>
      </c>
      <c r="G253">
        <v>1</v>
      </c>
      <c r="H253">
        <v>135.1</v>
      </c>
    </row>
    <row r="254" spans="1:8">
      <c r="A254" t="s">
        <v>93</v>
      </c>
      <c r="B254" t="s">
        <v>508</v>
      </c>
      <c r="C254" t="s">
        <v>1129</v>
      </c>
      <c r="D254">
        <v>1</v>
      </c>
      <c r="E254">
        <v>20</v>
      </c>
      <c r="F254">
        <v>120</v>
      </c>
      <c r="G254">
        <v>1</v>
      </c>
      <c r="H254">
        <v>120</v>
      </c>
    </row>
    <row r="255" spans="1:8">
      <c r="A255" t="s">
        <v>93</v>
      </c>
      <c r="B255" t="s">
        <v>645</v>
      </c>
      <c r="C255" t="s">
        <v>1129</v>
      </c>
      <c r="D255">
        <v>1</v>
      </c>
      <c r="E255">
        <v>18</v>
      </c>
      <c r="F255">
        <v>86.4</v>
      </c>
      <c r="G255">
        <v>1</v>
      </c>
      <c r="H255">
        <v>86.4</v>
      </c>
    </row>
    <row r="256" spans="1:8">
      <c r="A256" t="s">
        <v>93</v>
      </c>
      <c r="B256" t="s">
        <v>727</v>
      </c>
      <c r="C256" t="s">
        <v>1123</v>
      </c>
      <c r="D256">
        <v>1</v>
      </c>
      <c r="E256">
        <v>4</v>
      </c>
      <c r="F256">
        <v>78</v>
      </c>
      <c r="G256">
        <v>1</v>
      </c>
      <c r="H256">
        <v>78</v>
      </c>
    </row>
    <row r="257" spans="1:8">
      <c r="A257" t="s">
        <v>93</v>
      </c>
      <c r="B257" t="s">
        <v>1168</v>
      </c>
      <c r="C257" t="s">
        <v>1121</v>
      </c>
      <c r="D257">
        <v>1</v>
      </c>
      <c r="E257">
        <v>3</v>
      </c>
      <c r="F257">
        <v>27</v>
      </c>
      <c r="G257">
        <v>1</v>
      </c>
      <c r="H257">
        <v>27</v>
      </c>
    </row>
    <row r="258" spans="1:8">
      <c r="A258" t="s">
        <v>93</v>
      </c>
      <c r="B258" t="s">
        <v>92</v>
      </c>
      <c r="C258" t="s">
        <v>1129</v>
      </c>
      <c r="D258">
        <v>1</v>
      </c>
      <c r="E258">
        <v>2</v>
      </c>
      <c r="F258">
        <v>18</v>
      </c>
      <c r="G258">
        <v>1</v>
      </c>
      <c r="H258">
        <v>18</v>
      </c>
    </row>
    <row r="259" spans="1:8">
      <c r="A259" t="s">
        <v>552</v>
      </c>
      <c r="B259" t="s">
        <v>550</v>
      </c>
      <c r="C259" t="s">
        <v>1125</v>
      </c>
      <c r="D259">
        <v>5</v>
      </c>
      <c r="E259">
        <v>223</v>
      </c>
      <c r="F259">
        <v>20914.23</v>
      </c>
      <c r="G259">
        <v>1</v>
      </c>
      <c r="H259">
        <v>20914.23</v>
      </c>
    </row>
    <row r="260" spans="1:8">
      <c r="A260" t="s">
        <v>552</v>
      </c>
      <c r="B260" t="s">
        <v>550</v>
      </c>
      <c r="C260" t="s">
        <v>1121</v>
      </c>
      <c r="D260">
        <v>10</v>
      </c>
      <c r="E260">
        <v>387</v>
      </c>
      <c r="F260">
        <v>9010.11</v>
      </c>
      <c r="G260">
        <v>1</v>
      </c>
      <c r="H260">
        <v>9010.11</v>
      </c>
    </row>
    <row r="261" spans="1:8">
      <c r="A261" t="s">
        <v>552</v>
      </c>
      <c r="B261" t="s">
        <v>550</v>
      </c>
      <c r="C261" t="s">
        <v>1129</v>
      </c>
      <c r="D261">
        <v>9</v>
      </c>
      <c r="E261">
        <v>360</v>
      </c>
      <c r="F261">
        <v>5976.23</v>
      </c>
      <c r="G261">
        <v>1</v>
      </c>
      <c r="H261">
        <v>5976.23</v>
      </c>
    </row>
    <row r="262" spans="1:8">
      <c r="A262" t="s">
        <v>552</v>
      </c>
      <c r="B262" t="s">
        <v>550</v>
      </c>
      <c r="C262" t="s">
        <v>1117</v>
      </c>
      <c r="D262">
        <v>5</v>
      </c>
      <c r="E262">
        <v>180</v>
      </c>
      <c r="F262">
        <v>3477.62</v>
      </c>
      <c r="G262">
        <v>1</v>
      </c>
      <c r="H262">
        <v>3477.62</v>
      </c>
    </row>
    <row r="263" spans="1:8">
      <c r="A263" t="s">
        <v>552</v>
      </c>
      <c r="B263" t="s">
        <v>550</v>
      </c>
      <c r="C263" t="s">
        <v>1127</v>
      </c>
      <c r="D263">
        <v>3</v>
      </c>
      <c r="E263">
        <v>121</v>
      </c>
      <c r="F263">
        <v>3414.66</v>
      </c>
      <c r="G263">
        <v>1</v>
      </c>
      <c r="H263">
        <v>3414.66</v>
      </c>
    </row>
    <row r="264" spans="1:8">
      <c r="A264" t="s">
        <v>552</v>
      </c>
      <c r="B264" t="s">
        <v>550</v>
      </c>
      <c r="C264" t="s">
        <v>1115</v>
      </c>
      <c r="D264">
        <v>8</v>
      </c>
      <c r="E264">
        <v>170</v>
      </c>
      <c r="F264">
        <v>2725.32</v>
      </c>
      <c r="G264">
        <v>1</v>
      </c>
      <c r="H264">
        <v>2725.32</v>
      </c>
    </row>
    <row r="265" spans="1:8">
      <c r="A265" t="s">
        <v>552</v>
      </c>
      <c r="B265" t="s">
        <v>550</v>
      </c>
      <c r="C265" t="s">
        <v>1119</v>
      </c>
      <c r="D265">
        <v>3</v>
      </c>
      <c r="E265">
        <v>91</v>
      </c>
      <c r="F265">
        <v>1676.38</v>
      </c>
      <c r="G265">
        <v>1</v>
      </c>
      <c r="H265">
        <v>1676.38</v>
      </c>
    </row>
    <row r="266" spans="1:8">
      <c r="A266" t="s">
        <v>552</v>
      </c>
      <c r="B266" t="s">
        <v>550</v>
      </c>
      <c r="C266" t="s">
        <v>1123</v>
      </c>
      <c r="D266">
        <v>3</v>
      </c>
      <c r="E266">
        <v>52</v>
      </c>
      <c r="F266">
        <v>1442.4</v>
      </c>
      <c r="G266">
        <v>1</v>
      </c>
      <c r="H266">
        <v>1442.4</v>
      </c>
    </row>
    <row r="267" spans="1:8">
      <c r="A267" t="s">
        <v>113</v>
      </c>
      <c r="B267" t="s">
        <v>534</v>
      </c>
      <c r="C267" t="s">
        <v>1121</v>
      </c>
      <c r="D267">
        <v>4</v>
      </c>
      <c r="E267">
        <v>92</v>
      </c>
      <c r="F267">
        <v>2080.94</v>
      </c>
      <c r="G267">
        <v>1</v>
      </c>
      <c r="H267">
        <v>2080.94</v>
      </c>
    </row>
    <row r="268" spans="1:8">
      <c r="A268" t="s">
        <v>113</v>
      </c>
      <c r="B268" t="s">
        <v>501</v>
      </c>
      <c r="C268" t="s">
        <v>1121</v>
      </c>
      <c r="D268">
        <v>3</v>
      </c>
      <c r="E268">
        <v>56</v>
      </c>
      <c r="F268">
        <v>1778.2</v>
      </c>
      <c r="G268">
        <v>1</v>
      </c>
      <c r="H268">
        <v>1778.2</v>
      </c>
    </row>
    <row r="269" spans="1:8">
      <c r="A269" t="s">
        <v>113</v>
      </c>
      <c r="B269" t="s">
        <v>501</v>
      </c>
      <c r="C269" t="s">
        <v>1119</v>
      </c>
      <c r="D269">
        <v>3</v>
      </c>
      <c r="E269">
        <v>92</v>
      </c>
      <c r="F269">
        <v>1500.05</v>
      </c>
      <c r="G269">
        <v>1</v>
      </c>
      <c r="H269">
        <v>1500.05</v>
      </c>
    </row>
    <row r="270" spans="1:8">
      <c r="A270" t="s">
        <v>113</v>
      </c>
      <c r="B270" t="s">
        <v>501</v>
      </c>
      <c r="C270" t="s">
        <v>1123</v>
      </c>
      <c r="D270">
        <v>2</v>
      </c>
      <c r="E270">
        <v>80</v>
      </c>
      <c r="F270">
        <v>1265.5999999999999</v>
      </c>
      <c r="G270">
        <v>1</v>
      </c>
      <c r="H270">
        <v>1265.5999999999999</v>
      </c>
    </row>
    <row r="271" spans="1:8">
      <c r="A271" t="s">
        <v>113</v>
      </c>
      <c r="B271" t="s">
        <v>534</v>
      </c>
      <c r="C271" t="s">
        <v>1119</v>
      </c>
      <c r="D271">
        <v>3</v>
      </c>
      <c r="E271">
        <v>41</v>
      </c>
      <c r="F271">
        <v>1030.7</v>
      </c>
      <c r="G271">
        <v>1</v>
      </c>
      <c r="H271">
        <v>1030.7</v>
      </c>
    </row>
    <row r="272" spans="1:8">
      <c r="A272" t="s">
        <v>113</v>
      </c>
      <c r="B272" t="s">
        <v>534</v>
      </c>
      <c r="C272" t="s">
        <v>1127</v>
      </c>
      <c r="D272">
        <v>2</v>
      </c>
      <c r="E272">
        <v>32</v>
      </c>
      <c r="F272">
        <v>1006.8</v>
      </c>
      <c r="G272">
        <v>1</v>
      </c>
      <c r="H272">
        <v>1006.8</v>
      </c>
    </row>
    <row r="273" spans="1:8">
      <c r="A273" t="s">
        <v>113</v>
      </c>
      <c r="B273" t="s">
        <v>501</v>
      </c>
      <c r="C273" t="s">
        <v>1117</v>
      </c>
      <c r="D273">
        <v>3</v>
      </c>
      <c r="E273">
        <v>60</v>
      </c>
      <c r="F273">
        <v>1004.22</v>
      </c>
      <c r="G273">
        <v>1</v>
      </c>
      <c r="H273">
        <v>1004.22</v>
      </c>
    </row>
    <row r="274" spans="1:8">
      <c r="A274" t="s">
        <v>113</v>
      </c>
      <c r="B274" t="s">
        <v>501</v>
      </c>
      <c r="C274" t="s">
        <v>1129</v>
      </c>
      <c r="D274">
        <v>3</v>
      </c>
      <c r="E274">
        <v>53</v>
      </c>
      <c r="F274">
        <v>818.2</v>
      </c>
      <c r="G274">
        <v>1</v>
      </c>
      <c r="H274">
        <v>818.2</v>
      </c>
    </row>
    <row r="275" spans="1:8">
      <c r="A275" t="s">
        <v>113</v>
      </c>
      <c r="B275" t="s">
        <v>501</v>
      </c>
      <c r="C275" t="s">
        <v>1115</v>
      </c>
      <c r="D275">
        <v>4</v>
      </c>
      <c r="E275">
        <v>92</v>
      </c>
      <c r="F275">
        <v>809.94</v>
      </c>
      <c r="G275">
        <v>1</v>
      </c>
      <c r="H275">
        <v>809.94</v>
      </c>
    </row>
    <row r="276" spans="1:8">
      <c r="A276" t="s">
        <v>113</v>
      </c>
      <c r="B276" t="s">
        <v>534</v>
      </c>
      <c r="C276" t="s">
        <v>1125</v>
      </c>
      <c r="D276">
        <v>2</v>
      </c>
      <c r="E276">
        <v>30</v>
      </c>
      <c r="F276">
        <v>794.1</v>
      </c>
      <c r="G276">
        <v>1</v>
      </c>
      <c r="H276">
        <v>794.1</v>
      </c>
    </row>
    <row r="277" spans="1:8">
      <c r="A277" t="s">
        <v>113</v>
      </c>
      <c r="B277" t="s">
        <v>534</v>
      </c>
      <c r="C277" t="s">
        <v>1123</v>
      </c>
      <c r="D277">
        <v>3</v>
      </c>
      <c r="E277">
        <v>28</v>
      </c>
      <c r="F277">
        <v>477.9</v>
      </c>
      <c r="G277">
        <v>1</v>
      </c>
      <c r="H277">
        <v>477.9</v>
      </c>
    </row>
    <row r="278" spans="1:8">
      <c r="A278" t="s">
        <v>113</v>
      </c>
      <c r="B278" t="s">
        <v>534</v>
      </c>
      <c r="C278" t="s">
        <v>1129</v>
      </c>
      <c r="D278">
        <v>2</v>
      </c>
      <c r="E278">
        <v>40</v>
      </c>
      <c r="F278">
        <v>346.4</v>
      </c>
      <c r="G278">
        <v>1</v>
      </c>
      <c r="H278">
        <v>346.4</v>
      </c>
    </row>
    <row r="279" spans="1:8">
      <c r="A279" t="s">
        <v>113</v>
      </c>
      <c r="B279" t="s">
        <v>534</v>
      </c>
      <c r="C279" t="s">
        <v>1117</v>
      </c>
      <c r="D279">
        <v>1</v>
      </c>
      <c r="E279">
        <v>20</v>
      </c>
      <c r="F279">
        <v>260</v>
      </c>
      <c r="G279">
        <v>1</v>
      </c>
      <c r="H279">
        <v>260</v>
      </c>
    </row>
    <row r="280" spans="1:8">
      <c r="A280" t="s">
        <v>113</v>
      </c>
      <c r="B280" t="s">
        <v>702</v>
      </c>
      <c r="C280" t="s">
        <v>1119</v>
      </c>
      <c r="D280">
        <v>2</v>
      </c>
      <c r="E280">
        <v>12</v>
      </c>
      <c r="F280">
        <v>143.30000000000001</v>
      </c>
      <c r="G280">
        <v>1</v>
      </c>
      <c r="H280">
        <v>143.30000000000001</v>
      </c>
    </row>
    <row r="281" spans="1:8">
      <c r="A281" t="s">
        <v>113</v>
      </c>
      <c r="B281" t="s">
        <v>702</v>
      </c>
      <c r="C281" t="s">
        <v>1129</v>
      </c>
      <c r="D281">
        <v>2</v>
      </c>
      <c r="E281">
        <v>5</v>
      </c>
      <c r="F281">
        <v>56.4</v>
      </c>
      <c r="G281">
        <v>1</v>
      </c>
      <c r="H281">
        <v>56.4</v>
      </c>
    </row>
    <row r="282" spans="1:8">
      <c r="A282" t="s">
        <v>113</v>
      </c>
      <c r="B282" t="s">
        <v>702</v>
      </c>
      <c r="C282" t="s">
        <v>1127</v>
      </c>
      <c r="D282">
        <v>1</v>
      </c>
      <c r="E282">
        <v>5</v>
      </c>
      <c r="F282">
        <v>50</v>
      </c>
      <c r="G282">
        <v>1</v>
      </c>
      <c r="H282">
        <v>50</v>
      </c>
    </row>
    <row r="283" spans="1:8">
      <c r="A283" t="s">
        <v>448</v>
      </c>
      <c r="B283" t="s">
        <v>1162</v>
      </c>
      <c r="C283" t="s">
        <v>1115</v>
      </c>
      <c r="D283">
        <v>13</v>
      </c>
      <c r="E283">
        <v>255</v>
      </c>
      <c r="F283">
        <v>7544</v>
      </c>
      <c r="G283">
        <v>4</v>
      </c>
      <c r="H283">
        <v>1886</v>
      </c>
    </row>
    <row r="284" spans="1:8">
      <c r="A284" t="s">
        <v>448</v>
      </c>
      <c r="B284" t="s">
        <v>1162</v>
      </c>
      <c r="C284" t="s">
        <v>1121</v>
      </c>
      <c r="D284">
        <v>13</v>
      </c>
      <c r="E284">
        <v>241</v>
      </c>
      <c r="F284">
        <v>4511.8999999999996</v>
      </c>
      <c r="G284">
        <v>4</v>
      </c>
      <c r="H284">
        <v>1127.97</v>
      </c>
    </row>
    <row r="285" spans="1:8">
      <c r="A285" t="s">
        <v>448</v>
      </c>
      <c r="B285" t="s">
        <v>1162</v>
      </c>
      <c r="C285" t="s">
        <v>1125</v>
      </c>
      <c r="D285">
        <v>5</v>
      </c>
      <c r="E285">
        <v>81</v>
      </c>
      <c r="F285">
        <v>2828.9</v>
      </c>
      <c r="G285">
        <v>3</v>
      </c>
      <c r="H285">
        <v>942.97</v>
      </c>
    </row>
    <row r="286" spans="1:8">
      <c r="A286" t="s">
        <v>448</v>
      </c>
      <c r="B286" t="s">
        <v>1162</v>
      </c>
      <c r="C286" t="s">
        <v>1127</v>
      </c>
      <c r="D286">
        <v>4</v>
      </c>
      <c r="E286">
        <v>67</v>
      </c>
      <c r="F286">
        <v>2517.75</v>
      </c>
      <c r="G286">
        <v>3</v>
      </c>
      <c r="H286">
        <v>839.25</v>
      </c>
    </row>
    <row r="287" spans="1:8">
      <c r="A287" t="s">
        <v>448</v>
      </c>
      <c r="B287" t="s">
        <v>1162</v>
      </c>
      <c r="C287" t="s">
        <v>1119</v>
      </c>
      <c r="D287">
        <v>7</v>
      </c>
      <c r="E287">
        <v>119</v>
      </c>
      <c r="F287">
        <v>1897.73</v>
      </c>
      <c r="G287">
        <v>4</v>
      </c>
      <c r="H287">
        <v>474.43</v>
      </c>
    </row>
    <row r="288" spans="1:8">
      <c r="A288" t="s">
        <v>448</v>
      </c>
      <c r="B288" t="s">
        <v>1162</v>
      </c>
      <c r="C288" t="s">
        <v>1129</v>
      </c>
      <c r="D288">
        <v>8</v>
      </c>
      <c r="E288">
        <v>102</v>
      </c>
      <c r="F288">
        <v>1836.6</v>
      </c>
      <c r="G288">
        <v>5</v>
      </c>
      <c r="H288">
        <v>367.32</v>
      </c>
    </row>
    <row r="289" spans="1:8">
      <c r="A289" t="s">
        <v>448</v>
      </c>
      <c r="B289" t="s">
        <v>1162</v>
      </c>
      <c r="C289" t="s">
        <v>1117</v>
      </c>
      <c r="D289">
        <v>5</v>
      </c>
      <c r="E289">
        <v>60</v>
      </c>
      <c r="F289">
        <v>1235.45</v>
      </c>
      <c r="G289">
        <v>2</v>
      </c>
      <c r="H289">
        <v>617.72</v>
      </c>
    </row>
    <row r="290" spans="1:8">
      <c r="A290" t="s">
        <v>448</v>
      </c>
      <c r="B290" t="s">
        <v>1162</v>
      </c>
      <c r="C290" t="s">
        <v>1123</v>
      </c>
      <c r="D290">
        <v>4</v>
      </c>
      <c r="E290">
        <v>50</v>
      </c>
      <c r="F290">
        <v>549.75</v>
      </c>
      <c r="G290">
        <v>3</v>
      </c>
      <c r="H290">
        <v>183.25</v>
      </c>
    </row>
    <row r="291" spans="1:8">
      <c r="A291" t="s">
        <v>121</v>
      </c>
      <c r="B291" t="s">
        <v>678</v>
      </c>
      <c r="C291" t="s">
        <v>1115</v>
      </c>
      <c r="D291">
        <v>3</v>
      </c>
      <c r="E291">
        <v>48</v>
      </c>
      <c r="F291">
        <v>2756</v>
      </c>
      <c r="G291">
        <v>1</v>
      </c>
      <c r="H291">
        <v>2756</v>
      </c>
    </row>
    <row r="292" spans="1:8">
      <c r="A292" t="s">
        <v>121</v>
      </c>
      <c r="B292" t="s">
        <v>678</v>
      </c>
      <c r="C292" t="s">
        <v>1121</v>
      </c>
      <c r="D292">
        <v>1</v>
      </c>
      <c r="E292">
        <v>27</v>
      </c>
      <c r="F292">
        <v>786</v>
      </c>
      <c r="G292">
        <v>1</v>
      </c>
      <c r="H292">
        <v>786</v>
      </c>
    </row>
    <row r="293" spans="1:8">
      <c r="A293" t="s">
        <v>121</v>
      </c>
      <c r="B293" t="s">
        <v>678</v>
      </c>
      <c r="C293" t="s">
        <v>1127</v>
      </c>
      <c r="D293">
        <v>2</v>
      </c>
      <c r="E293">
        <v>18</v>
      </c>
      <c r="F293">
        <v>578.4</v>
      </c>
      <c r="G293">
        <v>1</v>
      </c>
      <c r="H293">
        <v>578.4</v>
      </c>
    </row>
    <row r="294" spans="1:8">
      <c r="A294" t="s">
        <v>121</v>
      </c>
      <c r="B294" t="s">
        <v>678</v>
      </c>
      <c r="C294" t="s">
        <v>1129</v>
      </c>
      <c r="D294">
        <v>2</v>
      </c>
      <c r="E294">
        <v>13</v>
      </c>
      <c r="F294">
        <v>548.25</v>
      </c>
      <c r="G294">
        <v>1</v>
      </c>
      <c r="H294">
        <v>548.25</v>
      </c>
    </row>
    <row r="295" spans="1:8">
      <c r="A295" t="s">
        <v>121</v>
      </c>
      <c r="B295" t="s">
        <v>678</v>
      </c>
      <c r="C295" t="s">
        <v>1119</v>
      </c>
      <c r="D295">
        <v>2</v>
      </c>
      <c r="E295">
        <v>17</v>
      </c>
      <c r="F295">
        <v>280.14999999999998</v>
      </c>
      <c r="G295">
        <v>1</v>
      </c>
      <c r="H295">
        <v>280.14999999999998</v>
      </c>
    </row>
    <row r="296" spans="1:8">
      <c r="A296" t="s">
        <v>121</v>
      </c>
      <c r="B296" t="s">
        <v>678</v>
      </c>
      <c r="C296" t="s">
        <v>1125</v>
      </c>
      <c r="D296">
        <v>1</v>
      </c>
      <c r="E296">
        <v>5</v>
      </c>
      <c r="F296">
        <v>164</v>
      </c>
      <c r="G296">
        <v>1</v>
      </c>
      <c r="H296">
        <v>164</v>
      </c>
    </row>
    <row r="297" spans="1:8">
      <c r="A297" t="s">
        <v>670</v>
      </c>
      <c r="B297" t="s">
        <v>668</v>
      </c>
      <c r="C297" t="s">
        <v>1115</v>
      </c>
      <c r="D297">
        <v>4</v>
      </c>
      <c r="E297">
        <v>71</v>
      </c>
      <c r="F297">
        <v>828.5</v>
      </c>
      <c r="G297">
        <v>1</v>
      </c>
      <c r="H297">
        <v>828.5</v>
      </c>
    </row>
    <row r="298" spans="1:8">
      <c r="A298" t="s">
        <v>670</v>
      </c>
      <c r="B298" t="s">
        <v>668</v>
      </c>
      <c r="C298" t="s">
        <v>1121</v>
      </c>
      <c r="D298">
        <v>2</v>
      </c>
      <c r="E298">
        <v>45</v>
      </c>
      <c r="F298">
        <v>810</v>
      </c>
      <c r="G298">
        <v>1</v>
      </c>
      <c r="H298">
        <v>810</v>
      </c>
    </row>
    <row r="299" spans="1:8">
      <c r="A299" t="s">
        <v>670</v>
      </c>
      <c r="B299" t="s">
        <v>668</v>
      </c>
      <c r="C299" t="s">
        <v>1117</v>
      </c>
      <c r="D299">
        <v>2</v>
      </c>
      <c r="E299">
        <v>22</v>
      </c>
      <c r="F299">
        <v>627</v>
      </c>
      <c r="G299">
        <v>1</v>
      </c>
      <c r="H299">
        <v>627</v>
      </c>
    </row>
    <row r="300" spans="1:8">
      <c r="A300" t="s">
        <v>670</v>
      </c>
      <c r="B300" t="s">
        <v>668</v>
      </c>
      <c r="C300" t="s">
        <v>1127</v>
      </c>
      <c r="D300">
        <v>2</v>
      </c>
      <c r="E300">
        <v>22</v>
      </c>
      <c r="F300">
        <v>306</v>
      </c>
      <c r="G300">
        <v>1</v>
      </c>
      <c r="H300">
        <v>306</v>
      </c>
    </row>
    <row r="301" spans="1:8">
      <c r="A301" t="s">
        <v>670</v>
      </c>
      <c r="B301" t="s">
        <v>668</v>
      </c>
      <c r="C301" t="s">
        <v>1119</v>
      </c>
      <c r="D301">
        <v>1</v>
      </c>
      <c r="E301">
        <v>15</v>
      </c>
      <c r="F301">
        <v>187.5</v>
      </c>
      <c r="G301">
        <v>1</v>
      </c>
      <c r="H301">
        <v>187.5</v>
      </c>
    </row>
    <row r="302" spans="1:8">
      <c r="A302" t="s">
        <v>670</v>
      </c>
      <c r="B302" t="s">
        <v>668</v>
      </c>
      <c r="C302" t="s">
        <v>1129</v>
      </c>
      <c r="D302">
        <v>1</v>
      </c>
      <c r="E302">
        <v>15</v>
      </c>
      <c r="F302">
        <v>159</v>
      </c>
      <c r="G302">
        <v>1</v>
      </c>
      <c r="H302">
        <v>159</v>
      </c>
    </row>
    <row r="303" spans="1:8">
      <c r="A303" t="s">
        <v>670</v>
      </c>
      <c r="B303" t="s">
        <v>668</v>
      </c>
      <c r="C303" t="s">
        <v>1125</v>
      </c>
      <c r="D303">
        <v>1</v>
      </c>
      <c r="E303">
        <v>3</v>
      </c>
      <c r="F303">
        <v>22.35</v>
      </c>
      <c r="G303">
        <v>1</v>
      </c>
      <c r="H303">
        <v>22.35</v>
      </c>
    </row>
    <row r="304" spans="1:8">
      <c r="A304" t="s">
        <v>605</v>
      </c>
      <c r="B304" t="s">
        <v>604</v>
      </c>
      <c r="C304" t="s">
        <v>1117</v>
      </c>
      <c r="D304">
        <v>7</v>
      </c>
      <c r="E304">
        <v>181</v>
      </c>
      <c r="F304">
        <v>3688.29</v>
      </c>
      <c r="G304">
        <v>2</v>
      </c>
      <c r="H304">
        <v>1844.15</v>
      </c>
    </row>
    <row r="305" spans="1:8">
      <c r="A305" t="s">
        <v>605</v>
      </c>
      <c r="B305" t="s">
        <v>604</v>
      </c>
      <c r="C305" t="s">
        <v>1123</v>
      </c>
      <c r="D305">
        <v>4</v>
      </c>
      <c r="E305">
        <v>84</v>
      </c>
      <c r="F305">
        <v>2164.4</v>
      </c>
      <c r="G305">
        <v>2</v>
      </c>
      <c r="H305">
        <v>1082.2</v>
      </c>
    </row>
    <row r="306" spans="1:8">
      <c r="A306" t="s">
        <v>605</v>
      </c>
      <c r="B306" t="s">
        <v>604</v>
      </c>
      <c r="C306" t="s">
        <v>1125</v>
      </c>
      <c r="D306">
        <v>2</v>
      </c>
      <c r="E306">
        <v>30</v>
      </c>
      <c r="F306">
        <v>1338.2</v>
      </c>
      <c r="G306">
        <v>2</v>
      </c>
      <c r="H306">
        <v>669.1</v>
      </c>
    </row>
    <row r="307" spans="1:8">
      <c r="A307" t="s">
        <v>605</v>
      </c>
      <c r="B307" t="s">
        <v>604</v>
      </c>
      <c r="C307" t="s">
        <v>1115</v>
      </c>
      <c r="D307">
        <v>5</v>
      </c>
      <c r="E307">
        <v>78</v>
      </c>
      <c r="F307">
        <v>1046.4000000000001</v>
      </c>
      <c r="G307">
        <v>2</v>
      </c>
      <c r="H307">
        <v>523.20000000000005</v>
      </c>
    </row>
    <row r="308" spans="1:8">
      <c r="A308" t="s">
        <v>605</v>
      </c>
      <c r="B308" t="s">
        <v>604</v>
      </c>
      <c r="C308" t="s">
        <v>1121</v>
      </c>
      <c r="D308">
        <v>3</v>
      </c>
      <c r="E308">
        <v>31</v>
      </c>
      <c r="F308">
        <v>997.8</v>
      </c>
      <c r="G308">
        <v>1</v>
      </c>
      <c r="H308">
        <v>997.8</v>
      </c>
    </row>
    <row r="309" spans="1:8">
      <c r="A309" t="s">
        <v>605</v>
      </c>
      <c r="B309" t="s">
        <v>604</v>
      </c>
      <c r="C309" t="s">
        <v>1119</v>
      </c>
      <c r="D309">
        <v>5</v>
      </c>
      <c r="E309">
        <v>87</v>
      </c>
      <c r="F309">
        <v>956.15</v>
      </c>
      <c r="G309">
        <v>2</v>
      </c>
      <c r="H309">
        <v>478.08</v>
      </c>
    </row>
    <row r="310" spans="1:8">
      <c r="A310" t="s">
        <v>605</v>
      </c>
      <c r="B310" t="s">
        <v>604</v>
      </c>
      <c r="C310" t="s">
        <v>1127</v>
      </c>
      <c r="D310">
        <v>1</v>
      </c>
      <c r="E310">
        <v>18</v>
      </c>
      <c r="F310">
        <v>648.72</v>
      </c>
      <c r="G310">
        <v>1</v>
      </c>
      <c r="H310">
        <v>648.72</v>
      </c>
    </row>
    <row r="311" spans="1:8">
      <c r="A311" t="s">
        <v>605</v>
      </c>
      <c r="B311" t="s">
        <v>604</v>
      </c>
      <c r="C311" t="s">
        <v>1129</v>
      </c>
      <c r="D311">
        <v>1</v>
      </c>
      <c r="E311">
        <v>24</v>
      </c>
      <c r="F311">
        <v>632.4</v>
      </c>
      <c r="G311">
        <v>1</v>
      </c>
      <c r="H311">
        <v>632.4</v>
      </c>
    </row>
    <row r="312" spans="1:8">
      <c r="A312" t="s">
        <v>50</v>
      </c>
      <c r="B312" t="s">
        <v>560</v>
      </c>
      <c r="C312" t="s">
        <v>1125</v>
      </c>
      <c r="D312">
        <v>5</v>
      </c>
      <c r="E312">
        <v>54</v>
      </c>
      <c r="F312">
        <v>3548.6</v>
      </c>
      <c r="G312">
        <v>1</v>
      </c>
      <c r="H312">
        <v>3548.6</v>
      </c>
    </row>
    <row r="313" spans="1:8">
      <c r="A313" t="s">
        <v>50</v>
      </c>
      <c r="B313" t="s">
        <v>521</v>
      </c>
      <c r="C313" t="s">
        <v>1125</v>
      </c>
      <c r="D313">
        <v>2</v>
      </c>
      <c r="E313">
        <v>75</v>
      </c>
      <c r="F313">
        <v>3318.35</v>
      </c>
      <c r="G313">
        <v>2</v>
      </c>
      <c r="H313">
        <v>1659.18</v>
      </c>
    </row>
    <row r="314" spans="1:8">
      <c r="A314" t="s">
        <v>50</v>
      </c>
      <c r="B314" t="s">
        <v>560</v>
      </c>
      <c r="C314" t="s">
        <v>1127</v>
      </c>
      <c r="D314">
        <v>1</v>
      </c>
      <c r="E314">
        <v>40</v>
      </c>
      <c r="F314">
        <v>2120</v>
      </c>
      <c r="G314">
        <v>1</v>
      </c>
      <c r="H314">
        <v>2120</v>
      </c>
    </row>
    <row r="315" spans="1:8">
      <c r="A315" t="s">
        <v>50</v>
      </c>
      <c r="B315" t="s">
        <v>560</v>
      </c>
      <c r="C315" t="s">
        <v>1119</v>
      </c>
      <c r="D315">
        <v>5</v>
      </c>
      <c r="E315">
        <v>78</v>
      </c>
      <c r="F315">
        <v>1588.95</v>
      </c>
      <c r="G315">
        <v>1</v>
      </c>
      <c r="H315">
        <v>1588.95</v>
      </c>
    </row>
    <row r="316" spans="1:8">
      <c r="A316" t="s">
        <v>50</v>
      </c>
      <c r="B316" t="s">
        <v>560</v>
      </c>
      <c r="C316" t="s">
        <v>1117</v>
      </c>
      <c r="D316">
        <v>3</v>
      </c>
      <c r="E316">
        <v>61</v>
      </c>
      <c r="F316">
        <v>1130.05</v>
      </c>
      <c r="G316">
        <v>1</v>
      </c>
      <c r="H316">
        <v>1130.05</v>
      </c>
    </row>
    <row r="317" spans="1:8">
      <c r="A317" t="s">
        <v>50</v>
      </c>
      <c r="B317" t="s">
        <v>560</v>
      </c>
      <c r="C317" t="s">
        <v>1129</v>
      </c>
      <c r="D317">
        <v>2</v>
      </c>
      <c r="E317">
        <v>50</v>
      </c>
      <c r="F317">
        <v>839.2</v>
      </c>
      <c r="G317">
        <v>1</v>
      </c>
      <c r="H317">
        <v>839.2</v>
      </c>
    </row>
    <row r="318" spans="1:8">
      <c r="A318" t="s">
        <v>50</v>
      </c>
      <c r="B318" t="s">
        <v>560</v>
      </c>
      <c r="C318" t="s">
        <v>1123</v>
      </c>
      <c r="D318">
        <v>2</v>
      </c>
      <c r="E318">
        <v>24</v>
      </c>
      <c r="F318">
        <v>773.06</v>
      </c>
      <c r="G318">
        <v>1</v>
      </c>
      <c r="H318">
        <v>773.06</v>
      </c>
    </row>
    <row r="319" spans="1:8">
      <c r="A319" t="s">
        <v>50</v>
      </c>
      <c r="B319" t="s">
        <v>560</v>
      </c>
      <c r="C319" t="s">
        <v>1115</v>
      </c>
      <c r="D319">
        <v>2</v>
      </c>
      <c r="E319">
        <v>45</v>
      </c>
      <c r="F319">
        <v>770</v>
      </c>
      <c r="G319">
        <v>1</v>
      </c>
      <c r="H319">
        <v>770</v>
      </c>
    </row>
    <row r="320" spans="1:8">
      <c r="A320" t="s">
        <v>50</v>
      </c>
      <c r="B320" t="s">
        <v>521</v>
      </c>
      <c r="C320" t="s">
        <v>1123</v>
      </c>
      <c r="D320">
        <v>3</v>
      </c>
      <c r="E320">
        <v>58</v>
      </c>
      <c r="F320">
        <v>504.8</v>
      </c>
      <c r="G320">
        <v>2</v>
      </c>
      <c r="H320">
        <v>252.4</v>
      </c>
    </row>
    <row r="321" spans="1:8">
      <c r="A321" t="s">
        <v>50</v>
      </c>
      <c r="B321" t="s">
        <v>521</v>
      </c>
      <c r="C321" t="s">
        <v>1117</v>
      </c>
      <c r="D321">
        <v>1</v>
      </c>
      <c r="E321">
        <v>24</v>
      </c>
      <c r="F321">
        <v>422.4</v>
      </c>
      <c r="G321">
        <v>1</v>
      </c>
      <c r="H321">
        <v>422.4</v>
      </c>
    </row>
    <row r="322" spans="1:8">
      <c r="A322" t="s">
        <v>50</v>
      </c>
      <c r="B322" t="s">
        <v>521</v>
      </c>
      <c r="C322" t="s">
        <v>1115</v>
      </c>
      <c r="D322">
        <v>2</v>
      </c>
      <c r="E322">
        <v>60</v>
      </c>
      <c r="F322">
        <v>389.2</v>
      </c>
      <c r="G322">
        <v>2</v>
      </c>
      <c r="H322">
        <v>194.6</v>
      </c>
    </row>
    <row r="323" spans="1:8">
      <c r="A323" t="s">
        <v>50</v>
      </c>
      <c r="B323" t="s">
        <v>521</v>
      </c>
      <c r="C323" t="s">
        <v>1129</v>
      </c>
      <c r="D323">
        <v>3</v>
      </c>
      <c r="E323">
        <v>17</v>
      </c>
      <c r="F323">
        <v>357.09</v>
      </c>
      <c r="G323">
        <v>1</v>
      </c>
      <c r="H323">
        <v>357.09</v>
      </c>
    </row>
    <row r="324" spans="1:8">
      <c r="A324" t="s">
        <v>50</v>
      </c>
      <c r="B324" t="s">
        <v>521</v>
      </c>
      <c r="C324" t="s">
        <v>1121</v>
      </c>
      <c r="D324">
        <v>1</v>
      </c>
      <c r="E324">
        <v>10</v>
      </c>
      <c r="F324">
        <v>340</v>
      </c>
      <c r="G324">
        <v>1</v>
      </c>
      <c r="H324">
        <v>340</v>
      </c>
    </row>
    <row r="325" spans="1:8">
      <c r="A325" t="s">
        <v>50</v>
      </c>
      <c r="B325" t="s">
        <v>656</v>
      </c>
      <c r="C325" t="s">
        <v>1123</v>
      </c>
      <c r="D325">
        <v>1</v>
      </c>
      <c r="E325">
        <v>12</v>
      </c>
      <c r="F325">
        <v>338.2</v>
      </c>
      <c r="G325">
        <v>1</v>
      </c>
      <c r="H325">
        <v>338.2</v>
      </c>
    </row>
    <row r="326" spans="1:8">
      <c r="A326" t="s">
        <v>50</v>
      </c>
      <c r="B326" t="s">
        <v>656</v>
      </c>
      <c r="C326" t="s">
        <v>1129</v>
      </c>
      <c r="D326">
        <v>1</v>
      </c>
      <c r="E326">
        <v>5</v>
      </c>
      <c r="F326">
        <v>155</v>
      </c>
      <c r="G326">
        <v>1</v>
      </c>
      <c r="H326">
        <v>155</v>
      </c>
    </row>
    <row r="327" spans="1:8">
      <c r="A327" t="s">
        <v>50</v>
      </c>
      <c r="B327" t="s">
        <v>656</v>
      </c>
      <c r="C327" t="s">
        <v>1117</v>
      </c>
      <c r="D327">
        <v>1</v>
      </c>
      <c r="E327">
        <v>10</v>
      </c>
      <c r="F327">
        <v>136</v>
      </c>
      <c r="G327">
        <v>1</v>
      </c>
      <c r="H327">
        <v>136</v>
      </c>
    </row>
    <row r="328" spans="1:8">
      <c r="A328" t="s">
        <v>50</v>
      </c>
      <c r="B328" t="s">
        <v>656</v>
      </c>
      <c r="C328" t="s">
        <v>1119</v>
      </c>
      <c r="D328">
        <v>2</v>
      </c>
      <c r="E328">
        <v>10</v>
      </c>
      <c r="F328">
        <v>117.5</v>
      </c>
      <c r="G328">
        <v>1</v>
      </c>
      <c r="H328">
        <v>117.5</v>
      </c>
    </row>
    <row r="329" spans="1:8">
      <c r="A329" t="s">
        <v>50</v>
      </c>
      <c r="B329" t="s">
        <v>656</v>
      </c>
      <c r="C329" t="s">
        <v>1115</v>
      </c>
      <c r="D329">
        <v>1</v>
      </c>
      <c r="E329">
        <v>5</v>
      </c>
      <c r="F329">
        <v>90</v>
      </c>
      <c r="G329">
        <v>1</v>
      </c>
      <c r="H329">
        <v>90</v>
      </c>
    </row>
    <row r="330" spans="1:8">
      <c r="A330" t="s">
        <v>50</v>
      </c>
      <c r="B330" t="s">
        <v>521</v>
      </c>
      <c r="C330" t="s">
        <v>1119</v>
      </c>
      <c r="D330">
        <v>1</v>
      </c>
      <c r="E330">
        <v>1</v>
      </c>
      <c r="F330">
        <v>7.3</v>
      </c>
      <c r="G330">
        <v>1</v>
      </c>
      <c r="H330">
        <v>7.3</v>
      </c>
    </row>
    <row r="331" spans="1:8">
      <c r="A331" t="s">
        <v>79</v>
      </c>
      <c r="B331" t="s">
        <v>1148</v>
      </c>
      <c r="C331" t="s">
        <v>1115</v>
      </c>
      <c r="D331">
        <v>11</v>
      </c>
      <c r="E331">
        <v>255</v>
      </c>
      <c r="F331">
        <v>8298.67</v>
      </c>
      <c r="G331">
        <v>1</v>
      </c>
      <c r="H331">
        <v>8298.67</v>
      </c>
    </row>
    <row r="332" spans="1:8">
      <c r="A332" t="s">
        <v>79</v>
      </c>
      <c r="B332" t="s">
        <v>1145</v>
      </c>
      <c r="C332" t="s">
        <v>1127</v>
      </c>
      <c r="D332">
        <v>4</v>
      </c>
      <c r="E332">
        <v>148</v>
      </c>
      <c r="F332">
        <v>6464</v>
      </c>
      <c r="G332">
        <v>1</v>
      </c>
      <c r="H332">
        <v>6464</v>
      </c>
    </row>
    <row r="333" spans="1:8">
      <c r="A333" t="s">
        <v>79</v>
      </c>
      <c r="B333" t="s">
        <v>1145</v>
      </c>
      <c r="C333" t="s">
        <v>1125</v>
      </c>
      <c r="D333">
        <v>3</v>
      </c>
      <c r="E333">
        <v>86</v>
      </c>
      <c r="F333">
        <v>5398.12</v>
      </c>
      <c r="G333">
        <v>1</v>
      </c>
      <c r="H333">
        <v>5398.12</v>
      </c>
    </row>
    <row r="334" spans="1:8">
      <c r="A334" t="s">
        <v>79</v>
      </c>
      <c r="B334" t="s">
        <v>1148</v>
      </c>
      <c r="C334" t="s">
        <v>1119</v>
      </c>
      <c r="D334">
        <v>6</v>
      </c>
      <c r="E334">
        <v>191</v>
      </c>
      <c r="F334">
        <v>4190.7</v>
      </c>
      <c r="G334">
        <v>1</v>
      </c>
      <c r="H334">
        <v>4190.7</v>
      </c>
    </row>
    <row r="335" spans="1:8">
      <c r="A335" t="s">
        <v>79</v>
      </c>
      <c r="B335" t="s">
        <v>1148</v>
      </c>
      <c r="C335" t="s">
        <v>1129</v>
      </c>
      <c r="D335">
        <v>8</v>
      </c>
      <c r="E335">
        <v>218</v>
      </c>
      <c r="F335">
        <v>3699.1</v>
      </c>
      <c r="G335">
        <v>1</v>
      </c>
      <c r="H335">
        <v>3699.1</v>
      </c>
    </row>
    <row r="336" spans="1:8">
      <c r="A336" t="s">
        <v>79</v>
      </c>
      <c r="B336" t="s">
        <v>1145</v>
      </c>
      <c r="C336" t="s">
        <v>1121</v>
      </c>
      <c r="D336">
        <v>6</v>
      </c>
      <c r="E336">
        <v>123</v>
      </c>
      <c r="F336">
        <v>3654.95</v>
      </c>
      <c r="G336">
        <v>1</v>
      </c>
      <c r="H336">
        <v>3654.95</v>
      </c>
    </row>
    <row r="337" spans="1:8">
      <c r="A337" t="s">
        <v>79</v>
      </c>
      <c r="B337" t="s">
        <v>1145</v>
      </c>
      <c r="C337" t="s">
        <v>1117</v>
      </c>
      <c r="D337">
        <v>5</v>
      </c>
      <c r="E337">
        <v>160</v>
      </c>
      <c r="F337">
        <v>3651.5</v>
      </c>
      <c r="G337">
        <v>1</v>
      </c>
      <c r="H337">
        <v>3651.5</v>
      </c>
    </row>
    <row r="338" spans="1:8">
      <c r="A338" t="s">
        <v>79</v>
      </c>
      <c r="B338" t="s">
        <v>1145</v>
      </c>
      <c r="C338" t="s">
        <v>1115</v>
      </c>
      <c r="D338">
        <v>11</v>
      </c>
      <c r="E338">
        <v>244</v>
      </c>
      <c r="F338">
        <v>3055.32</v>
      </c>
      <c r="G338">
        <v>1</v>
      </c>
      <c r="H338">
        <v>3055.32</v>
      </c>
    </row>
    <row r="339" spans="1:8">
      <c r="A339" t="s">
        <v>79</v>
      </c>
      <c r="B339" t="s">
        <v>1145</v>
      </c>
      <c r="C339" t="s">
        <v>1123</v>
      </c>
      <c r="D339">
        <v>3</v>
      </c>
      <c r="E339">
        <v>115</v>
      </c>
      <c r="F339">
        <v>3021</v>
      </c>
      <c r="G339">
        <v>1</v>
      </c>
      <c r="H339">
        <v>3021</v>
      </c>
    </row>
    <row r="340" spans="1:8">
      <c r="A340" t="s">
        <v>79</v>
      </c>
      <c r="B340" t="s">
        <v>1148</v>
      </c>
      <c r="C340" t="s">
        <v>1121</v>
      </c>
      <c r="D340">
        <v>5</v>
      </c>
      <c r="E340">
        <v>92</v>
      </c>
      <c r="F340">
        <v>2724</v>
      </c>
      <c r="G340">
        <v>1</v>
      </c>
      <c r="H340">
        <v>2724</v>
      </c>
    </row>
    <row r="341" spans="1:8">
      <c r="A341" t="s">
        <v>79</v>
      </c>
      <c r="B341" t="s">
        <v>1145</v>
      </c>
      <c r="C341" t="s">
        <v>1129</v>
      </c>
      <c r="D341">
        <v>7</v>
      </c>
      <c r="E341">
        <v>221</v>
      </c>
      <c r="F341">
        <v>2533.7399999999998</v>
      </c>
      <c r="G341">
        <v>1</v>
      </c>
      <c r="H341">
        <v>2533.7399999999998</v>
      </c>
    </row>
    <row r="342" spans="1:8">
      <c r="A342" t="s">
        <v>79</v>
      </c>
      <c r="B342" t="s">
        <v>1148</v>
      </c>
      <c r="C342" t="s">
        <v>1127</v>
      </c>
      <c r="D342">
        <v>2</v>
      </c>
      <c r="E342">
        <v>66</v>
      </c>
      <c r="F342">
        <v>2515.1999999999998</v>
      </c>
      <c r="G342">
        <v>1</v>
      </c>
      <c r="H342">
        <v>2515.1999999999998</v>
      </c>
    </row>
    <row r="343" spans="1:8">
      <c r="A343" t="s">
        <v>79</v>
      </c>
      <c r="B343" t="s">
        <v>1148</v>
      </c>
      <c r="C343" t="s">
        <v>1125</v>
      </c>
      <c r="D343">
        <v>7</v>
      </c>
      <c r="E343">
        <v>88</v>
      </c>
      <c r="F343">
        <v>2258.5</v>
      </c>
      <c r="G343">
        <v>1</v>
      </c>
      <c r="H343">
        <v>2258.5</v>
      </c>
    </row>
    <row r="344" spans="1:8">
      <c r="A344" t="s">
        <v>79</v>
      </c>
      <c r="B344" t="s">
        <v>1148</v>
      </c>
      <c r="C344" t="s">
        <v>1117</v>
      </c>
      <c r="D344">
        <v>3</v>
      </c>
      <c r="E344">
        <v>66</v>
      </c>
      <c r="F344">
        <v>1066.4000000000001</v>
      </c>
      <c r="G344">
        <v>1</v>
      </c>
      <c r="H344">
        <v>1066.4000000000001</v>
      </c>
    </row>
    <row r="345" spans="1:8">
      <c r="A345" t="s">
        <v>79</v>
      </c>
      <c r="B345" t="s">
        <v>1145</v>
      </c>
      <c r="C345" t="s">
        <v>1119</v>
      </c>
      <c r="D345">
        <v>4</v>
      </c>
      <c r="E345">
        <v>87</v>
      </c>
      <c r="F345">
        <v>978.93</v>
      </c>
      <c r="G345">
        <v>1</v>
      </c>
      <c r="H345">
        <v>978.93</v>
      </c>
    </row>
    <row r="346" spans="1:8">
      <c r="A346" t="s">
        <v>79</v>
      </c>
      <c r="B346" t="s">
        <v>1148</v>
      </c>
      <c r="C346" t="s">
        <v>1123</v>
      </c>
      <c r="D346">
        <v>1</v>
      </c>
      <c r="E346">
        <v>25</v>
      </c>
      <c r="F346">
        <v>175</v>
      </c>
      <c r="G346">
        <v>1</v>
      </c>
      <c r="H346">
        <v>175</v>
      </c>
    </row>
    <row r="347" spans="1:8">
      <c r="A347" t="s">
        <v>422</v>
      </c>
      <c r="B347" t="s">
        <v>1158</v>
      </c>
      <c r="C347" t="s">
        <v>1121</v>
      </c>
      <c r="D347">
        <v>4</v>
      </c>
      <c r="E347">
        <v>176</v>
      </c>
      <c r="F347">
        <v>4559.0200000000004</v>
      </c>
      <c r="G347">
        <v>1</v>
      </c>
      <c r="H347">
        <v>4559.0200000000004</v>
      </c>
    </row>
    <row r="348" spans="1:8">
      <c r="A348" t="s">
        <v>422</v>
      </c>
      <c r="B348" t="s">
        <v>1158</v>
      </c>
      <c r="C348" t="s">
        <v>1125</v>
      </c>
      <c r="D348">
        <v>1</v>
      </c>
      <c r="E348">
        <v>36</v>
      </c>
      <c r="F348">
        <v>4456.4399999999996</v>
      </c>
      <c r="G348">
        <v>1</v>
      </c>
      <c r="H348">
        <v>4456.4399999999996</v>
      </c>
    </row>
    <row r="349" spans="1:8">
      <c r="A349" t="s">
        <v>422</v>
      </c>
      <c r="B349" t="s">
        <v>421</v>
      </c>
      <c r="C349" t="s">
        <v>1123</v>
      </c>
      <c r="D349">
        <v>4</v>
      </c>
      <c r="E349">
        <v>110</v>
      </c>
      <c r="F349">
        <v>3097.6</v>
      </c>
      <c r="G349">
        <v>1</v>
      </c>
      <c r="H349">
        <v>3097.6</v>
      </c>
    </row>
    <row r="350" spans="1:8">
      <c r="A350" t="s">
        <v>422</v>
      </c>
      <c r="B350" t="s">
        <v>1158</v>
      </c>
      <c r="C350" t="s">
        <v>1129</v>
      </c>
      <c r="D350">
        <v>5</v>
      </c>
      <c r="E350">
        <v>147</v>
      </c>
      <c r="F350">
        <v>2050.9</v>
      </c>
      <c r="G350">
        <v>1</v>
      </c>
      <c r="H350">
        <v>2050.9</v>
      </c>
    </row>
    <row r="351" spans="1:8">
      <c r="A351" t="s">
        <v>422</v>
      </c>
      <c r="B351" t="s">
        <v>421</v>
      </c>
      <c r="C351" t="s">
        <v>1127</v>
      </c>
      <c r="D351">
        <v>3</v>
      </c>
      <c r="E351">
        <v>71</v>
      </c>
      <c r="F351">
        <v>1814.5</v>
      </c>
      <c r="G351">
        <v>1</v>
      </c>
      <c r="H351">
        <v>1814.5</v>
      </c>
    </row>
    <row r="352" spans="1:8">
      <c r="A352" t="s">
        <v>422</v>
      </c>
      <c r="B352" t="s">
        <v>421</v>
      </c>
      <c r="C352" t="s">
        <v>1121</v>
      </c>
      <c r="D352">
        <v>2</v>
      </c>
      <c r="E352">
        <v>50</v>
      </c>
      <c r="F352">
        <v>1763</v>
      </c>
      <c r="G352">
        <v>1</v>
      </c>
      <c r="H352">
        <v>1763</v>
      </c>
    </row>
    <row r="353" spans="1:8">
      <c r="A353" t="s">
        <v>422</v>
      </c>
      <c r="B353" t="s">
        <v>1158</v>
      </c>
      <c r="C353" t="s">
        <v>1119</v>
      </c>
      <c r="D353">
        <v>3</v>
      </c>
      <c r="E353">
        <v>87</v>
      </c>
      <c r="F353">
        <v>1740.88</v>
      </c>
      <c r="G353">
        <v>1</v>
      </c>
      <c r="H353">
        <v>1740.88</v>
      </c>
    </row>
    <row r="354" spans="1:8">
      <c r="A354" t="s">
        <v>422</v>
      </c>
      <c r="B354" t="s">
        <v>421</v>
      </c>
      <c r="C354" t="s">
        <v>1119</v>
      </c>
      <c r="D354">
        <v>3</v>
      </c>
      <c r="E354">
        <v>61</v>
      </c>
      <c r="F354">
        <v>1326.56</v>
      </c>
      <c r="G354">
        <v>1</v>
      </c>
      <c r="H354">
        <v>1326.56</v>
      </c>
    </row>
    <row r="355" spans="1:8">
      <c r="A355" t="s">
        <v>422</v>
      </c>
      <c r="B355" t="s">
        <v>1158</v>
      </c>
      <c r="C355" t="s">
        <v>1115</v>
      </c>
      <c r="D355">
        <v>3</v>
      </c>
      <c r="E355">
        <v>110</v>
      </c>
      <c r="F355">
        <v>1272.1199999999999</v>
      </c>
      <c r="G355">
        <v>1</v>
      </c>
      <c r="H355">
        <v>1272.1199999999999</v>
      </c>
    </row>
    <row r="356" spans="1:8">
      <c r="A356" t="s">
        <v>422</v>
      </c>
      <c r="B356" t="s">
        <v>1158</v>
      </c>
      <c r="C356" t="s">
        <v>1123</v>
      </c>
      <c r="D356">
        <v>2</v>
      </c>
      <c r="E356">
        <v>90</v>
      </c>
      <c r="F356">
        <v>1005</v>
      </c>
      <c r="G356">
        <v>1</v>
      </c>
      <c r="H356">
        <v>1005</v>
      </c>
    </row>
    <row r="357" spans="1:8">
      <c r="A357" t="s">
        <v>422</v>
      </c>
      <c r="B357" t="s">
        <v>421</v>
      </c>
      <c r="C357" t="s">
        <v>1129</v>
      </c>
      <c r="D357">
        <v>3</v>
      </c>
      <c r="E357">
        <v>30</v>
      </c>
      <c r="F357">
        <v>715.2</v>
      </c>
      <c r="G357">
        <v>1</v>
      </c>
      <c r="H357">
        <v>715.2</v>
      </c>
    </row>
    <row r="358" spans="1:8">
      <c r="A358" t="s">
        <v>422</v>
      </c>
      <c r="B358" t="s">
        <v>421</v>
      </c>
      <c r="C358" t="s">
        <v>1125</v>
      </c>
      <c r="D358">
        <v>1</v>
      </c>
      <c r="E358">
        <v>21</v>
      </c>
      <c r="F358">
        <v>342.72</v>
      </c>
      <c r="G358">
        <v>1</v>
      </c>
      <c r="H358">
        <v>342.72</v>
      </c>
    </row>
    <row r="359" spans="1:8">
      <c r="A359" t="s">
        <v>422</v>
      </c>
      <c r="B359" t="s">
        <v>1158</v>
      </c>
      <c r="C359" t="s">
        <v>1127</v>
      </c>
      <c r="D359">
        <v>1</v>
      </c>
      <c r="E359">
        <v>6</v>
      </c>
      <c r="F359">
        <v>318</v>
      </c>
      <c r="G359">
        <v>1</v>
      </c>
      <c r="H359">
        <v>318</v>
      </c>
    </row>
    <row r="360" spans="1:8">
      <c r="A360" t="s">
        <v>422</v>
      </c>
      <c r="B360" t="s">
        <v>421</v>
      </c>
      <c r="C360" t="s">
        <v>1115</v>
      </c>
      <c r="D360">
        <v>2</v>
      </c>
      <c r="E360">
        <v>30</v>
      </c>
      <c r="F360">
        <v>229.5</v>
      </c>
      <c r="G360">
        <v>1</v>
      </c>
      <c r="H360">
        <v>229.5</v>
      </c>
    </row>
    <row r="361" spans="1:8">
      <c r="A361" t="s">
        <v>422</v>
      </c>
      <c r="B361" t="s">
        <v>1158</v>
      </c>
      <c r="C361" t="s">
        <v>1117</v>
      </c>
      <c r="D361">
        <v>1</v>
      </c>
      <c r="E361">
        <v>10</v>
      </c>
      <c r="F361">
        <v>210.5</v>
      </c>
      <c r="G361">
        <v>1</v>
      </c>
      <c r="H361">
        <v>210.5</v>
      </c>
    </row>
    <row r="362" spans="1:8">
      <c r="A362" t="s">
        <v>18</v>
      </c>
      <c r="B362" t="s">
        <v>16</v>
      </c>
      <c r="C362" t="s">
        <v>1121</v>
      </c>
      <c r="D362">
        <v>15</v>
      </c>
      <c r="E362">
        <v>458</v>
      </c>
      <c r="F362">
        <v>9176.0499999999993</v>
      </c>
      <c r="G362">
        <v>6</v>
      </c>
      <c r="H362">
        <v>1529.34</v>
      </c>
    </row>
    <row r="363" spans="1:8">
      <c r="A363" t="s">
        <v>18</v>
      </c>
      <c r="B363" t="s">
        <v>16</v>
      </c>
      <c r="C363" t="s">
        <v>1119</v>
      </c>
      <c r="D363">
        <v>13</v>
      </c>
      <c r="E363">
        <v>299</v>
      </c>
      <c r="F363">
        <v>8313.68</v>
      </c>
      <c r="G363">
        <v>4</v>
      </c>
      <c r="H363">
        <v>2078.42</v>
      </c>
    </row>
    <row r="364" spans="1:8">
      <c r="A364" t="s">
        <v>18</v>
      </c>
      <c r="B364" t="s">
        <v>16</v>
      </c>
      <c r="C364" t="s">
        <v>1127</v>
      </c>
      <c r="D364">
        <v>8</v>
      </c>
      <c r="E364">
        <v>185</v>
      </c>
      <c r="F364">
        <v>6660.6</v>
      </c>
      <c r="G364">
        <v>4</v>
      </c>
      <c r="H364">
        <v>1665.15</v>
      </c>
    </row>
    <row r="365" spans="1:8">
      <c r="A365" t="s">
        <v>18</v>
      </c>
      <c r="B365" t="s">
        <v>16</v>
      </c>
      <c r="C365" t="s">
        <v>1125</v>
      </c>
      <c r="D365">
        <v>7</v>
      </c>
      <c r="E365">
        <v>135</v>
      </c>
      <c r="F365">
        <v>5436.84</v>
      </c>
      <c r="G365">
        <v>4</v>
      </c>
      <c r="H365">
        <v>1359.21</v>
      </c>
    </row>
    <row r="366" spans="1:8">
      <c r="A366" t="s">
        <v>18</v>
      </c>
      <c r="B366" t="s">
        <v>16</v>
      </c>
      <c r="C366" t="s">
        <v>1123</v>
      </c>
      <c r="D366">
        <v>15</v>
      </c>
      <c r="E366">
        <v>292</v>
      </c>
      <c r="F366">
        <v>4467.8</v>
      </c>
      <c r="G366">
        <v>5</v>
      </c>
      <c r="H366">
        <v>893.56</v>
      </c>
    </row>
    <row r="367" spans="1:8">
      <c r="A367" t="s">
        <v>18</v>
      </c>
      <c r="B367" t="s">
        <v>16</v>
      </c>
      <c r="C367" t="s">
        <v>1129</v>
      </c>
      <c r="D367">
        <v>13</v>
      </c>
      <c r="E367">
        <v>264</v>
      </c>
      <c r="F367">
        <v>4273.96</v>
      </c>
      <c r="G367">
        <v>5</v>
      </c>
      <c r="H367">
        <v>854.79</v>
      </c>
    </row>
    <row r="368" spans="1:8">
      <c r="A368" t="s">
        <v>18</v>
      </c>
      <c r="B368" t="s">
        <v>16</v>
      </c>
      <c r="C368" t="s">
        <v>1115</v>
      </c>
      <c r="D368">
        <v>15</v>
      </c>
      <c r="E368">
        <v>344</v>
      </c>
      <c r="F368">
        <v>4096.3999999999996</v>
      </c>
      <c r="G368">
        <v>6</v>
      </c>
      <c r="H368">
        <v>682.73</v>
      </c>
    </row>
    <row r="369" spans="1:8">
      <c r="A369" t="s">
        <v>18</v>
      </c>
      <c r="B369" t="s">
        <v>583</v>
      </c>
      <c r="C369" t="s">
        <v>1121</v>
      </c>
      <c r="D369">
        <v>5</v>
      </c>
      <c r="E369">
        <v>76</v>
      </c>
      <c r="F369">
        <v>1944.9</v>
      </c>
      <c r="G369">
        <v>1</v>
      </c>
      <c r="H369">
        <v>1944.9</v>
      </c>
    </row>
    <row r="370" spans="1:8">
      <c r="A370" t="s">
        <v>18</v>
      </c>
      <c r="B370" t="s">
        <v>16</v>
      </c>
      <c r="C370" t="s">
        <v>1117</v>
      </c>
      <c r="D370">
        <v>4</v>
      </c>
      <c r="E370">
        <v>109</v>
      </c>
      <c r="F370">
        <v>1838.5</v>
      </c>
      <c r="G370">
        <v>3</v>
      </c>
      <c r="H370">
        <v>612.83000000000004</v>
      </c>
    </row>
    <row r="371" spans="1:8">
      <c r="A371" t="s">
        <v>18</v>
      </c>
      <c r="B371" t="s">
        <v>583</v>
      </c>
      <c r="C371" t="s">
        <v>1117</v>
      </c>
      <c r="D371">
        <v>2</v>
      </c>
      <c r="E371">
        <v>50</v>
      </c>
      <c r="F371">
        <v>1655</v>
      </c>
      <c r="G371">
        <v>1</v>
      </c>
      <c r="H371">
        <v>1655</v>
      </c>
    </row>
    <row r="372" spans="1:8">
      <c r="A372" t="s">
        <v>18</v>
      </c>
      <c r="B372" t="s">
        <v>583</v>
      </c>
      <c r="C372" t="s">
        <v>1115</v>
      </c>
      <c r="D372">
        <v>6</v>
      </c>
      <c r="E372">
        <v>100</v>
      </c>
      <c r="F372">
        <v>1417.2</v>
      </c>
      <c r="G372">
        <v>1</v>
      </c>
      <c r="H372">
        <v>1417.2</v>
      </c>
    </row>
    <row r="373" spans="1:8">
      <c r="A373" t="s">
        <v>18</v>
      </c>
      <c r="B373" t="s">
        <v>583</v>
      </c>
      <c r="C373" t="s">
        <v>1123</v>
      </c>
      <c r="D373">
        <v>3</v>
      </c>
      <c r="E373">
        <v>30</v>
      </c>
      <c r="F373">
        <v>705</v>
      </c>
      <c r="G373">
        <v>1</v>
      </c>
      <c r="H373">
        <v>705</v>
      </c>
    </row>
    <row r="374" spans="1:8">
      <c r="A374" t="s">
        <v>18</v>
      </c>
      <c r="B374" t="s">
        <v>583</v>
      </c>
      <c r="C374" t="s">
        <v>1129</v>
      </c>
      <c r="D374">
        <v>2</v>
      </c>
      <c r="E374">
        <v>30</v>
      </c>
      <c r="F374">
        <v>214</v>
      </c>
      <c r="G374">
        <v>1</v>
      </c>
      <c r="H374">
        <v>214</v>
      </c>
    </row>
    <row r="375" spans="1:8">
      <c r="A375" t="s">
        <v>18</v>
      </c>
      <c r="B375" t="s">
        <v>583</v>
      </c>
      <c r="C375" t="s">
        <v>1119</v>
      </c>
      <c r="D375">
        <v>2</v>
      </c>
      <c r="E375">
        <v>7</v>
      </c>
      <c r="F375">
        <v>144.6</v>
      </c>
      <c r="G375">
        <v>1</v>
      </c>
      <c r="H375">
        <v>144.6</v>
      </c>
    </row>
    <row r="376" spans="1:8">
      <c r="A376" t="s">
        <v>18</v>
      </c>
      <c r="B376" t="s">
        <v>583</v>
      </c>
      <c r="C376" t="s">
        <v>1125</v>
      </c>
      <c r="D376">
        <v>1</v>
      </c>
      <c r="E376">
        <v>2</v>
      </c>
      <c r="F376">
        <v>65.599999999999994</v>
      </c>
      <c r="G376">
        <v>1</v>
      </c>
      <c r="H376">
        <v>65.599999999999994</v>
      </c>
    </row>
    <row r="377" spans="1:8">
      <c r="A377" t="s">
        <v>26</v>
      </c>
      <c r="B377" t="s">
        <v>460</v>
      </c>
      <c r="C377" t="s">
        <v>1115</v>
      </c>
      <c r="D377">
        <v>7</v>
      </c>
      <c r="E377">
        <v>202</v>
      </c>
      <c r="F377">
        <v>18778.150000000001</v>
      </c>
      <c r="G377">
        <v>1</v>
      </c>
      <c r="H377">
        <v>18778.150000000001</v>
      </c>
    </row>
    <row r="378" spans="1:8">
      <c r="A378" t="s">
        <v>26</v>
      </c>
      <c r="B378" t="s">
        <v>596</v>
      </c>
      <c r="C378" t="s">
        <v>1125</v>
      </c>
      <c r="D378">
        <v>9</v>
      </c>
      <c r="E378">
        <v>529</v>
      </c>
      <c r="F378">
        <v>18561.53</v>
      </c>
      <c r="G378">
        <v>1</v>
      </c>
      <c r="H378">
        <v>18561.53</v>
      </c>
    </row>
    <row r="379" spans="1:8">
      <c r="A379" t="s">
        <v>26</v>
      </c>
      <c r="B379" t="s">
        <v>596</v>
      </c>
      <c r="C379" t="s">
        <v>1121</v>
      </c>
      <c r="D379">
        <v>13</v>
      </c>
      <c r="E379">
        <v>675</v>
      </c>
      <c r="F379">
        <v>16638.099999999999</v>
      </c>
      <c r="G379">
        <v>1</v>
      </c>
      <c r="H379">
        <v>16638.099999999999</v>
      </c>
    </row>
    <row r="380" spans="1:8">
      <c r="A380" t="s">
        <v>26</v>
      </c>
      <c r="B380" t="s">
        <v>596</v>
      </c>
      <c r="C380" t="s">
        <v>1129</v>
      </c>
      <c r="D380">
        <v>15</v>
      </c>
      <c r="E380">
        <v>971</v>
      </c>
      <c r="F380">
        <v>13008.8</v>
      </c>
      <c r="G380">
        <v>1</v>
      </c>
      <c r="H380">
        <v>13008.8</v>
      </c>
    </row>
    <row r="381" spans="1:8">
      <c r="A381" t="s">
        <v>26</v>
      </c>
      <c r="B381" t="s">
        <v>738</v>
      </c>
      <c r="C381" t="s">
        <v>1115</v>
      </c>
      <c r="D381">
        <v>4</v>
      </c>
      <c r="E381">
        <v>72</v>
      </c>
      <c r="F381">
        <v>11694.38</v>
      </c>
      <c r="G381">
        <v>1</v>
      </c>
      <c r="H381">
        <v>11694.38</v>
      </c>
    </row>
    <row r="382" spans="1:8">
      <c r="A382" t="s">
        <v>26</v>
      </c>
      <c r="B382" t="s">
        <v>596</v>
      </c>
      <c r="C382" t="s">
        <v>1119</v>
      </c>
      <c r="D382">
        <v>18</v>
      </c>
      <c r="E382">
        <v>654</v>
      </c>
      <c r="F382">
        <v>11212.57</v>
      </c>
      <c r="G382">
        <v>1</v>
      </c>
      <c r="H382">
        <v>11212.57</v>
      </c>
    </row>
    <row r="383" spans="1:8">
      <c r="A383" t="s">
        <v>26</v>
      </c>
      <c r="B383" t="s">
        <v>460</v>
      </c>
      <c r="C383" t="s">
        <v>1119</v>
      </c>
      <c r="D383">
        <v>7</v>
      </c>
      <c r="E383">
        <v>276</v>
      </c>
      <c r="F383">
        <v>10835.6</v>
      </c>
      <c r="G383">
        <v>1</v>
      </c>
      <c r="H383">
        <v>10835.6</v>
      </c>
    </row>
    <row r="384" spans="1:8">
      <c r="A384" t="s">
        <v>26</v>
      </c>
      <c r="B384" t="s">
        <v>596</v>
      </c>
      <c r="C384" t="s">
        <v>1115</v>
      </c>
      <c r="D384">
        <v>15</v>
      </c>
      <c r="E384">
        <v>661</v>
      </c>
      <c r="F384">
        <v>7702.5</v>
      </c>
      <c r="G384">
        <v>1</v>
      </c>
      <c r="H384">
        <v>7702.5</v>
      </c>
    </row>
    <row r="385" spans="1:8">
      <c r="A385" t="s">
        <v>26</v>
      </c>
      <c r="B385" t="s">
        <v>460</v>
      </c>
      <c r="C385" t="s">
        <v>1121</v>
      </c>
      <c r="D385">
        <v>9</v>
      </c>
      <c r="E385">
        <v>335</v>
      </c>
      <c r="F385">
        <v>7686.75</v>
      </c>
      <c r="G385">
        <v>1</v>
      </c>
      <c r="H385">
        <v>7686.75</v>
      </c>
    </row>
    <row r="386" spans="1:8">
      <c r="A386" t="s">
        <v>26</v>
      </c>
      <c r="B386" t="s">
        <v>596</v>
      </c>
      <c r="C386" t="s">
        <v>1123</v>
      </c>
      <c r="D386">
        <v>9</v>
      </c>
      <c r="E386">
        <v>311</v>
      </c>
      <c r="F386">
        <v>7633.1</v>
      </c>
      <c r="G386">
        <v>1</v>
      </c>
      <c r="H386">
        <v>7633.1</v>
      </c>
    </row>
    <row r="387" spans="1:8">
      <c r="A387" t="s">
        <v>26</v>
      </c>
      <c r="B387" t="s">
        <v>596</v>
      </c>
      <c r="C387" t="s">
        <v>1117</v>
      </c>
      <c r="D387">
        <v>4</v>
      </c>
      <c r="E387">
        <v>320</v>
      </c>
      <c r="F387">
        <v>6378.5</v>
      </c>
      <c r="G387">
        <v>1</v>
      </c>
      <c r="H387">
        <v>6378.5</v>
      </c>
    </row>
    <row r="388" spans="1:8">
      <c r="A388" t="s">
        <v>26</v>
      </c>
      <c r="B388" t="s">
        <v>460</v>
      </c>
      <c r="C388" t="s">
        <v>1123</v>
      </c>
      <c r="D388">
        <v>5</v>
      </c>
      <c r="E388">
        <v>152</v>
      </c>
      <c r="F388">
        <v>4734.8</v>
      </c>
      <c r="G388">
        <v>1</v>
      </c>
      <c r="H388">
        <v>4734.8</v>
      </c>
    </row>
    <row r="389" spans="1:8">
      <c r="A389" t="s">
        <v>26</v>
      </c>
      <c r="B389" t="s">
        <v>492</v>
      </c>
      <c r="C389" t="s">
        <v>1115</v>
      </c>
      <c r="D389">
        <v>2</v>
      </c>
      <c r="E389">
        <v>40</v>
      </c>
      <c r="F389">
        <v>4365.2</v>
      </c>
      <c r="G389">
        <v>1</v>
      </c>
      <c r="H389">
        <v>4365.2</v>
      </c>
    </row>
    <row r="390" spans="1:8">
      <c r="A390" t="s">
        <v>26</v>
      </c>
      <c r="B390" t="s">
        <v>487</v>
      </c>
      <c r="C390" t="s">
        <v>1117</v>
      </c>
      <c r="D390">
        <v>5</v>
      </c>
      <c r="E390">
        <v>186</v>
      </c>
      <c r="F390">
        <v>4174.13</v>
      </c>
      <c r="G390">
        <v>1</v>
      </c>
      <c r="H390">
        <v>4174.13</v>
      </c>
    </row>
    <row r="391" spans="1:8">
      <c r="A391" t="s">
        <v>26</v>
      </c>
      <c r="B391" t="s">
        <v>596</v>
      </c>
      <c r="C391" t="s">
        <v>1127</v>
      </c>
      <c r="D391">
        <v>4</v>
      </c>
      <c r="E391">
        <v>152</v>
      </c>
      <c r="F391">
        <v>3887.9</v>
      </c>
      <c r="G391">
        <v>1</v>
      </c>
      <c r="H391">
        <v>3887.9</v>
      </c>
    </row>
    <row r="392" spans="1:8">
      <c r="A392" t="s">
        <v>26</v>
      </c>
      <c r="B392" t="s">
        <v>487</v>
      </c>
      <c r="C392" t="s">
        <v>1125</v>
      </c>
      <c r="D392">
        <v>4</v>
      </c>
      <c r="E392">
        <v>138</v>
      </c>
      <c r="F392">
        <v>3707.95</v>
      </c>
      <c r="G392">
        <v>1</v>
      </c>
      <c r="H392">
        <v>3707.95</v>
      </c>
    </row>
    <row r="393" spans="1:8">
      <c r="A393" t="s">
        <v>26</v>
      </c>
      <c r="B393" t="s">
        <v>564</v>
      </c>
      <c r="C393" t="s">
        <v>1119</v>
      </c>
      <c r="D393">
        <v>4</v>
      </c>
      <c r="E393">
        <v>170</v>
      </c>
      <c r="F393">
        <v>3630.88</v>
      </c>
      <c r="G393">
        <v>1</v>
      </c>
      <c r="H393">
        <v>3630.88</v>
      </c>
    </row>
    <row r="394" spans="1:8">
      <c r="A394" t="s">
        <v>26</v>
      </c>
      <c r="B394" t="s">
        <v>460</v>
      </c>
      <c r="C394" t="s">
        <v>1125</v>
      </c>
      <c r="D394">
        <v>5</v>
      </c>
      <c r="E394">
        <v>126</v>
      </c>
      <c r="F394">
        <v>3609.28</v>
      </c>
      <c r="G394">
        <v>1</v>
      </c>
      <c r="H394">
        <v>3609.28</v>
      </c>
    </row>
    <row r="395" spans="1:8">
      <c r="A395" t="s">
        <v>26</v>
      </c>
      <c r="B395" t="s">
        <v>569</v>
      </c>
      <c r="C395" t="s">
        <v>1115</v>
      </c>
      <c r="D395">
        <v>5</v>
      </c>
      <c r="E395">
        <v>65</v>
      </c>
      <c r="F395">
        <v>3377</v>
      </c>
      <c r="G395">
        <v>2</v>
      </c>
      <c r="H395">
        <v>1688.5</v>
      </c>
    </row>
    <row r="396" spans="1:8">
      <c r="A396" t="s">
        <v>26</v>
      </c>
      <c r="B396" t="s">
        <v>487</v>
      </c>
      <c r="C396" t="s">
        <v>1119</v>
      </c>
      <c r="D396">
        <v>5</v>
      </c>
      <c r="E396">
        <v>140</v>
      </c>
      <c r="F396">
        <v>3275.38</v>
      </c>
      <c r="G396">
        <v>1</v>
      </c>
      <c r="H396">
        <v>3275.38</v>
      </c>
    </row>
    <row r="397" spans="1:8">
      <c r="A397" t="s">
        <v>26</v>
      </c>
      <c r="B397" t="s">
        <v>564</v>
      </c>
      <c r="C397" t="s">
        <v>1125</v>
      </c>
      <c r="D397">
        <v>2</v>
      </c>
      <c r="E397">
        <v>45</v>
      </c>
      <c r="F397">
        <v>2851.5</v>
      </c>
      <c r="G397">
        <v>1</v>
      </c>
      <c r="H397">
        <v>2851.5</v>
      </c>
    </row>
    <row r="398" spans="1:8">
      <c r="A398" t="s">
        <v>26</v>
      </c>
      <c r="B398" t="s">
        <v>492</v>
      </c>
      <c r="C398" t="s">
        <v>1125</v>
      </c>
      <c r="D398">
        <v>3</v>
      </c>
      <c r="E398">
        <v>84</v>
      </c>
      <c r="F398">
        <v>2357.6</v>
      </c>
      <c r="G398">
        <v>1</v>
      </c>
      <c r="H398">
        <v>2357.6</v>
      </c>
    </row>
    <row r="399" spans="1:8">
      <c r="A399" t="s">
        <v>26</v>
      </c>
      <c r="B399" t="s">
        <v>564</v>
      </c>
      <c r="C399" t="s">
        <v>1115</v>
      </c>
      <c r="D399">
        <v>3</v>
      </c>
      <c r="E399">
        <v>104</v>
      </c>
      <c r="F399">
        <v>2257.8000000000002</v>
      </c>
      <c r="G399">
        <v>1</v>
      </c>
      <c r="H399">
        <v>2257.8000000000002</v>
      </c>
    </row>
    <row r="400" spans="1:8">
      <c r="A400" t="s">
        <v>26</v>
      </c>
      <c r="B400" t="s">
        <v>487</v>
      </c>
      <c r="C400" t="s">
        <v>1129</v>
      </c>
      <c r="D400">
        <v>5</v>
      </c>
      <c r="E400">
        <v>108</v>
      </c>
      <c r="F400">
        <v>2160</v>
      </c>
      <c r="G400">
        <v>1</v>
      </c>
      <c r="H400">
        <v>2160</v>
      </c>
    </row>
    <row r="401" spans="1:8">
      <c r="A401" t="s">
        <v>26</v>
      </c>
      <c r="B401" t="s">
        <v>460</v>
      </c>
      <c r="C401" t="s">
        <v>1127</v>
      </c>
      <c r="D401">
        <v>2</v>
      </c>
      <c r="E401">
        <v>75</v>
      </c>
      <c r="F401">
        <v>2160</v>
      </c>
      <c r="G401">
        <v>1</v>
      </c>
      <c r="H401">
        <v>2160</v>
      </c>
    </row>
    <row r="402" spans="1:8">
      <c r="A402" t="s">
        <v>26</v>
      </c>
      <c r="B402" t="s">
        <v>564</v>
      </c>
      <c r="C402" t="s">
        <v>1123</v>
      </c>
      <c r="D402">
        <v>4</v>
      </c>
      <c r="E402">
        <v>108</v>
      </c>
      <c r="F402">
        <v>2146</v>
      </c>
      <c r="G402">
        <v>1</v>
      </c>
      <c r="H402">
        <v>2146</v>
      </c>
    </row>
    <row r="403" spans="1:8">
      <c r="A403" t="s">
        <v>26</v>
      </c>
      <c r="B403" t="s">
        <v>738</v>
      </c>
      <c r="C403" t="s">
        <v>1121</v>
      </c>
      <c r="D403">
        <v>3</v>
      </c>
      <c r="E403">
        <v>65</v>
      </c>
      <c r="F403">
        <v>2101.0700000000002</v>
      </c>
      <c r="G403">
        <v>1</v>
      </c>
      <c r="H403">
        <v>2101.0700000000002</v>
      </c>
    </row>
    <row r="404" spans="1:8">
      <c r="A404" t="s">
        <v>26</v>
      </c>
      <c r="B404" t="s">
        <v>674</v>
      </c>
      <c r="C404" t="s">
        <v>1119</v>
      </c>
      <c r="D404">
        <v>2</v>
      </c>
      <c r="E404">
        <v>31</v>
      </c>
      <c r="F404">
        <v>2095</v>
      </c>
      <c r="G404">
        <v>1</v>
      </c>
      <c r="H404">
        <v>2095</v>
      </c>
    </row>
    <row r="405" spans="1:8">
      <c r="A405" t="s">
        <v>26</v>
      </c>
      <c r="B405" t="s">
        <v>564</v>
      </c>
      <c r="C405" t="s">
        <v>1129</v>
      </c>
      <c r="D405">
        <v>3</v>
      </c>
      <c r="E405">
        <v>70</v>
      </c>
      <c r="F405">
        <v>1833</v>
      </c>
      <c r="G405">
        <v>1</v>
      </c>
      <c r="H405">
        <v>1833</v>
      </c>
    </row>
    <row r="406" spans="1:8">
      <c r="A406" t="s">
        <v>26</v>
      </c>
      <c r="B406" t="s">
        <v>487</v>
      </c>
      <c r="C406" t="s">
        <v>1115</v>
      </c>
      <c r="D406">
        <v>5</v>
      </c>
      <c r="E406">
        <v>152</v>
      </c>
      <c r="F406">
        <v>1807.2</v>
      </c>
      <c r="G406">
        <v>1</v>
      </c>
      <c r="H406">
        <v>1807.2</v>
      </c>
    </row>
    <row r="407" spans="1:8">
      <c r="A407" t="s">
        <v>26</v>
      </c>
      <c r="B407" t="s">
        <v>487</v>
      </c>
      <c r="C407" t="s">
        <v>1121</v>
      </c>
      <c r="D407">
        <v>3</v>
      </c>
      <c r="E407">
        <v>145</v>
      </c>
      <c r="F407">
        <v>1647.7</v>
      </c>
      <c r="G407">
        <v>1</v>
      </c>
      <c r="H407">
        <v>1647.7</v>
      </c>
    </row>
    <row r="408" spans="1:8">
      <c r="A408" t="s">
        <v>26</v>
      </c>
      <c r="B408" t="s">
        <v>492</v>
      </c>
      <c r="C408" t="s">
        <v>1129</v>
      </c>
      <c r="D408">
        <v>2</v>
      </c>
      <c r="E408">
        <v>49</v>
      </c>
      <c r="F408">
        <v>1511.32</v>
      </c>
      <c r="G408">
        <v>1</v>
      </c>
      <c r="H408">
        <v>1511.32</v>
      </c>
    </row>
    <row r="409" spans="1:8">
      <c r="A409" t="s">
        <v>26</v>
      </c>
      <c r="B409" t="s">
        <v>738</v>
      </c>
      <c r="C409" t="s">
        <v>1123</v>
      </c>
      <c r="D409">
        <v>2</v>
      </c>
      <c r="E409">
        <v>42</v>
      </c>
      <c r="F409">
        <v>1463</v>
      </c>
      <c r="G409">
        <v>1</v>
      </c>
      <c r="H409">
        <v>1463</v>
      </c>
    </row>
    <row r="410" spans="1:8">
      <c r="A410" t="s">
        <v>26</v>
      </c>
      <c r="B410" t="s">
        <v>569</v>
      </c>
      <c r="C410" t="s">
        <v>1127</v>
      </c>
      <c r="D410">
        <v>2</v>
      </c>
      <c r="E410">
        <v>27</v>
      </c>
      <c r="F410">
        <v>1379.2</v>
      </c>
      <c r="G410">
        <v>1</v>
      </c>
      <c r="H410">
        <v>1379.2</v>
      </c>
    </row>
    <row r="411" spans="1:8">
      <c r="A411" t="s">
        <v>26</v>
      </c>
      <c r="B411" t="s">
        <v>738</v>
      </c>
      <c r="C411" t="s">
        <v>1119</v>
      </c>
      <c r="D411">
        <v>3</v>
      </c>
      <c r="E411">
        <v>68</v>
      </c>
      <c r="F411">
        <v>1344.4</v>
      </c>
      <c r="G411">
        <v>1</v>
      </c>
      <c r="H411">
        <v>1344.4</v>
      </c>
    </row>
    <row r="412" spans="1:8">
      <c r="A412" t="s">
        <v>26</v>
      </c>
      <c r="B412" t="s">
        <v>460</v>
      </c>
      <c r="C412" t="s">
        <v>1117</v>
      </c>
      <c r="D412">
        <v>3</v>
      </c>
      <c r="E412">
        <v>87</v>
      </c>
      <c r="F412">
        <v>1301.7</v>
      </c>
      <c r="G412">
        <v>1</v>
      </c>
      <c r="H412">
        <v>1301.7</v>
      </c>
    </row>
    <row r="413" spans="1:8">
      <c r="A413" t="s">
        <v>26</v>
      </c>
      <c r="B413" t="s">
        <v>492</v>
      </c>
      <c r="C413" t="s">
        <v>1121</v>
      </c>
      <c r="D413">
        <v>3</v>
      </c>
      <c r="E413">
        <v>64</v>
      </c>
      <c r="F413">
        <v>1059.2</v>
      </c>
      <c r="G413">
        <v>1</v>
      </c>
      <c r="H413">
        <v>1059.2</v>
      </c>
    </row>
    <row r="414" spans="1:8">
      <c r="A414" t="s">
        <v>26</v>
      </c>
      <c r="B414" t="s">
        <v>751</v>
      </c>
      <c r="C414" t="s">
        <v>1117</v>
      </c>
      <c r="D414">
        <v>3</v>
      </c>
      <c r="E414">
        <v>44</v>
      </c>
      <c r="F414">
        <v>931.37</v>
      </c>
      <c r="G414">
        <v>1</v>
      </c>
      <c r="H414">
        <v>931.37</v>
      </c>
    </row>
    <row r="415" spans="1:8">
      <c r="A415" t="s">
        <v>26</v>
      </c>
      <c r="B415" t="s">
        <v>569</v>
      </c>
      <c r="C415" t="s">
        <v>1119</v>
      </c>
      <c r="D415">
        <v>3</v>
      </c>
      <c r="E415">
        <v>38</v>
      </c>
      <c r="F415">
        <v>885</v>
      </c>
      <c r="G415">
        <v>2</v>
      </c>
      <c r="H415">
        <v>442.5</v>
      </c>
    </row>
    <row r="416" spans="1:8">
      <c r="A416" t="s">
        <v>26</v>
      </c>
      <c r="B416" t="s">
        <v>564</v>
      </c>
      <c r="C416" t="s">
        <v>1127</v>
      </c>
      <c r="D416">
        <v>1</v>
      </c>
      <c r="E416">
        <v>16</v>
      </c>
      <c r="F416">
        <v>848</v>
      </c>
      <c r="G416">
        <v>1</v>
      </c>
      <c r="H416">
        <v>848</v>
      </c>
    </row>
    <row r="417" spans="1:8">
      <c r="A417" t="s">
        <v>26</v>
      </c>
      <c r="B417" t="s">
        <v>564</v>
      </c>
      <c r="C417" t="s">
        <v>1121</v>
      </c>
      <c r="D417">
        <v>3</v>
      </c>
      <c r="E417">
        <v>42</v>
      </c>
      <c r="F417">
        <v>802.5</v>
      </c>
      <c r="G417">
        <v>1</v>
      </c>
      <c r="H417">
        <v>802.5</v>
      </c>
    </row>
    <row r="418" spans="1:8">
      <c r="A418" t="s">
        <v>26</v>
      </c>
      <c r="B418" t="s">
        <v>751</v>
      </c>
      <c r="C418" t="s">
        <v>1123</v>
      </c>
      <c r="D418">
        <v>1</v>
      </c>
      <c r="E418">
        <v>21</v>
      </c>
      <c r="F418">
        <v>758.1</v>
      </c>
      <c r="G418">
        <v>1</v>
      </c>
      <c r="H418">
        <v>758.1</v>
      </c>
    </row>
    <row r="419" spans="1:8">
      <c r="A419" t="s">
        <v>26</v>
      </c>
      <c r="B419" t="s">
        <v>492</v>
      </c>
      <c r="C419" t="s">
        <v>1123</v>
      </c>
      <c r="D419">
        <v>2</v>
      </c>
      <c r="E419">
        <v>30</v>
      </c>
      <c r="F419">
        <v>756.96</v>
      </c>
      <c r="G419">
        <v>1</v>
      </c>
      <c r="H419">
        <v>756.96</v>
      </c>
    </row>
    <row r="420" spans="1:8">
      <c r="A420" t="s">
        <v>26</v>
      </c>
      <c r="B420" t="s">
        <v>760</v>
      </c>
      <c r="C420" t="s">
        <v>1125</v>
      </c>
      <c r="D420">
        <v>1</v>
      </c>
      <c r="E420">
        <v>6</v>
      </c>
      <c r="F420">
        <v>742.74</v>
      </c>
      <c r="G420">
        <v>1</v>
      </c>
      <c r="H420">
        <v>742.74</v>
      </c>
    </row>
    <row r="421" spans="1:8">
      <c r="A421" t="s">
        <v>26</v>
      </c>
      <c r="B421" t="s">
        <v>460</v>
      </c>
      <c r="C421" t="s">
        <v>1129</v>
      </c>
      <c r="D421">
        <v>3</v>
      </c>
      <c r="E421">
        <v>58</v>
      </c>
      <c r="F421">
        <v>735.8</v>
      </c>
      <c r="G421">
        <v>1</v>
      </c>
      <c r="H421">
        <v>735.8</v>
      </c>
    </row>
    <row r="422" spans="1:8">
      <c r="A422" t="s">
        <v>26</v>
      </c>
      <c r="B422" t="s">
        <v>747</v>
      </c>
      <c r="C422" t="s">
        <v>1119</v>
      </c>
      <c r="D422">
        <v>2</v>
      </c>
      <c r="E422">
        <v>13</v>
      </c>
      <c r="F422">
        <v>640.9</v>
      </c>
      <c r="G422">
        <v>1</v>
      </c>
      <c r="H422">
        <v>640.9</v>
      </c>
    </row>
    <row r="423" spans="1:8">
      <c r="A423" t="s">
        <v>26</v>
      </c>
      <c r="B423" t="s">
        <v>751</v>
      </c>
      <c r="C423" t="s">
        <v>1129</v>
      </c>
      <c r="D423">
        <v>1</v>
      </c>
      <c r="E423">
        <v>15</v>
      </c>
      <c r="F423">
        <v>620.75</v>
      </c>
      <c r="G423">
        <v>1</v>
      </c>
      <c r="H423">
        <v>620.75</v>
      </c>
    </row>
    <row r="424" spans="1:8">
      <c r="A424" t="s">
        <v>26</v>
      </c>
      <c r="B424" t="s">
        <v>487</v>
      </c>
      <c r="C424" t="s">
        <v>1123</v>
      </c>
      <c r="D424">
        <v>2</v>
      </c>
      <c r="E424">
        <v>19</v>
      </c>
      <c r="F424">
        <v>577.6</v>
      </c>
      <c r="G424">
        <v>1</v>
      </c>
      <c r="H424">
        <v>577.6</v>
      </c>
    </row>
    <row r="425" spans="1:8">
      <c r="A425" t="s">
        <v>26</v>
      </c>
      <c r="B425" t="s">
        <v>492</v>
      </c>
      <c r="C425" t="s">
        <v>1127</v>
      </c>
      <c r="D425">
        <v>2</v>
      </c>
      <c r="E425">
        <v>16</v>
      </c>
      <c r="F425">
        <v>510</v>
      </c>
      <c r="G425">
        <v>1</v>
      </c>
      <c r="H425">
        <v>510</v>
      </c>
    </row>
    <row r="426" spans="1:8">
      <c r="A426" t="s">
        <v>26</v>
      </c>
      <c r="B426" t="s">
        <v>674</v>
      </c>
      <c r="C426" t="s">
        <v>1129</v>
      </c>
      <c r="D426">
        <v>2</v>
      </c>
      <c r="E426">
        <v>40</v>
      </c>
      <c r="F426">
        <v>498</v>
      </c>
      <c r="G426">
        <v>1</v>
      </c>
      <c r="H426">
        <v>498</v>
      </c>
    </row>
    <row r="427" spans="1:8">
      <c r="A427" t="s">
        <v>26</v>
      </c>
      <c r="B427" t="s">
        <v>738</v>
      </c>
      <c r="C427" t="s">
        <v>1117</v>
      </c>
      <c r="D427">
        <v>1</v>
      </c>
      <c r="E427">
        <v>28</v>
      </c>
      <c r="F427">
        <v>490.14</v>
      </c>
      <c r="G427">
        <v>1</v>
      </c>
      <c r="H427">
        <v>490.14</v>
      </c>
    </row>
    <row r="428" spans="1:8">
      <c r="A428" t="s">
        <v>26</v>
      </c>
      <c r="B428" t="s">
        <v>760</v>
      </c>
      <c r="C428" t="s">
        <v>1127</v>
      </c>
      <c r="D428">
        <v>1</v>
      </c>
      <c r="E428">
        <v>10</v>
      </c>
      <c r="F428">
        <v>456</v>
      </c>
      <c r="G428">
        <v>1</v>
      </c>
      <c r="H428">
        <v>456</v>
      </c>
    </row>
    <row r="429" spans="1:8">
      <c r="A429" t="s">
        <v>26</v>
      </c>
      <c r="B429" t="s">
        <v>738</v>
      </c>
      <c r="C429" t="s">
        <v>1129</v>
      </c>
      <c r="D429">
        <v>1</v>
      </c>
      <c r="E429">
        <v>30</v>
      </c>
      <c r="F429">
        <v>456</v>
      </c>
      <c r="G429">
        <v>1</v>
      </c>
      <c r="H429">
        <v>456</v>
      </c>
    </row>
    <row r="430" spans="1:8">
      <c r="A430" t="s">
        <v>26</v>
      </c>
      <c r="B430" t="s">
        <v>492</v>
      </c>
      <c r="C430" t="s">
        <v>1119</v>
      </c>
      <c r="D430">
        <v>4</v>
      </c>
      <c r="E430">
        <v>34</v>
      </c>
      <c r="F430">
        <v>442.35</v>
      </c>
      <c r="G430">
        <v>1</v>
      </c>
      <c r="H430">
        <v>442.35</v>
      </c>
    </row>
    <row r="431" spans="1:8">
      <c r="A431" t="s">
        <v>26</v>
      </c>
      <c r="B431" t="s">
        <v>492</v>
      </c>
      <c r="C431" t="s">
        <v>1117</v>
      </c>
      <c r="D431">
        <v>1</v>
      </c>
      <c r="E431">
        <v>10</v>
      </c>
      <c r="F431">
        <v>439</v>
      </c>
      <c r="G431">
        <v>1</v>
      </c>
      <c r="H431">
        <v>439</v>
      </c>
    </row>
    <row r="432" spans="1:8">
      <c r="A432" t="s">
        <v>26</v>
      </c>
      <c r="B432" t="s">
        <v>747</v>
      </c>
      <c r="C432" t="s">
        <v>1115</v>
      </c>
      <c r="D432">
        <v>2</v>
      </c>
      <c r="E432">
        <v>36</v>
      </c>
      <c r="F432">
        <v>425</v>
      </c>
      <c r="G432">
        <v>1</v>
      </c>
      <c r="H432">
        <v>425</v>
      </c>
    </row>
    <row r="433" spans="1:8">
      <c r="A433" t="s">
        <v>26</v>
      </c>
      <c r="B433" t="s">
        <v>751</v>
      </c>
      <c r="C433" t="s">
        <v>1119</v>
      </c>
      <c r="D433">
        <v>1</v>
      </c>
      <c r="E433">
        <v>40</v>
      </c>
      <c r="F433">
        <v>380</v>
      </c>
      <c r="G433">
        <v>1</v>
      </c>
      <c r="H433">
        <v>380</v>
      </c>
    </row>
    <row r="434" spans="1:8">
      <c r="A434" t="s">
        <v>26</v>
      </c>
      <c r="B434" t="s">
        <v>760</v>
      </c>
      <c r="C434" t="s">
        <v>1129</v>
      </c>
      <c r="D434">
        <v>2</v>
      </c>
      <c r="E434">
        <v>16</v>
      </c>
      <c r="F434">
        <v>370</v>
      </c>
      <c r="G434">
        <v>1</v>
      </c>
      <c r="H434">
        <v>370</v>
      </c>
    </row>
    <row r="435" spans="1:8">
      <c r="A435" t="s">
        <v>26</v>
      </c>
      <c r="B435" t="s">
        <v>674</v>
      </c>
      <c r="C435" t="s">
        <v>1127</v>
      </c>
      <c r="D435">
        <v>1</v>
      </c>
      <c r="E435">
        <v>15</v>
      </c>
      <c r="F435">
        <v>279</v>
      </c>
      <c r="G435">
        <v>1</v>
      </c>
      <c r="H435">
        <v>279</v>
      </c>
    </row>
    <row r="436" spans="1:8">
      <c r="A436" t="s">
        <v>26</v>
      </c>
      <c r="B436" t="s">
        <v>564</v>
      </c>
      <c r="C436" t="s">
        <v>1117</v>
      </c>
      <c r="D436">
        <v>1</v>
      </c>
      <c r="E436">
        <v>15</v>
      </c>
      <c r="F436">
        <v>268.39</v>
      </c>
      <c r="G436">
        <v>1</v>
      </c>
      <c r="H436">
        <v>268.39</v>
      </c>
    </row>
    <row r="437" spans="1:8">
      <c r="A437" t="s">
        <v>26</v>
      </c>
      <c r="B437" t="s">
        <v>747</v>
      </c>
      <c r="C437" t="s">
        <v>1117</v>
      </c>
      <c r="D437">
        <v>1</v>
      </c>
      <c r="E437">
        <v>18</v>
      </c>
      <c r="F437">
        <v>234</v>
      </c>
      <c r="G437">
        <v>1</v>
      </c>
      <c r="H437">
        <v>234</v>
      </c>
    </row>
    <row r="438" spans="1:8">
      <c r="A438" t="s">
        <v>26</v>
      </c>
      <c r="B438" t="s">
        <v>751</v>
      </c>
      <c r="C438" t="s">
        <v>1125</v>
      </c>
      <c r="D438">
        <v>1</v>
      </c>
      <c r="E438">
        <v>40</v>
      </c>
      <c r="F438">
        <v>223.5</v>
      </c>
      <c r="G438">
        <v>1</v>
      </c>
      <c r="H438">
        <v>223.5</v>
      </c>
    </row>
    <row r="439" spans="1:8">
      <c r="A439" t="s">
        <v>26</v>
      </c>
      <c r="B439" t="s">
        <v>718</v>
      </c>
      <c r="C439" t="s">
        <v>1121</v>
      </c>
      <c r="D439">
        <v>1</v>
      </c>
      <c r="E439">
        <v>10</v>
      </c>
      <c r="F439">
        <v>210</v>
      </c>
      <c r="G439">
        <v>1</v>
      </c>
      <c r="H439">
        <v>210</v>
      </c>
    </row>
    <row r="440" spans="1:8">
      <c r="A440" t="s">
        <v>26</v>
      </c>
      <c r="B440" t="s">
        <v>747</v>
      </c>
      <c r="C440" t="s">
        <v>1123</v>
      </c>
      <c r="D440">
        <v>1</v>
      </c>
      <c r="E440">
        <v>6</v>
      </c>
      <c r="F440">
        <v>199.5</v>
      </c>
      <c r="G440">
        <v>1</v>
      </c>
      <c r="H440">
        <v>199.5</v>
      </c>
    </row>
    <row r="441" spans="1:8">
      <c r="A441" t="s">
        <v>26</v>
      </c>
      <c r="B441" t="s">
        <v>760</v>
      </c>
      <c r="C441" t="s">
        <v>1117</v>
      </c>
      <c r="D441">
        <v>1</v>
      </c>
      <c r="E441">
        <v>10</v>
      </c>
      <c r="F441">
        <v>194.5</v>
      </c>
      <c r="G441">
        <v>1</v>
      </c>
      <c r="H441">
        <v>194.5</v>
      </c>
    </row>
    <row r="442" spans="1:8">
      <c r="A442" t="s">
        <v>26</v>
      </c>
      <c r="B442" t="s">
        <v>738</v>
      </c>
      <c r="C442" t="s">
        <v>1125</v>
      </c>
      <c r="D442">
        <v>1</v>
      </c>
      <c r="E442">
        <v>2</v>
      </c>
      <c r="F442">
        <v>185.68</v>
      </c>
      <c r="G442">
        <v>1</v>
      </c>
      <c r="H442">
        <v>185.68</v>
      </c>
    </row>
    <row r="443" spans="1:8">
      <c r="A443" t="s">
        <v>26</v>
      </c>
      <c r="B443" t="s">
        <v>487</v>
      </c>
      <c r="C443" t="s">
        <v>1127</v>
      </c>
      <c r="D443">
        <v>1</v>
      </c>
      <c r="E443">
        <v>5</v>
      </c>
      <c r="F443">
        <v>182.4</v>
      </c>
      <c r="G443">
        <v>1</v>
      </c>
      <c r="H443">
        <v>182.4</v>
      </c>
    </row>
    <row r="444" spans="1:8">
      <c r="A444" t="s">
        <v>26</v>
      </c>
      <c r="B444" t="s">
        <v>751</v>
      </c>
      <c r="C444" t="s">
        <v>1115</v>
      </c>
      <c r="D444">
        <v>1</v>
      </c>
      <c r="E444">
        <v>21</v>
      </c>
      <c r="F444">
        <v>162.75</v>
      </c>
      <c r="G444">
        <v>1</v>
      </c>
      <c r="H444">
        <v>162.75</v>
      </c>
    </row>
    <row r="445" spans="1:8">
      <c r="A445" t="s">
        <v>26</v>
      </c>
      <c r="B445" t="s">
        <v>674</v>
      </c>
      <c r="C445" t="s">
        <v>1125</v>
      </c>
      <c r="D445">
        <v>3</v>
      </c>
      <c r="E445">
        <v>16</v>
      </c>
      <c r="F445">
        <v>151.19999999999999</v>
      </c>
      <c r="G445">
        <v>1</v>
      </c>
      <c r="H445">
        <v>151.19999999999999</v>
      </c>
    </row>
    <row r="446" spans="1:8">
      <c r="A446" t="s">
        <v>26</v>
      </c>
      <c r="B446" t="s">
        <v>718</v>
      </c>
      <c r="C446" t="s">
        <v>1129</v>
      </c>
      <c r="D446">
        <v>1</v>
      </c>
      <c r="E446">
        <v>10</v>
      </c>
      <c r="F446">
        <v>147</v>
      </c>
      <c r="G446">
        <v>1</v>
      </c>
      <c r="H446">
        <v>147</v>
      </c>
    </row>
    <row r="447" spans="1:8">
      <c r="A447" t="s">
        <v>26</v>
      </c>
      <c r="B447" t="s">
        <v>569</v>
      </c>
      <c r="C447" t="s">
        <v>1121</v>
      </c>
      <c r="D447">
        <v>2</v>
      </c>
      <c r="E447">
        <v>3</v>
      </c>
      <c r="F447">
        <v>124.6</v>
      </c>
      <c r="G447">
        <v>2</v>
      </c>
      <c r="H447">
        <v>62.3</v>
      </c>
    </row>
    <row r="448" spans="1:8">
      <c r="A448" t="s">
        <v>26</v>
      </c>
      <c r="B448" t="s">
        <v>760</v>
      </c>
      <c r="C448" t="s">
        <v>1115</v>
      </c>
      <c r="D448">
        <v>2</v>
      </c>
      <c r="E448">
        <v>7</v>
      </c>
      <c r="F448">
        <v>114</v>
      </c>
      <c r="G448">
        <v>1</v>
      </c>
      <c r="H448">
        <v>114</v>
      </c>
    </row>
    <row r="449" spans="1:8">
      <c r="A449" t="s">
        <v>26</v>
      </c>
      <c r="B449" t="s">
        <v>569</v>
      </c>
      <c r="C449" t="s">
        <v>1125</v>
      </c>
      <c r="D449">
        <v>1</v>
      </c>
      <c r="E449">
        <v>3</v>
      </c>
      <c r="F449">
        <v>98.4</v>
      </c>
      <c r="G449">
        <v>1</v>
      </c>
      <c r="H449">
        <v>98.4</v>
      </c>
    </row>
    <row r="450" spans="1:8">
      <c r="A450" t="s">
        <v>26</v>
      </c>
      <c r="B450" t="s">
        <v>569</v>
      </c>
      <c r="C450" t="s">
        <v>1129</v>
      </c>
      <c r="D450">
        <v>1</v>
      </c>
      <c r="E450">
        <v>5</v>
      </c>
      <c r="F450">
        <v>95</v>
      </c>
      <c r="G450">
        <v>1</v>
      </c>
      <c r="H450">
        <v>95</v>
      </c>
    </row>
    <row r="451" spans="1:8">
      <c r="A451" t="s">
        <v>26</v>
      </c>
      <c r="B451" t="s">
        <v>569</v>
      </c>
      <c r="C451" t="s">
        <v>1117</v>
      </c>
      <c r="D451">
        <v>1</v>
      </c>
      <c r="E451">
        <v>4</v>
      </c>
      <c r="F451">
        <v>85.4</v>
      </c>
      <c r="G451">
        <v>1</v>
      </c>
      <c r="H451">
        <v>85.4</v>
      </c>
    </row>
    <row r="452" spans="1:8">
      <c r="A452" t="s">
        <v>26</v>
      </c>
      <c r="B452" t="s">
        <v>760</v>
      </c>
      <c r="C452" t="s">
        <v>1123</v>
      </c>
      <c r="D452">
        <v>1</v>
      </c>
      <c r="E452">
        <v>10</v>
      </c>
      <c r="F452">
        <v>70</v>
      </c>
      <c r="G452">
        <v>1</v>
      </c>
      <c r="H452">
        <v>70</v>
      </c>
    </row>
    <row r="453" spans="1:8">
      <c r="A453" t="s">
        <v>26</v>
      </c>
      <c r="B453" t="s">
        <v>738</v>
      </c>
      <c r="C453" t="s">
        <v>1127</v>
      </c>
      <c r="D453">
        <v>1</v>
      </c>
      <c r="E453">
        <v>3</v>
      </c>
      <c r="F453">
        <v>62.78</v>
      </c>
      <c r="G453">
        <v>1</v>
      </c>
      <c r="H453">
        <v>62.78</v>
      </c>
    </row>
    <row r="454" spans="1:8">
      <c r="A454" t="s">
        <v>26</v>
      </c>
      <c r="B454" t="s">
        <v>674</v>
      </c>
      <c r="C454" t="s">
        <v>1121</v>
      </c>
      <c r="D454">
        <v>1</v>
      </c>
      <c r="E454">
        <v>20</v>
      </c>
      <c r="F454">
        <v>40</v>
      </c>
      <c r="G454">
        <v>1</v>
      </c>
      <c r="H454">
        <v>40</v>
      </c>
    </row>
    <row r="455" spans="1:8">
      <c r="A455" t="s">
        <v>26</v>
      </c>
      <c r="B455" t="s">
        <v>747</v>
      </c>
      <c r="C455" t="s">
        <v>1129</v>
      </c>
      <c r="D455">
        <v>1</v>
      </c>
      <c r="E455">
        <v>2</v>
      </c>
      <c r="F455">
        <v>36.799999999999997</v>
      </c>
      <c r="G455">
        <v>1</v>
      </c>
      <c r="H455">
        <v>36.799999999999997</v>
      </c>
    </row>
    <row r="456" spans="1:8">
      <c r="A456" t="s">
        <v>26</v>
      </c>
      <c r="B456" t="s">
        <v>747</v>
      </c>
      <c r="C456" t="s">
        <v>1121</v>
      </c>
      <c r="D456">
        <v>1</v>
      </c>
      <c r="E456">
        <v>14</v>
      </c>
      <c r="F456">
        <v>35</v>
      </c>
      <c r="G456">
        <v>1</v>
      </c>
      <c r="H456">
        <v>35</v>
      </c>
    </row>
    <row r="457" spans="1:8">
      <c r="A457" t="s">
        <v>438</v>
      </c>
      <c r="B457" t="s">
        <v>525</v>
      </c>
      <c r="C457" t="s">
        <v>1121</v>
      </c>
      <c r="D457">
        <v>7</v>
      </c>
      <c r="E457">
        <v>238</v>
      </c>
      <c r="F457">
        <v>7360.83</v>
      </c>
      <c r="G457">
        <v>1</v>
      </c>
      <c r="H457">
        <v>7360.83</v>
      </c>
    </row>
    <row r="458" spans="1:8">
      <c r="A458" t="s">
        <v>438</v>
      </c>
      <c r="B458" t="s">
        <v>1153</v>
      </c>
      <c r="C458" t="s">
        <v>1121</v>
      </c>
      <c r="D458">
        <v>8</v>
      </c>
      <c r="E458">
        <v>204</v>
      </c>
      <c r="F458">
        <v>7241.6</v>
      </c>
      <c r="G458">
        <v>1</v>
      </c>
      <c r="H458">
        <v>7241.6</v>
      </c>
    </row>
    <row r="459" spans="1:8">
      <c r="A459" t="s">
        <v>438</v>
      </c>
      <c r="B459" t="s">
        <v>688</v>
      </c>
      <c r="C459" t="s">
        <v>1129</v>
      </c>
      <c r="D459">
        <v>6</v>
      </c>
      <c r="E459">
        <v>205</v>
      </c>
      <c r="F459">
        <v>3577.5</v>
      </c>
      <c r="G459">
        <v>1</v>
      </c>
      <c r="H459">
        <v>3577.5</v>
      </c>
    </row>
    <row r="460" spans="1:8">
      <c r="A460" t="s">
        <v>438</v>
      </c>
      <c r="B460" t="s">
        <v>1153</v>
      </c>
      <c r="C460" t="s">
        <v>1129</v>
      </c>
      <c r="D460">
        <v>9</v>
      </c>
      <c r="E460">
        <v>257</v>
      </c>
      <c r="F460">
        <v>3274.07</v>
      </c>
      <c r="G460">
        <v>1</v>
      </c>
      <c r="H460">
        <v>3274.07</v>
      </c>
    </row>
    <row r="461" spans="1:8">
      <c r="A461" t="s">
        <v>438</v>
      </c>
      <c r="B461" t="s">
        <v>1153</v>
      </c>
      <c r="C461" t="s">
        <v>1115</v>
      </c>
      <c r="D461">
        <v>10</v>
      </c>
      <c r="E461">
        <v>258</v>
      </c>
      <c r="F461">
        <v>3068.85</v>
      </c>
      <c r="G461">
        <v>1</v>
      </c>
      <c r="H461">
        <v>3068.85</v>
      </c>
    </row>
    <row r="462" spans="1:8">
      <c r="A462" t="s">
        <v>438</v>
      </c>
      <c r="B462" t="s">
        <v>688</v>
      </c>
      <c r="C462" t="s">
        <v>1121</v>
      </c>
      <c r="D462">
        <v>2</v>
      </c>
      <c r="E462">
        <v>109</v>
      </c>
      <c r="F462">
        <v>3047.22</v>
      </c>
      <c r="G462">
        <v>1</v>
      </c>
      <c r="H462">
        <v>3047.22</v>
      </c>
    </row>
    <row r="463" spans="1:8">
      <c r="A463" t="s">
        <v>438</v>
      </c>
      <c r="B463" t="s">
        <v>525</v>
      </c>
      <c r="C463" t="s">
        <v>1119</v>
      </c>
      <c r="D463">
        <v>6</v>
      </c>
      <c r="E463">
        <v>179</v>
      </c>
      <c r="F463">
        <v>2745.05</v>
      </c>
      <c r="G463">
        <v>1</v>
      </c>
      <c r="H463">
        <v>2745.05</v>
      </c>
    </row>
    <row r="464" spans="1:8">
      <c r="A464" t="s">
        <v>438</v>
      </c>
      <c r="B464" t="s">
        <v>688</v>
      </c>
      <c r="C464" t="s">
        <v>1115</v>
      </c>
      <c r="D464">
        <v>5</v>
      </c>
      <c r="E464">
        <v>183</v>
      </c>
      <c r="F464">
        <v>2478.6</v>
      </c>
      <c r="G464">
        <v>1</v>
      </c>
      <c r="H464">
        <v>2478.6</v>
      </c>
    </row>
    <row r="465" spans="1:8">
      <c r="A465" t="s">
        <v>438</v>
      </c>
      <c r="B465" t="s">
        <v>688</v>
      </c>
      <c r="C465" t="s">
        <v>1119</v>
      </c>
      <c r="D465">
        <v>6</v>
      </c>
      <c r="E465">
        <v>174</v>
      </c>
      <c r="F465">
        <v>2373.61</v>
      </c>
      <c r="G465">
        <v>1</v>
      </c>
      <c r="H465">
        <v>2373.61</v>
      </c>
    </row>
    <row r="466" spans="1:8">
      <c r="A466" t="s">
        <v>438</v>
      </c>
      <c r="B466" t="s">
        <v>1153</v>
      </c>
      <c r="C466" t="s">
        <v>1127</v>
      </c>
      <c r="D466">
        <v>2</v>
      </c>
      <c r="E466">
        <v>61</v>
      </c>
      <c r="F466">
        <v>2100</v>
      </c>
      <c r="G466">
        <v>1</v>
      </c>
      <c r="H466">
        <v>2100</v>
      </c>
    </row>
    <row r="467" spans="1:8">
      <c r="A467" t="s">
        <v>438</v>
      </c>
      <c r="B467" t="s">
        <v>1153</v>
      </c>
      <c r="C467" t="s">
        <v>1119</v>
      </c>
      <c r="D467">
        <v>3</v>
      </c>
      <c r="E467">
        <v>76</v>
      </c>
      <c r="F467">
        <v>1702.16</v>
      </c>
      <c r="G467">
        <v>1</v>
      </c>
      <c r="H467">
        <v>1702.16</v>
      </c>
    </row>
    <row r="468" spans="1:8">
      <c r="A468" t="s">
        <v>438</v>
      </c>
      <c r="B468" t="s">
        <v>1153</v>
      </c>
      <c r="C468" t="s">
        <v>1125</v>
      </c>
      <c r="D468">
        <v>2</v>
      </c>
      <c r="E468">
        <v>72</v>
      </c>
      <c r="F468">
        <v>1687.08</v>
      </c>
      <c r="G468">
        <v>1</v>
      </c>
      <c r="H468">
        <v>1687.08</v>
      </c>
    </row>
    <row r="469" spans="1:8">
      <c r="A469" t="s">
        <v>438</v>
      </c>
      <c r="B469" t="s">
        <v>1153</v>
      </c>
      <c r="C469" t="s">
        <v>1123</v>
      </c>
      <c r="D469">
        <v>3</v>
      </c>
      <c r="E469">
        <v>73</v>
      </c>
      <c r="F469">
        <v>1617</v>
      </c>
      <c r="G469">
        <v>1</v>
      </c>
      <c r="H469">
        <v>1617</v>
      </c>
    </row>
    <row r="470" spans="1:8">
      <c r="A470" t="s">
        <v>438</v>
      </c>
      <c r="B470" t="s">
        <v>525</v>
      </c>
      <c r="C470" t="s">
        <v>1129</v>
      </c>
      <c r="D470">
        <v>3</v>
      </c>
      <c r="E470">
        <v>78</v>
      </c>
      <c r="F470">
        <v>1209.9000000000001</v>
      </c>
      <c r="G470">
        <v>1</v>
      </c>
      <c r="H470">
        <v>1209.9000000000001</v>
      </c>
    </row>
    <row r="471" spans="1:8">
      <c r="A471" t="s">
        <v>438</v>
      </c>
      <c r="B471" t="s">
        <v>525</v>
      </c>
      <c r="C471" t="s">
        <v>1127</v>
      </c>
      <c r="D471">
        <v>2</v>
      </c>
      <c r="E471">
        <v>34</v>
      </c>
      <c r="F471">
        <v>1024</v>
      </c>
      <c r="G471">
        <v>1</v>
      </c>
      <c r="H471">
        <v>1024</v>
      </c>
    </row>
    <row r="472" spans="1:8">
      <c r="A472" t="s">
        <v>438</v>
      </c>
      <c r="B472" t="s">
        <v>482</v>
      </c>
      <c r="C472" t="s">
        <v>1125</v>
      </c>
      <c r="D472">
        <v>1</v>
      </c>
      <c r="E472">
        <v>10</v>
      </c>
      <c r="F472">
        <v>990</v>
      </c>
      <c r="G472">
        <v>1</v>
      </c>
      <c r="H472">
        <v>990</v>
      </c>
    </row>
    <row r="473" spans="1:8">
      <c r="A473" t="s">
        <v>438</v>
      </c>
      <c r="B473" t="s">
        <v>688</v>
      </c>
      <c r="C473" t="s">
        <v>1117</v>
      </c>
      <c r="D473">
        <v>3</v>
      </c>
      <c r="E473">
        <v>91</v>
      </c>
      <c r="F473">
        <v>986.05</v>
      </c>
      <c r="G473">
        <v>1</v>
      </c>
      <c r="H473">
        <v>986.05</v>
      </c>
    </row>
    <row r="474" spans="1:8">
      <c r="A474" t="s">
        <v>438</v>
      </c>
      <c r="B474" t="s">
        <v>525</v>
      </c>
      <c r="C474" t="s">
        <v>1123</v>
      </c>
      <c r="D474">
        <v>3</v>
      </c>
      <c r="E474">
        <v>105</v>
      </c>
      <c r="F474">
        <v>933</v>
      </c>
      <c r="G474">
        <v>1</v>
      </c>
      <c r="H474">
        <v>933</v>
      </c>
    </row>
    <row r="475" spans="1:8">
      <c r="A475" t="s">
        <v>438</v>
      </c>
      <c r="B475" t="s">
        <v>525</v>
      </c>
      <c r="C475" t="s">
        <v>1125</v>
      </c>
      <c r="D475">
        <v>1</v>
      </c>
      <c r="E475">
        <v>60</v>
      </c>
      <c r="F475">
        <v>864</v>
      </c>
      <c r="G475">
        <v>1</v>
      </c>
      <c r="H475">
        <v>864</v>
      </c>
    </row>
    <row r="476" spans="1:8">
      <c r="A476" t="s">
        <v>438</v>
      </c>
      <c r="B476" t="s">
        <v>525</v>
      </c>
      <c r="C476" t="s">
        <v>1115</v>
      </c>
      <c r="D476">
        <v>2</v>
      </c>
      <c r="E476">
        <v>43</v>
      </c>
      <c r="F476">
        <v>647.4</v>
      </c>
      <c r="G476">
        <v>1</v>
      </c>
      <c r="H476">
        <v>647.4</v>
      </c>
    </row>
    <row r="477" spans="1:8">
      <c r="A477" t="s">
        <v>438</v>
      </c>
      <c r="B477" t="s">
        <v>525</v>
      </c>
      <c r="C477" t="s">
        <v>1117</v>
      </c>
      <c r="D477">
        <v>3</v>
      </c>
      <c r="E477">
        <v>50</v>
      </c>
      <c r="F477">
        <v>618.5</v>
      </c>
      <c r="G477">
        <v>1</v>
      </c>
      <c r="H477">
        <v>618.5</v>
      </c>
    </row>
    <row r="478" spans="1:8">
      <c r="A478" t="s">
        <v>438</v>
      </c>
      <c r="B478" t="s">
        <v>688</v>
      </c>
      <c r="C478" t="s">
        <v>1125</v>
      </c>
      <c r="D478">
        <v>1</v>
      </c>
      <c r="E478">
        <v>30</v>
      </c>
      <c r="F478">
        <v>518.4</v>
      </c>
      <c r="G478">
        <v>1</v>
      </c>
      <c r="H478">
        <v>518.4</v>
      </c>
    </row>
    <row r="479" spans="1:8">
      <c r="A479" t="s">
        <v>438</v>
      </c>
      <c r="B479" t="s">
        <v>1153</v>
      </c>
      <c r="C479" t="s">
        <v>1117</v>
      </c>
      <c r="D479">
        <v>2</v>
      </c>
      <c r="E479">
        <v>25</v>
      </c>
      <c r="F479">
        <v>350.5</v>
      </c>
      <c r="G479">
        <v>1</v>
      </c>
      <c r="H479">
        <v>350.5</v>
      </c>
    </row>
    <row r="480" spans="1:8">
      <c r="A480" t="s">
        <v>438</v>
      </c>
      <c r="B480" t="s">
        <v>482</v>
      </c>
      <c r="C480" t="s">
        <v>1129</v>
      </c>
      <c r="D480">
        <v>1</v>
      </c>
      <c r="E480">
        <v>10</v>
      </c>
      <c r="F480">
        <v>310</v>
      </c>
      <c r="G480">
        <v>1</v>
      </c>
      <c r="H480">
        <v>310</v>
      </c>
    </row>
    <row r="481" spans="1:8">
      <c r="A481" t="s">
        <v>438</v>
      </c>
      <c r="B481" t="s">
        <v>688</v>
      </c>
      <c r="C481" t="s">
        <v>1123</v>
      </c>
      <c r="D481">
        <v>1</v>
      </c>
      <c r="E481">
        <v>18</v>
      </c>
      <c r="F481">
        <v>162</v>
      </c>
      <c r="G481">
        <v>1</v>
      </c>
      <c r="H481">
        <v>162</v>
      </c>
    </row>
    <row r="482" spans="1:8">
      <c r="A482" t="s">
        <v>438</v>
      </c>
      <c r="B482" t="s">
        <v>482</v>
      </c>
      <c r="C482" t="s">
        <v>1121</v>
      </c>
      <c r="D482">
        <v>1</v>
      </c>
      <c r="E482">
        <v>4</v>
      </c>
      <c r="F482">
        <v>111.2</v>
      </c>
      <c r="G482">
        <v>1</v>
      </c>
      <c r="H482">
        <v>111.2</v>
      </c>
    </row>
    <row r="483" spans="1:8">
      <c r="A483" t="s">
        <v>438</v>
      </c>
      <c r="B483" t="s">
        <v>482</v>
      </c>
      <c r="C483" t="s">
        <v>1115</v>
      </c>
      <c r="D483">
        <v>1</v>
      </c>
      <c r="E483">
        <v>10</v>
      </c>
      <c r="F483">
        <v>77.5</v>
      </c>
      <c r="G483">
        <v>1</v>
      </c>
      <c r="H483">
        <v>77.5</v>
      </c>
    </row>
  </sheetData>
  <pageMargins left="0.7" right="0.7" top="0.75" bottom="0.75" header="0.3" footer="0.3"/>
  <tableParts count="1">
    <tablePart r:id="rId1"/>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9B570D-91DB-844C-A344-CC81E3D82CED}">
  <dimension ref="A1:H15"/>
  <sheetViews>
    <sheetView showGridLines="0" workbookViewId="0">
      <selection activeCell="A41" sqref="A41"/>
    </sheetView>
  </sheetViews>
  <sheetFormatPr baseColWidth="10" defaultRowHeight="13"/>
  <cols>
    <col min="2" max="2" width="17.1640625" bestFit="1" customWidth="1"/>
    <col min="3" max="3" width="10.6640625" bestFit="1" customWidth="1"/>
    <col min="4" max="4" width="12.5" bestFit="1" customWidth="1"/>
    <col min="6" max="6" width="19.33203125" bestFit="1" customWidth="1"/>
    <col min="7" max="7" width="13.33203125" bestFit="1" customWidth="1"/>
    <col min="8" max="8" width="12.5" bestFit="1" customWidth="1"/>
  </cols>
  <sheetData>
    <row r="1" spans="1:8" ht="22" thickBot="1">
      <c r="A1" s="19" t="s">
        <v>1605</v>
      </c>
      <c r="B1" s="20" t="s">
        <v>1603</v>
      </c>
      <c r="C1" s="21"/>
      <c r="D1" s="21"/>
      <c r="E1" s="21"/>
      <c r="F1" s="21"/>
      <c r="G1" s="21"/>
      <c r="H1" s="22"/>
    </row>
    <row r="3" spans="1:8">
      <c r="B3" s="12" t="s">
        <v>1623</v>
      </c>
      <c r="C3" t="s">
        <v>1587</v>
      </c>
      <c r="D3" t="s">
        <v>1586</v>
      </c>
      <c r="F3" s="12" t="s">
        <v>1625</v>
      </c>
      <c r="G3" t="s">
        <v>1624</v>
      </c>
      <c r="H3" t="s">
        <v>1586</v>
      </c>
    </row>
    <row r="4" spans="1:8">
      <c r="B4" s="13" t="s">
        <v>1115</v>
      </c>
      <c r="C4">
        <v>354</v>
      </c>
      <c r="D4">
        <v>267868.18</v>
      </c>
      <c r="F4" s="13" t="s">
        <v>346</v>
      </c>
      <c r="G4">
        <v>1496</v>
      </c>
      <c r="H4">
        <v>71155.7</v>
      </c>
    </row>
    <row r="5" spans="1:8">
      <c r="B5" s="13" t="s">
        <v>1121</v>
      </c>
      <c r="C5">
        <v>303</v>
      </c>
      <c r="D5">
        <v>234507.28</v>
      </c>
      <c r="F5" s="13" t="s">
        <v>352</v>
      </c>
      <c r="G5">
        <v>1083</v>
      </c>
      <c r="H5">
        <v>47234.97</v>
      </c>
    </row>
    <row r="6" spans="1:8">
      <c r="B6" s="13" t="s">
        <v>1119</v>
      </c>
      <c r="C6">
        <v>295</v>
      </c>
      <c r="D6">
        <v>167357.22</v>
      </c>
      <c r="F6" s="13" t="s">
        <v>348</v>
      </c>
      <c r="G6">
        <v>1577</v>
      </c>
      <c r="H6">
        <v>46825.48</v>
      </c>
    </row>
    <row r="7" spans="1:8">
      <c r="B7" s="13" t="s">
        <v>1125</v>
      </c>
      <c r="C7">
        <v>161</v>
      </c>
      <c r="D7">
        <v>163022.35999999999</v>
      </c>
      <c r="F7" s="13" t="s">
        <v>341</v>
      </c>
      <c r="G7">
        <v>1263</v>
      </c>
      <c r="H7">
        <v>42593.06</v>
      </c>
    </row>
    <row r="8" spans="1:8">
      <c r="B8" s="13" t="s">
        <v>1129</v>
      </c>
      <c r="C8">
        <v>291</v>
      </c>
      <c r="D8">
        <v>131261.74</v>
      </c>
      <c r="F8" s="13" t="s">
        <v>1209</v>
      </c>
      <c r="G8">
        <v>1057</v>
      </c>
      <c r="H8">
        <v>19551.03</v>
      </c>
    </row>
    <row r="9" spans="1:8">
      <c r="B9" s="13" t="s">
        <v>1117</v>
      </c>
      <c r="C9">
        <v>193</v>
      </c>
      <c r="D9">
        <v>106047.09</v>
      </c>
      <c r="F9" s="13" t="s">
        <v>309</v>
      </c>
      <c r="G9">
        <v>1103</v>
      </c>
      <c r="H9">
        <v>17910.63</v>
      </c>
    </row>
    <row r="10" spans="1:8">
      <c r="B10" s="13" t="s">
        <v>1127</v>
      </c>
      <c r="C10">
        <v>129</v>
      </c>
      <c r="D10">
        <v>99984.58</v>
      </c>
      <c r="F10" s="13" t="s">
        <v>263</v>
      </c>
      <c r="G10">
        <v>1158</v>
      </c>
      <c r="H10">
        <v>17215.78</v>
      </c>
    </row>
    <row r="11" spans="1:8">
      <c r="B11" s="13" t="s">
        <v>1123</v>
      </c>
      <c r="C11">
        <v>182</v>
      </c>
      <c r="D11">
        <v>95744.59</v>
      </c>
      <c r="F11" s="13" t="s">
        <v>235</v>
      </c>
      <c r="G11">
        <v>1057</v>
      </c>
      <c r="H11">
        <v>16355.96</v>
      </c>
    </row>
    <row r="12" spans="1:8">
      <c r="B12" s="13" t="s">
        <v>1184</v>
      </c>
      <c r="C12">
        <v>1908</v>
      </c>
      <c r="D12">
        <v>1265793.04</v>
      </c>
      <c r="F12" s="13" t="s">
        <v>293</v>
      </c>
      <c r="G12">
        <v>1397</v>
      </c>
      <c r="H12">
        <v>14920.88</v>
      </c>
    </row>
    <row r="13" spans="1:8">
      <c r="F13" s="13" t="s">
        <v>1214</v>
      </c>
      <c r="G13">
        <v>1155</v>
      </c>
      <c r="H13">
        <v>8177.49</v>
      </c>
    </row>
    <row r="14" spans="1:8">
      <c r="F14" s="13" t="s">
        <v>1218</v>
      </c>
      <c r="G14">
        <v>1125</v>
      </c>
      <c r="H14">
        <v>4504.3599999999997</v>
      </c>
    </row>
    <row r="15" spans="1:8">
      <c r="F15" s="13" t="s">
        <v>1184</v>
      </c>
      <c r="G15">
        <v>13471</v>
      </c>
      <c r="H15">
        <v>306445.33999999997</v>
      </c>
    </row>
  </sheetData>
  <pageMargins left="0.7" right="0.7" top="0.75" bottom="0.75" header="0.3" footer="0.3"/>
  <drawing r:id="rId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8F0FCD-60D2-4000-A311-5D02CB02E542}">
  <dimension ref="A1:S484"/>
  <sheetViews>
    <sheetView showGridLines="0" workbookViewId="0">
      <selection activeCell="A23" sqref="A23"/>
    </sheetView>
  </sheetViews>
  <sheetFormatPr baseColWidth="10" defaultColWidth="8.83203125" defaultRowHeight="13"/>
  <cols>
    <col min="12" max="12" width="10.5" bestFit="1" customWidth="1"/>
    <col min="13" max="13" width="13.1640625" bestFit="1" customWidth="1"/>
    <col min="14" max="14" width="16.83203125" bestFit="1" customWidth="1"/>
    <col min="15" max="15" width="14.1640625" bestFit="1" customWidth="1"/>
    <col min="16" max="16" width="15.83203125" bestFit="1" customWidth="1"/>
    <col min="17" max="17" width="10.6640625" bestFit="1" customWidth="1"/>
    <col min="18" max="18" width="20.1640625" bestFit="1" customWidth="1"/>
    <col min="19" max="19" width="24.5" bestFit="1" customWidth="1"/>
  </cols>
  <sheetData>
    <row r="1" spans="1:19" ht="14" thickBot="1">
      <c r="A1" s="43" t="s">
        <v>1230</v>
      </c>
      <c r="B1" s="44"/>
      <c r="C1" s="44"/>
      <c r="D1" s="44"/>
      <c r="E1" s="44"/>
      <c r="F1" s="44"/>
      <c r="G1" s="44"/>
      <c r="H1" s="44"/>
      <c r="I1" s="44"/>
      <c r="J1" s="45"/>
    </row>
    <row r="2" spans="1:19" ht="13.5" customHeight="1">
      <c r="A2" s="37" t="s">
        <v>1231</v>
      </c>
      <c r="B2" s="38"/>
      <c r="C2" s="38"/>
      <c r="D2" s="38"/>
      <c r="E2" s="38"/>
      <c r="F2" s="38"/>
      <c r="G2" s="38"/>
      <c r="H2" s="38"/>
      <c r="I2" s="38"/>
      <c r="J2" s="39"/>
      <c r="L2" t="s">
        <v>8</v>
      </c>
      <c r="M2" t="s">
        <v>5</v>
      </c>
      <c r="N2" t="s">
        <v>1113</v>
      </c>
      <c r="O2" t="s">
        <v>1187</v>
      </c>
      <c r="P2" t="s">
        <v>1226</v>
      </c>
      <c r="Q2" t="s">
        <v>1227</v>
      </c>
      <c r="R2" t="s">
        <v>1228</v>
      </c>
      <c r="S2" t="s">
        <v>1229</v>
      </c>
    </row>
    <row r="3" spans="1:19">
      <c r="A3" s="37"/>
      <c r="B3" s="38"/>
      <c r="C3" s="38"/>
      <c r="D3" s="38"/>
      <c r="E3" s="38"/>
      <c r="F3" s="38"/>
      <c r="G3" s="38"/>
      <c r="H3" s="38"/>
      <c r="I3" s="38"/>
      <c r="J3" s="39"/>
      <c r="L3" t="s">
        <v>698</v>
      </c>
      <c r="M3" t="s">
        <v>697</v>
      </c>
      <c r="N3" t="s">
        <v>1119</v>
      </c>
      <c r="O3">
        <v>7</v>
      </c>
      <c r="P3">
        <v>55</v>
      </c>
      <c r="Q3">
        <v>2095.1</v>
      </c>
      <c r="R3">
        <v>3</v>
      </c>
      <c r="S3">
        <v>698.37</v>
      </c>
    </row>
    <row r="4" spans="1:19">
      <c r="A4" s="37"/>
      <c r="B4" s="38"/>
      <c r="C4" s="38"/>
      <c r="D4" s="38"/>
      <c r="E4" s="38"/>
      <c r="F4" s="38"/>
      <c r="G4" s="38"/>
      <c r="H4" s="38"/>
      <c r="I4" s="38"/>
      <c r="J4" s="39"/>
      <c r="L4" t="s">
        <v>698</v>
      </c>
      <c r="M4" t="s">
        <v>697</v>
      </c>
      <c r="N4" t="s">
        <v>1115</v>
      </c>
      <c r="O4">
        <v>5</v>
      </c>
      <c r="P4">
        <v>62</v>
      </c>
      <c r="Q4">
        <v>1518</v>
      </c>
      <c r="R4">
        <v>3</v>
      </c>
      <c r="S4">
        <v>506</v>
      </c>
    </row>
    <row r="5" spans="1:19">
      <c r="A5" s="37"/>
      <c r="B5" s="38"/>
      <c r="C5" s="38"/>
      <c r="D5" s="38"/>
      <c r="E5" s="38"/>
      <c r="F5" s="38"/>
      <c r="G5" s="38"/>
      <c r="H5" s="38"/>
      <c r="I5" s="38"/>
      <c r="J5" s="39"/>
      <c r="L5" t="s">
        <v>698</v>
      </c>
      <c r="M5" t="s">
        <v>697</v>
      </c>
      <c r="N5" t="s">
        <v>1127</v>
      </c>
      <c r="O5">
        <v>4</v>
      </c>
      <c r="P5">
        <v>33</v>
      </c>
      <c r="Q5">
        <v>1139</v>
      </c>
      <c r="R5">
        <v>3</v>
      </c>
      <c r="S5">
        <v>379.67</v>
      </c>
    </row>
    <row r="6" spans="1:19">
      <c r="A6" s="37"/>
      <c r="B6" s="38"/>
      <c r="C6" s="38"/>
      <c r="D6" s="38"/>
      <c r="E6" s="38"/>
      <c r="F6" s="38"/>
      <c r="G6" s="38"/>
      <c r="H6" s="38"/>
      <c r="I6" s="38"/>
      <c r="J6" s="39"/>
      <c r="L6" t="s">
        <v>698</v>
      </c>
      <c r="M6" t="s">
        <v>697</v>
      </c>
      <c r="N6" t="s">
        <v>1121</v>
      </c>
      <c r="O6">
        <v>5</v>
      </c>
      <c r="P6">
        <v>44</v>
      </c>
      <c r="Q6">
        <v>1118.5</v>
      </c>
      <c r="R6">
        <v>3</v>
      </c>
      <c r="S6">
        <v>372.83</v>
      </c>
    </row>
    <row r="7" spans="1:19">
      <c r="A7" s="37"/>
      <c r="B7" s="38"/>
      <c r="C7" s="38"/>
      <c r="D7" s="38"/>
      <c r="E7" s="38"/>
      <c r="F7" s="38"/>
      <c r="G7" s="38"/>
      <c r="H7" s="38"/>
      <c r="I7" s="38"/>
      <c r="J7" s="39"/>
      <c r="L7" t="s">
        <v>698</v>
      </c>
      <c r="M7" t="s">
        <v>697</v>
      </c>
      <c r="N7" t="s">
        <v>1117</v>
      </c>
      <c r="O7">
        <v>3</v>
      </c>
      <c r="P7">
        <v>45</v>
      </c>
      <c r="Q7">
        <v>907</v>
      </c>
      <c r="R7">
        <v>2</v>
      </c>
      <c r="S7">
        <v>453.5</v>
      </c>
    </row>
    <row r="8" spans="1:19">
      <c r="A8" s="37"/>
      <c r="B8" s="38"/>
      <c r="C8" s="38"/>
      <c r="D8" s="38"/>
      <c r="E8" s="38"/>
      <c r="F8" s="38"/>
      <c r="G8" s="38"/>
      <c r="H8" s="38"/>
      <c r="I8" s="38"/>
      <c r="J8" s="39"/>
      <c r="L8" t="s">
        <v>698</v>
      </c>
      <c r="M8" t="s">
        <v>697</v>
      </c>
      <c r="N8" t="s">
        <v>1129</v>
      </c>
      <c r="O8">
        <v>4</v>
      </c>
      <c r="P8">
        <v>45</v>
      </c>
      <c r="Q8">
        <v>570.5</v>
      </c>
      <c r="R8">
        <v>3</v>
      </c>
      <c r="S8">
        <v>190.17</v>
      </c>
    </row>
    <row r="9" spans="1:19">
      <c r="A9" s="37"/>
      <c r="B9" s="38"/>
      <c r="C9" s="38"/>
      <c r="D9" s="38"/>
      <c r="E9" s="38"/>
      <c r="F9" s="38"/>
      <c r="G9" s="38"/>
      <c r="H9" s="38"/>
      <c r="I9" s="38"/>
      <c r="J9" s="39"/>
      <c r="L9" t="s">
        <v>698</v>
      </c>
      <c r="M9" t="s">
        <v>697</v>
      </c>
      <c r="N9" t="s">
        <v>1123</v>
      </c>
      <c r="O9">
        <v>1</v>
      </c>
      <c r="P9">
        <v>20</v>
      </c>
      <c r="Q9">
        <v>390</v>
      </c>
      <c r="R9">
        <v>1</v>
      </c>
      <c r="S9">
        <v>390</v>
      </c>
    </row>
    <row r="10" spans="1:19">
      <c r="A10" s="37"/>
      <c r="B10" s="38"/>
      <c r="C10" s="38"/>
      <c r="D10" s="38"/>
      <c r="E10" s="38"/>
      <c r="F10" s="38"/>
      <c r="G10" s="38"/>
      <c r="H10" s="38"/>
      <c r="I10" s="38"/>
      <c r="J10" s="39"/>
      <c r="L10" t="s">
        <v>443</v>
      </c>
      <c r="M10" t="s">
        <v>442</v>
      </c>
      <c r="N10" t="s">
        <v>1121</v>
      </c>
      <c r="O10">
        <v>16</v>
      </c>
      <c r="P10">
        <v>761</v>
      </c>
      <c r="Q10">
        <v>17994.96</v>
      </c>
      <c r="R10">
        <v>1</v>
      </c>
      <c r="S10">
        <v>17994.96</v>
      </c>
    </row>
    <row r="11" spans="1:19">
      <c r="A11" s="37"/>
      <c r="B11" s="38"/>
      <c r="C11" s="38"/>
      <c r="D11" s="38"/>
      <c r="E11" s="38"/>
      <c r="F11" s="38"/>
      <c r="G11" s="38"/>
      <c r="H11" s="38"/>
      <c r="I11" s="38"/>
      <c r="J11" s="39"/>
      <c r="L11" t="s">
        <v>443</v>
      </c>
      <c r="M11" t="s">
        <v>442</v>
      </c>
      <c r="N11" t="s">
        <v>1117</v>
      </c>
      <c r="O11">
        <v>11</v>
      </c>
      <c r="P11">
        <v>654</v>
      </c>
      <c r="Q11">
        <v>13820.06</v>
      </c>
      <c r="R11">
        <v>1</v>
      </c>
      <c r="S11">
        <v>13820.06</v>
      </c>
    </row>
    <row r="12" spans="1:19">
      <c r="A12" s="37"/>
      <c r="B12" s="38"/>
      <c r="C12" s="38"/>
      <c r="D12" s="38"/>
      <c r="E12" s="38"/>
      <c r="F12" s="38"/>
      <c r="G12" s="38"/>
      <c r="H12" s="38"/>
      <c r="I12" s="38"/>
      <c r="J12" s="39"/>
      <c r="L12" t="s">
        <v>443</v>
      </c>
      <c r="M12" t="s">
        <v>442</v>
      </c>
      <c r="N12" t="s">
        <v>1119</v>
      </c>
      <c r="O12">
        <v>9</v>
      </c>
      <c r="P12">
        <v>520</v>
      </c>
      <c r="Q12">
        <v>12458.26</v>
      </c>
      <c r="R12">
        <v>1</v>
      </c>
      <c r="S12">
        <v>12458.26</v>
      </c>
    </row>
    <row r="13" spans="1:19">
      <c r="A13" s="37"/>
      <c r="B13" s="38"/>
      <c r="C13" s="38"/>
      <c r="D13" s="38"/>
      <c r="E13" s="38"/>
      <c r="F13" s="38"/>
      <c r="G13" s="38"/>
      <c r="H13" s="38"/>
      <c r="I13" s="38"/>
      <c r="J13" s="39"/>
      <c r="L13" t="s">
        <v>443</v>
      </c>
      <c r="M13" t="s">
        <v>442</v>
      </c>
      <c r="N13" s="9" t="s">
        <v>1115</v>
      </c>
      <c r="O13">
        <v>14</v>
      </c>
      <c r="P13">
        <v>694</v>
      </c>
      <c r="Q13">
        <v>10910.3</v>
      </c>
      <c r="R13">
        <v>1</v>
      </c>
      <c r="S13">
        <v>10910.3</v>
      </c>
    </row>
    <row r="14" spans="1:19">
      <c r="A14" s="37"/>
      <c r="B14" s="38"/>
      <c r="C14" s="38"/>
      <c r="D14" s="38"/>
      <c r="E14" s="38"/>
      <c r="F14" s="38"/>
      <c r="G14" s="38"/>
      <c r="H14" s="38"/>
      <c r="I14" s="38"/>
      <c r="J14" s="39"/>
      <c r="L14" t="s">
        <v>443</v>
      </c>
      <c r="M14" t="s">
        <v>631</v>
      </c>
      <c r="N14" t="s">
        <v>1115</v>
      </c>
      <c r="O14">
        <v>3</v>
      </c>
      <c r="P14">
        <v>160</v>
      </c>
      <c r="Q14">
        <v>10608</v>
      </c>
      <c r="R14">
        <v>1</v>
      </c>
      <c r="S14">
        <v>10608</v>
      </c>
    </row>
    <row r="15" spans="1:19">
      <c r="A15" s="37"/>
      <c r="B15" s="38"/>
      <c r="C15" s="38"/>
      <c r="D15" s="38"/>
      <c r="E15" s="38"/>
      <c r="F15" s="38"/>
      <c r="G15" s="38"/>
      <c r="H15" s="38"/>
      <c r="I15" s="38"/>
      <c r="J15" s="39"/>
      <c r="L15" t="s">
        <v>443</v>
      </c>
      <c r="M15" t="s">
        <v>442</v>
      </c>
      <c r="N15" t="s">
        <v>1127</v>
      </c>
      <c r="O15">
        <v>7</v>
      </c>
      <c r="P15">
        <v>283</v>
      </c>
      <c r="Q15">
        <v>9437.27</v>
      </c>
      <c r="R15">
        <v>1</v>
      </c>
      <c r="S15">
        <v>9437.27</v>
      </c>
    </row>
    <row r="16" spans="1:19">
      <c r="A16" s="37"/>
      <c r="B16" s="38"/>
      <c r="C16" s="38"/>
      <c r="D16" s="38"/>
      <c r="E16" s="38"/>
      <c r="F16" s="38"/>
      <c r="G16" s="38"/>
      <c r="H16" s="38"/>
      <c r="I16" s="38"/>
      <c r="J16" s="39"/>
      <c r="L16" t="s">
        <v>443</v>
      </c>
      <c r="M16" t="s">
        <v>442</v>
      </c>
      <c r="N16" t="s">
        <v>1123</v>
      </c>
      <c r="O16">
        <v>8</v>
      </c>
      <c r="P16">
        <v>370</v>
      </c>
      <c r="Q16">
        <v>8415.2000000000007</v>
      </c>
      <c r="R16">
        <v>1</v>
      </c>
      <c r="S16">
        <v>8415.2000000000007</v>
      </c>
    </row>
    <row r="17" spans="1:19">
      <c r="A17" s="37"/>
      <c r="B17" s="38"/>
      <c r="C17" s="38"/>
      <c r="D17" s="38"/>
      <c r="E17" s="38"/>
      <c r="F17" s="38"/>
      <c r="G17" s="38"/>
      <c r="H17" s="38"/>
      <c r="I17" s="38"/>
      <c r="J17" s="39"/>
      <c r="L17" t="s">
        <v>443</v>
      </c>
      <c r="M17" t="s">
        <v>442</v>
      </c>
      <c r="N17" t="s">
        <v>1125</v>
      </c>
      <c r="O17">
        <v>7</v>
      </c>
      <c r="P17">
        <v>292</v>
      </c>
      <c r="Q17">
        <v>8325.56</v>
      </c>
      <c r="R17">
        <v>1</v>
      </c>
      <c r="S17">
        <v>8325.56</v>
      </c>
    </row>
    <row r="18" spans="1:19">
      <c r="A18" s="37"/>
      <c r="B18" s="38"/>
      <c r="C18" s="38"/>
      <c r="D18" s="38"/>
      <c r="E18" s="38"/>
      <c r="F18" s="38"/>
      <c r="G18" s="38"/>
      <c r="H18" s="38"/>
      <c r="I18" s="38"/>
      <c r="J18" s="39"/>
      <c r="L18" t="s">
        <v>443</v>
      </c>
      <c r="M18" t="s">
        <v>442</v>
      </c>
      <c r="N18" t="s">
        <v>1129</v>
      </c>
      <c r="O18">
        <v>8</v>
      </c>
      <c r="P18">
        <v>423</v>
      </c>
      <c r="Q18">
        <v>6864.48</v>
      </c>
      <c r="R18">
        <v>1</v>
      </c>
      <c r="S18">
        <v>6864.48</v>
      </c>
    </row>
    <row r="19" spans="1:19">
      <c r="A19" s="37"/>
      <c r="B19" s="38"/>
      <c r="C19" s="38"/>
      <c r="D19" s="38"/>
      <c r="E19" s="38"/>
      <c r="F19" s="38"/>
      <c r="G19" s="38"/>
      <c r="H19" s="38"/>
      <c r="I19" s="38"/>
      <c r="J19" s="39"/>
      <c r="L19" t="s">
        <v>443</v>
      </c>
      <c r="M19" t="s">
        <v>631</v>
      </c>
      <c r="N19" t="s">
        <v>1121</v>
      </c>
      <c r="O19">
        <v>4</v>
      </c>
      <c r="P19">
        <v>115</v>
      </c>
      <c r="Q19">
        <v>2970.28</v>
      </c>
      <c r="R19">
        <v>1</v>
      </c>
      <c r="S19">
        <v>2970.28</v>
      </c>
    </row>
    <row r="20" spans="1:19">
      <c r="A20" s="37"/>
      <c r="B20" s="38"/>
      <c r="C20" s="38"/>
      <c r="D20" s="38"/>
      <c r="E20" s="38"/>
      <c r="F20" s="38"/>
      <c r="G20" s="38"/>
      <c r="H20" s="38"/>
      <c r="I20" s="38"/>
      <c r="J20" s="39"/>
      <c r="L20" t="s">
        <v>443</v>
      </c>
      <c r="M20" t="s">
        <v>631</v>
      </c>
      <c r="N20" t="s">
        <v>1125</v>
      </c>
      <c r="O20">
        <v>2</v>
      </c>
      <c r="P20">
        <v>70</v>
      </c>
      <c r="Q20">
        <v>2496</v>
      </c>
      <c r="R20">
        <v>1</v>
      </c>
      <c r="S20">
        <v>2496</v>
      </c>
    </row>
    <row r="21" spans="1:19" ht="14" thickBot="1">
      <c r="A21" s="40"/>
      <c r="B21" s="41"/>
      <c r="C21" s="41"/>
      <c r="D21" s="41"/>
      <c r="E21" s="41"/>
      <c r="F21" s="41"/>
      <c r="G21" s="41"/>
      <c r="H21" s="41"/>
      <c r="I21" s="41"/>
      <c r="J21" s="42"/>
      <c r="L21" t="s">
        <v>443</v>
      </c>
      <c r="M21" t="s">
        <v>631</v>
      </c>
      <c r="N21" t="s">
        <v>1117</v>
      </c>
      <c r="O21">
        <v>3</v>
      </c>
      <c r="P21">
        <v>41</v>
      </c>
      <c r="Q21">
        <v>1167.18</v>
      </c>
      <c r="R21">
        <v>1</v>
      </c>
      <c r="S21">
        <v>1167.18</v>
      </c>
    </row>
    <row r="22" spans="1:19">
      <c r="L22" t="s">
        <v>443</v>
      </c>
      <c r="M22" t="s">
        <v>631</v>
      </c>
      <c r="N22" t="s">
        <v>1123</v>
      </c>
      <c r="O22">
        <v>2</v>
      </c>
      <c r="P22">
        <v>55</v>
      </c>
      <c r="Q22">
        <v>1125</v>
      </c>
      <c r="R22">
        <v>1</v>
      </c>
      <c r="S22">
        <v>1125</v>
      </c>
    </row>
    <row r="23" spans="1:19">
      <c r="L23" t="s">
        <v>443</v>
      </c>
      <c r="M23" t="s">
        <v>631</v>
      </c>
      <c r="N23" t="s">
        <v>1119</v>
      </c>
      <c r="O23">
        <v>2</v>
      </c>
      <c r="P23">
        <v>33</v>
      </c>
      <c r="Q23">
        <v>718.65</v>
      </c>
      <c r="R23">
        <v>1</v>
      </c>
      <c r="S23">
        <v>718.65</v>
      </c>
    </row>
    <row r="24" spans="1:19">
      <c r="L24" t="s">
        <v>443</v>
      </c>
      <c r="M24" t="s">
        <v>631</v>
      </c>
      <c r="N24" t="s">
        <v>1127</v>
      </c>
      <c r="O24">
        <v>1</v>
      </c>
      <c r="P24">
        <v>35</v>
      </c>
      <c r="Q24">
        <v>651</v>
      </c>
      <c r="R24">
        <v>1</v>
      </c>
      <c r="S24">
        <v>651</v>
      </c>
    </row>
    <row r="25" spans="1:19">
      <c r="L25" t="s">
        <v>443</v>
      </c>
      <c r="M25" t="s">
        <v>631</v>
      </c>
      <c r="N25" t="s">
        <v>1129</v>
      </c>
      <c r="O25">
        <v>1</v>
      </c>
      <c r="P25">
        <v>35</v>
      </c>
      <c r="Q25">
        <v>337.75</v>
      </c>
      <c r="R25">
        <v>1</v>
      </c>
      <c r="S25">
        <v>337.75</v>
      </c>
    </row>
    <row r="26" spans="1:19">
      <c r="L26" t="s">
        <v>417</v>
      </c>
      <c r="M26" t="s">
        <v>415</v>
      </c>
      <c r="N26" t="s">
        <v>1121</v>
      </c>
      <c r="O26">
        <v>4</v>
      </c>
      <c r="P26">
        <v>200</v>
      </c>
      <c r="Q26">
        <v>5043</v>
      </c>
      <c r="R26">
        <v>1</v>
      </c>
      <c r="S26">
        <v>5043</v>
      </c>
    </row>
    <row r="27" spans="1:19">
      <c r="L27" t="s">
        <v>417</v>
      </c>
      <c r="M27" t="s">
        <v>415</v>
      </c>
      <c r="N27" t="s">
        <v>1119</v>
      </c>
      <c r="O27">
        <v>4</v>
      </c>
      <c r="P27">
        <v>152</v>
      </c>
      <c r="Q27">
        <v>4820.2</v>
      </c>
      <c r="R27">
        <v>1</v>
      </c>
      <c r="S27">
        <v>4820.2</v>
      </c>
    </row>
    <row r="28" spans="1:19">
      <c r="L28" t="s">
        <v>417</v>
      </c>
      <c r="M28" t="s">
        <v>415</v>
      </c>
      <c r="N28" t="s">
        <v>1115</v>
      </c>
      <c r="O28">
        <v>5</v>
      </c>
      <c r="P28">
        <v>166</v>
      </c>
      <c r="Q28">
        <v>3025.68</v>
      </c>
      <c r="R28">
        <v>1</v>
      </c>
      <c r="S28">
        <v>3025.68</v>
      </c>
    </row>
    <row r="29" spans="1:19">
      <c r="L29" t="s">
        <v>417</v>
      </c>
      <c r="M29" t="s">
        <v>742</v>
      </c>
      <c r="N29" t="s">
        <v>1121</v>
      </c>
      <c r="O29">
        <v>3</v>
      </c>
      <c r="P29">
        <v>65</v>
      </c>
      <c r="Q29">
        <v>2972</v>
      </c>
      <c r="R29">
        <v>1</v>
      </c>
      <c r="S29">
        <v>2972</v>
      </c>
    </row>
    <row r="30" spans="1:19">
      <c r="L30" t="s">
        <v>417</v>
      </c>
      <c r="M30" t="s">
        <v>742</v>
      </c>
      <c r="N30" t="s">
        <v>1119</v>
      </c>
      <c r="O30">
        <v>4</v>
      </c>
      <c r="P30">
        <v>118</v>
      </c>
      <c r="Q30">
        <v>2659.38</v>
      </c>
      <c r="R30">
        <v>1</v>
      </c>
      <c r="S30">
        <v>2659.38</v>
      </c>
    </row>
    <row r="31" spans="1:19">
      <c r="L31" t="s">
        <v>417</v>
      </c>
      <c r="M31" t="s">
        <v>415</v>
      </c>
      <c r="N31" t="s">
        <v>1127</v>
      </c>
      <c r="O31">
        <v>3</v>
      </c>
      <c r="P31">
        <v>78</v>
      </c>
      <c r="Q31">
        <v>2311.1999999999998</v>
      </c>
      <c r="R31">
        <v>1</v>
      </c>
      <c r="S31">
        <v>2311.1999999999998</v>
      </c>
    </row>
    <row r="32" spans="1:19">
      <c r="L32" t="s">
        <v>417</v>
      </c>
      <c r="M32" t="s">
        <v>415</v>
      </c>
      <c r="N32" t="s">
        <v>1123</v>
      </c>
      <c r="O32">
        <v>4</v>
      </c>
      <c r="P32">
        <v>97</v>
      </c>
      <c r="Q32">
        <v>2184</v>
      </c>
      <c r="R32">
        <v>1</v>
      </c>
      <c r="S32">
        <v>2184</v>
      </c>
    </row>
    <row r="33" spans="12:19">
      <c r="L33" t="s">
        <v>417</v>
      </c>
      <c r="M33" t="s">
        <v>415</v>
      </c>
      <c r="N33" t="s">
        <v>1125</v>
      </c>
      <c r="O33">
        <v>2</v>
      </c>
      <c r="P33">
        <v>65</v>
      </c>
      <c r="Q33">
        <v>1728</v>
      </c>
      <c r="R33">
        <v>1</v>
      </c>
      <c r="S33">
        <v>1728</v>
      </c>
    </row>
    <row r="34" spans="12:19">
      <c r="L34" t="s">
        <v>417</v>
      </c>
      <c r="M34" t="s">
        <v>415</v>
      </c>
      <c r="N34" t="s">
        <v>1117</v>
      </c>
      <c r="O34">
        <v>4</v>
      </c>
      <c r="P34">
        <v>121</v>
      </c>
      <c r="Q34">
        <v>1675.6</v>
      </c>
      <c r="R34">
        <v>1</v>
      </c>
      <c r="S34">
        <v>1675.6</v>
      </c>
    </row>
    <row r="35" spans="12:19">
      <c r="L35" t="s">
        <v>417</v>
      </c>
      <c r="M35" t="s">
        <v>742</v>
      </c>
      <c r="N35" t="s">
        <v>1115</v>
      </c>
      <c r="O35">
        <v>2</v>
      </c>
      <c r="P35">
        <v>36</v>
      </c>
      <c r="Q35">
        <v>1143</v>
      </c>
      <c r="R35">
        <v>1</v>
      </c>
      <c r="S35">
        <v>1143</v>
      </c>
    </row>
    <row r="36" spans="12:19">
      <c r="L36" t="s">
        <v>417</v>
      </c>
      <c r="M36" t="s">
        <v>742</v>
      </c>
      <c r="N36" t="s">
        <v>1127</v>
      </c>
      <c r="O36">
        <v>1</v>
      </c>
      <c r="P36">
        <v>20</v>
      </c>
      <c r="Q36">
        <v>912</v>
      </c>
      <c r="R36">
        <v>1</v>
      </c>
      <c r="S36">
        <v>912</v>
      </c>
    </row>
    <row r="37" spans="12:19">
      <c r="L37" t="s">
        <v>417</v>
      </c>
      <c r="M37" t="s">
        <v>415</v>
      </c>
      <c r="N37" t="s">
        <v>1129</v>
      </c>
      <c r="O37">
        <v>2</v>
      </c>
      <c r="P37">
        <v>46</v>
      </c>
      <c r="Q37">
        <v>814</v>
      </c>
      <c r="R37">
        <v>1</v>
      </c>
      <c r="S37">
        <v>814</v>
      </c>
    </row>
    <row r="38" spans="12:19">
      <c r="L38" t="s">
        <v>417</v>
      </c>
      <c r="M38" t="s">
        <v>742</v>
      </c>
      <c r="N38" t="s">
        <v>1117</v>
      </c>
      <c r="O38">
        <v>1</v>
      </c>
      <c r="P38">
        <v>26</v>
      </c>
      <c r="Q38">
        <v>779.2</v>
      </c>
      <c r="R38">
        <v>1</v>
      </c>
      <c r="S38">
        <v>779.2</v>
      </c>
    </row>
    <row r="39" spans="12:19">
      <c r="L39" t="s">
        <v>417</v>
      </c>
      <c r="M39" t="s">
        <v>742</v>
      </c>
      <c r="N39" t="s">
        <v>1123</v>
      </c>
      <c r="O39">
        <v>1</v>
      </c>
      <c r="P39">
        <v>16</v>
      </c>
      <c r="Q39">
        <v>608</v>
      </c>
      <c r="R39">
        <v>1</v>
      </c>
      <c r="S39">
        <v>608</v>
      </c>
    </row>
    <row r="40" spans="12:19">
      <c r="L40" t="s">
        <v>417</v>
      </c>
      <c r="M40" t="s">
        <v>742</v>
      </c>
      <c r="N40" t="s">
        <v>1125</v>
      </c>
      <c r="O40">
        <v>1</v>
      </c>
      <c r="P40">
        <v>14</v>
      </c>
      <c r="Q40">
        <v>336</v>
      </c>
      <c r="R40">
        <v>1</v>
      </c>
      <c r="S40">
        <v>336</v>
      </c>
    </row>
    <row r="41" spans="12:19">
      <c r="L41" t="s">
        <v>417</v>
      </c>
      <c r="M41" t="s">
        <v>742</v>
      </c>
      <c r="N41" t="s">
        <v>1129</v>
      </c>
      <c r="O41">
        <v>2</v>
      </c>
      <c r="P41">
        <v>25</v>
      </c>
      <c r="Q41">
        <v>326.5</v>
      </c>
      <c r="R41">
        <v>1</v>
      </c>
      <c r="S41">
        <v>326.5</v>
      </c>
    </row>
    <row r="42" spans="12:19">
      <c r="L42" t="s">
        <v>86</v>
      </c>
      <c r="M42" t="s">
        <v>405</v>
      </c>
      <c r="N42" t="s">
        <v>1115</v>
      </c>
      <c r="O42">
        <v>15</v>
      </c>
      <c r="P42">
        <v>354</v>
      </c>
      <c r="Q42">
        <v>21540.18</v>
      </c>
      <c r="R42">
        <v>3</v>
      </c>
      <c r="S42">
        <v>7180.06</v>
      </c>
    </row>
    <row r="43" spans="12:19">
      <c r="L43" t="s">
        <v>86</v>
      </c>
      <c r="M43" t="s">
        <v>1150</v>
      </c>
      <c r="N43" t="s">
        <v>1115</v>
      </c>
      <c r="O43">
        <v>12</v>
      </c>
      <c r="P43">
        <v>426</v>
      </c>
      <c r="Q43">
        <v>10737.77</v>
      </c>
      <c r="R43">
        <v>3</v>
      </c>
      <c r="S43">
        <v>3579.26</v>
      </c>
    </row>
    <row r="44" spans="12:19">
      <c r="L44" t="s">
        <v>86</v>
      </c>
      <c r="M44" t="s">
        <v>405</v>
      </c>
      <c r="N44" t="s">
        <v>1129</v>
      </c>
      <c r="O44">
        <v>12</v>
      </c>
      <c r="P44">
        <v>312</v>
      </c>
      <c r="Q44">
        <v>7186.09</v>
      </c>
      <c r="R44">
        <v>3</v>
      </c>
      <c r="S44">
        <v>2395.36</v>
      </c>
    </row>
    <row r="45" spans="12:19">
      <c r="L45" t="s">
        <v>86</v>
      </c>
      <c r="M45" t="s">
        <v>1150</v>
      </c>
      <c r="N45" t="s">
        <v>1119</v>
      </c>
      <c r="O45">
        <v>13</v>
      </c>
      <c r="P45">
        <v>291</v>
      </c>
      <c r="Q45">
        <v>6170.92</v>
      </c>
      <c r="R45">
        <v>4</v>
      </c>
      <c r="S45">
        <v>1542.73</v>
      </c>
    </row>
    <row r="46" spans="12:19">
      <c r="L46" t="s">
        <v>86</v>
      </c>
      <c r="M46" t="s">
        <v>1150</v>
      </c>
      <c r="N46" t="s">
        <v>1121</v>
      </c>
      <c r="O46">
        <v>12</v>
      </c>
      <c r="P46">
        <v>359</v>
      </c>
      <c r="Q46">
        <v>6168.3</v>
      </c>
      <c r="R46">
        <v>4</v>
      </c>
      <c r="S46">
        <v>1542.08</v>
      </c>
    </row>
    <row r="47" spans="12:19">
      <c r="L47" t="s">
        <v>86</v>
      </c>
      <c r="M47" t="s">
        <v>405</v>
      </c>
      <c r="N47" t="s">
        <v>1117</v>
      </c>
      <c r="O47">
        <v>11</v>
      </c>
      <c r="P47">
        <v>307</v>
      </c>
      <c r="Q47">
        <v>5229.8100000000004</v>
      </c>
      <c r="R47">
        <v>3</v>
      </c>
      <c r="S47">
        <v>1743.27</v>
      </c>
    </row>
    <row r="48" spans="12:19">
      <c r="L48" t="s">
        <v>86</v>
      </c>
      <c r="M48" t="s">
        <v>405</v>
      </c>
      <c r="N48" t="s">
        <v>1121</v>
      </c>
      <c r="O48">
        <v>10</v>
      </c>
      <c r="P48">
        <v>196</v>
      </c>
      <c r="Q48">
        <v>4976.8</v>
      </c>
      <c r="R48">
        <v>3</v>
      </c>
      <c r="S48">
        <v>1658.93</v>
      </c>
    </row>
    <row r="49" spans="12:19">
      <c r="L49" t="s">
        <v>86</v>
      </c>
      <c r="M49" t="s">
        <v>1150</v>
      </c>
      <c r="N49" t="s">
        <v>1125</v>
      </c>
      <c r="O49">
        <v>7</v>
      </c>
      <c r="P49">
        <v>140</v>
      </c>
      <c r="Q49">
        <v>4350.5</v>
      </c>
      <c r="R49">
        <v>4</v>
      </c>
      <c r="S49">
        <v>1087.6300000000001</v>
      </c>
    </row>
    <row r="50" spans="12:19">
      <c r="L50" t="s">
        <v>86</v>
      </c>
      <c r="M50" t="s">
        <v>405</v>
      </c>
      <c r="N50" t="s">
        <v>1119</v>
      </c>
      <c r="O50">
        <v>13</v>
      </c>
      <c r="P50">
        <v>327</v>
      </c>
      <c r="Q50">
        <v>4248.92</v>
      </c>
      <c r="R50">
        <v>3</v>
      </c>
      <c r="S50">
        <v>1416.31</v>
      </c>
    </row>
    <row r="51" spans="12:19">
      <c r="L51" t="s">
        <v>86</v>
      </c>
      <c r="M51" t="s">
        <v>1150</v>
      </c>
      <c r="N51" t="s">
        <v>1129</v>
      </c>
      <c r="O51">
        <v>13</v>
      </c>
      <c r="P51">
        <v>201</v>
      </c>
      <c r="Q51">
        <v>3571.32</v>
      </c>
      <c r="R51">
        <v>4</v>
      </c>
      <c r="S51">
        <v>892.83</v>
      </c>
    </row>
    <row r="52" spans="12:19">
      <c r="L52" t="s">
        <v>86</v>
      </c>
      <c r="M52" t="s">
        <v>1150</v>
      </c>
      <c r="N52" t="s">
        <v>1123</v>
      </c>
      <c r="O52">
        <v>4</v>
      </c>
      <c r="P52">
        <v>100</v>
      </c>
      <c r="Q52">
        <v>3145.9</v>
      </c>
      <c r="R52">
        <v>3</v>
      </c>
      <c r="S52">
        <v>1048.6300000000001</v>
      </c>
    </row>
    <row r="53" spans="12:19">
      <c r="L53" t="s">
        <v>86</v>
      </c>
      <c r="M53" t="s">
        <v>1150</v>
      </c>
      <c r="N53" t="s">
        <v>1117</v>
      </c>
      <c r="O53">
        <v>6</v>
      </c>
      <c r="P53">
        <v>122</v>
      </c>
      <c r="Q53">
        <v>2533</v>
      </c>
      <c r="R53">
        <v>3</v>
      </c>
      <c r="S53">
        <v>844.33</v>
      </c>
    </row>
    <row r="54" spans="12:19">
      <c r="L54" t="s">
        <v>86</v>
      </c>
      <c r="M54" t="s">
        <v>706</v>
      </c>
      <c r="N54" t="s">
        <v>1117</v>
      </c>
      <c r="O54">
        <v>2</v>
      </c>
      <c r="P54">
        <v>70</v>
      </c>
      <c r="Q54">
        <v>2350</v>
      </c>
      <c r="R54">
        <v>1</v>
      </c>
      <c r="S54">
        <v>2350</v>
      </c>
    </row>
    <row r="55" spans="12:19">
      <c r="L55" t="s">
        <v>86</v>
      </c>
      <c r="M55" t="s">
        <v>430</v>
      </c>
      <c r="N55" t="s">
        <v>1125</v>
      </c>
      <c r="O55">
        <v>2</v>
      </c>
      <c r="P55">
        <v>35</v>
      </c>
      <c r="Q55">
        <v>1789.8</v>
      </c>
      <c r="R55">
        <v>1</v>
      </c>
      <c r="S55">
        <v>1789.8</v>
      </c>
    </row>
    <row r="56" spans="12:19">
      <c r="L56" t="s">
        <v>86</v>
      </c>
      <c r="M56" t="s">
        <v>430</v>
      </c>
      <c r="N56" t="s">
        <v>1115</v>
      </c>
      <c r="O56">
        <v>5</v>
      </c>
      <c r="P56">
        <v>72</v>
      </c>
      <c r="Q56">
        <v>1760.15</v>
      </c>
      <c r="R56">
        <v>1</v>
      </c>
      <c r="S56">
        <v>1760.15</v>
      </c>
    </row>
    <row r="57" spans="12:19">
      <c r="L57" t="s">
        <v>86</v>
      </c>
      <c r="M57" t="s">
        <v>405</v>
      </c>
      <c r="N57" t="s">
        <v>1123</v>
      </c>
      <c r="O57">
        <v>5</v>
      </c>
      <c r="P57">
        <v>127</v>
      </c>
      <c r="Q57">
        <v>1631.65</v>
      </c>
      <c r="R57">
        <v>2</v>
      </c>
      <c r="S57">
        <v>815.82</v>
      </c>
    </row>
    <row r="58" spans="12:19">
      <c r="L58" t="s">
        <v>86</v>
      </c>
      <c r="M58" t="s">
        <v>405</v>
      </c>
      <c r="N58" t="s">
        <v>1127</v>
      </c>
      <c r="O58">
        <v>3</v>
      </c>
      <c r="P58">
        <v>52</v>
      </c>
      <c r="Q58">
        <v>1616.72</v>
      </c>
      <c r="R58">
        <v>2</v>
      </c>
      <c r="S58">
        <v>808.36</v>
      </c>
    </row>
    <row r="59" spans="12:19">
      <c r="L59" t="s">
        <v>86</v>
      </c>
      <c r="M59" t="s">
        <v>706</v>
      </c>
      <c r="N59" t="s">
        <v>1127</v>
      </c>
      <c r="O59">
        <v>2</v>
      </c>
      <c r="P59">
        <v>31</v>
      </c>
      <c r="Q59">
        <v>1560.5</v>
      </c>
      <c r="R59">
        <v>1</v>
      </c>
      <c r="S59">
        <v>1560.5</v>
      </c>
    </row>
    <row r="60" spans="12:19">
      <c r="L60" t="s">
        <v>86</v>
      </c>
      <c r="M60" t="s">
        <v>1150</v>
      </c>
      <c r="N60" t="s">
        <v>1127</v>
      </c>
      <c r="O60">
        <v>1</v>
      </c>
      <c r="P60">
        <v>42</v>
      </c>
      <c r="Q60">
        <v>1375.92</v>
      </c>
      <c r="R60">
        <v>1</v>
      </c>
      <c r="S60">
        <v>1375.92</v>
      </c>
    </row>
    <row r="61" spans="12:19">
      <c r="L61" t="s">
        <v>86</v>
      </c>
      <c r="M61" t="s">
        <v>706</v>
      </c>
      <c r="N61" t="s">
        <v>1121</v>
      </c>
      <c r="O61">
        <v>2</v>
      </c>
      <c r="P61">
        <v>44</v>
      </c>
      <c r="Q61">
        <v>1360</v>
      </c>
      <c r="R61">
        <v>1</v>
      </c>
      <c r="S61">
        <v>1360</v>
      </c>
    </row>
    <row r="62" spans="12:19">
      <c r="L62" t="s">
        <v>86</v>
      </c>
      <c r="M62" t="s">
        <v>706</v>
      </c>
      <c r="N62" t="s">
        <v>1123</v>
      </c>
      <c r="O62">
        <v>3</v>
      </c>
      <c r="P62">
        <v>60</v>
      </c>
      <c r="Q62">
        <v>1150</v>
      </c>
      <c r="R62">
        <v>1</v>
      </c>
      <c r="S62">
        <v>1150</v>
      </c>
    </row>
    <row r="63" spans="12:19">
      <c r="L63" t="s">
        <v>86</v>
      </c>
      <c r="M63" t="s">
        <v>706</v>
      </c>
      <c r="N63" t="s">
        <v>1129</v>
      </c>
      <c r="O63">
        <v>3</v>
      </c>
      <c r="P63">
        <v>41</v>
      </c>
      <c r="Q63">
        <v>1085.78</v>
      </c>
      <c r="R63">
        <v>1</v>
      </c>
      <c r="S63">
        <v>1085.78</v>
      </c>
    </row>
    <row r="64" spans="12:19">
      <c r="L64" t="s">
        <v>86</v>
      </c>
      <c r="M64" t="s">
        <v>405</v>
      </c>
      <c r="N64" t="s">
        <v>1125</v>
      </c>
      <c r="O64">
        <v>3</v>
      </c>
      <c r="P64">
        <v>36</v>
      </c>
      <c r="Q64">
        <v>954.81</v>
      </c>
      <c r="R64">
        <v>2</v>
      </c>
      <c r="S64">
        <v>477.4</v>
      </c>
    </row>
    <row r="65" spans="12:19">
      <c r="L65" t="s">
        <v>86</v>
      </c>
      <c r="M65" t="s">
        <v>430</v>
      </c>
      <c r="N65" t="s">
        <v>1129</v>
      </c>
      <c r="O65">
        <v>3</v>
      </c>
      <c r="P65">
        <v>51</v>
      </c>
      <c r="Q65">
        <v>863.94</v>
      </c>
      <c r="R65">
        <v>1</v>
      </c>
      <c r="S65">
        <v>863.94</v>
      </c>
    </row>
    <row r="66" spans="12:19">
      <c r="L66" t="s">
        <v>86</v>
      </c>
      <c r="M66" t="s">
        <v>430</v>
      </c>
      <c r="N66" t="s">
        <v>1121</v>
      </c>
      <c r="O66">
        <v>1</v>
      </c>
      <c r="P66">
        <v>15</v>
      </c>
      <c r="Q66">
        <v>783.75</v>
      </c>
      <c r="R66">
        <v>1</v>
      </c>
      <c r="S66">
        <v>783.75</v>
      </c>
    </row>
    <row r="67" spans="12:19">
      <c r="L67" t="s">
        <v>86</v>
      </c>
      <c r="M67" t="s">
        <v>430</v>
      </c>
      <c r="N67" t="s">
        <v>1119</v>
      </c>
      <c r="O67">
        <v>2</v>
      </c>
      <c r="P67">
        <v>54</v>
      </c>
      <c r="Q67">
        <v>551.76</v>
      </c>
      <c r="R67">
        <v>1</v>
      </c>
      <c r="S67">
        <v>551.76</v>
      </c>
    </row>
    <row r="68" spans="12:19">
      <c r="L68" t="s">
        <v>86</v>
      </c>
      <c r="M68" t="s">
        <v>706</v>
      </c>
      <c r="N68" t="s">
        <v>1115</v>
      </c>
      <c r="O68">
        <v>2</v>
      </c>
      <c r="P68">
        <v>40</v>
      </c>
      <c r="Q68">
        <v>491.75</v>
      </c>
      <c r="R68">
        <v>1</v>
      </c>
      <c r="S68">
        <v>491.75</v>
      </c>
    </row>
    <row r="69" spans="12:19">
      <c r="L69" t="s">
        <v>86</v>
      </c>
      <c r="M69" t="s">
        <v>430</v>
      </c>
      <c r="N69" t="s">
        <v>1123</v>
      </c>
      <c r="O69">
        <v>2</v>
      </c>
      <c r="P69">
        <v>28</v>
      </c>
      <c r="Q69">
        <v>194</v>
      </c>
      <c r="R69">
        <v>1</v>
      </c>
      <c r="S69">
        <v>194</v>
      </c>
    </row>
    <row r="70" spans="12:19">
      <c r="L70" t="s">
        <v>86</v>
      </c>
      <c r="M70" t="s">
        <v>706</v>
      </c>
      <c r="N70" t="s">
        <v>1119</v>
      </c>
      <c r="O70">
        <v>1</v>
      </c>
      <c r="P70">
        <v>15</v>
      </c>
      <c r="Q70">
        <v>142.5</v>
      </c>
      <c r="R70">
        <v>1</v>
      </c>
      <c r="S70">
        <v>142.5</v>
      </c>
    </row>
    <row r="71" spans="12:19">
      <c r="L71" t="s">
        <v>86</v>
      </c>
      <c r="M71" t="s">
        <v>430</v>
      </c>
      <c r="N71" t="s">
        <v>1117</v>
      </c>
      <c r="O71">
        <v>1</v>
      </c>
      <c r="P71">
        <v>12</v>
      </c>
      <c r="Q71">
        <v>124.8</v>
      </c>
      <c r="R71">
        <v>1</v>
      </c>
      <c r="S71">
        <v>124.8</v>
      </c>
    </row>
    <row r="72" spans="12:19">
      <c r="L72" t="s">
        <v>192</v>
      </c>
      <c r="M72" t="s">
        <v>1143</v>
      </c>
      <c r="N72" t="s">
        <v>1115</v>
      </c>
      <c r="O72">
        <v>3</v>
      </c>
      <c r="P72">
        <v>154</v>
      </c>
      <c r="Q72">
        <v>9415.81</v>
      </c>
      <c r="R72">
        <v>1</v>
      </c>
      <c r="S72">
        <v>9415.81</v>
      </c>
    </row>
    <row r="73" spans="12:19">
      <c r="L73" t="s">
        <v>192</v>
      </c>
      <c r="M73" t="s">
        <v>1143</v>
      </c>
      <c r="N73" t="s">
        <v>1121</v>
      </c>
      <c r="O73">
        <v>4</v>
      </c>
      <c r="P73">
        <v>177</v>
      </c>
      <c r="Q73">
        <v>4766.62</v>
      </c>
      <c r="R73">
        <v>1</v>
      </c>
      <c r="S73">
        <v>4766.62</v>
      </c>
    </row>
    <row r="74" spans="12:19">
      <c r="L74" t="s">
        <v>192</v>
      </c>
      <c r="M74" t="s">
        <v>682</v>
      </c>
      <c r="N74" t="s">
        <v>1121</v>
      </c>
      <c r="O74">
        <v>5</v>
      </c>
      <c r="P74">
        <v>189</v>
      </c>
      <c r="Q74">
        <v>4753.05</v>
      </c>
      <c r="R74">
        <v>1</v>
      </c>
      <c r="S74">
        <v>4753.05</v>
      </c>
    </row>
    <row r="75" spans="12:19">
      <c r="L75" t="s">
        <v>192</v>
      </c>
      <c r="M75" t="s">
        <v>682</v>
      </c>
      <c r="N75" t="s">
        <v>1119</v>
      </c>
      <c r="O75">
        <v>4</v>
      </c>
      <c r="P75">
        <v>170</v>
      </c>
      <c r="Q75">
        <v>4555.3999999999996</v>
      </c>
      <c r="R75">
        <v>1</v>
      </c>
      <c r="S75">
        <v>4555.3999999999996</v>
      </c>
    </row>
    <row r="76" spans="12:19">
      <c r="L76" t="s">
        <v>192</v>
      </c>
      <c r="M76" t="s">
        <v>1143</v>
      </c>
      <c r="N76" t="s">
        <v>1123</v>
      </c>
      <c r="O76">
        <v>6</v>
      </c>
      <c r="P76">
        <v>154</v>
      </c>
      <c r="Q76">
        <v>4553.8500000000004</v>
      </c>
      <c r="R76">
        <v>1</v>
      </c>
      <c r="S76">
        <v>4553.8500000000004</v>
      </c>
    </row>
    <row r="77" spans="12:19">
      <c r="L77" t="s">
        <v>192</v>
      </c>
      <c r="M77" t="s">
        <v>1143</v>
      </c>
      <c r="N77" t="s">
        <v>1119</v>
      </c>
      <c r="O77">
        <v>8</v>
      </c>
      <c r="P77">
        <v>180</v>
      </c>
      <c r="Q77">
        <v>2915.6</v>
      </c>
      <c r="R77">
        <v>1</v>
      </c>
      <c r="S77">
        <v>2915.6</v>
      </c>
    </row>
    <row r="78" spans="12:19">
      <c r="L78" t="s">
        <v>192</v>
      </c>
      <c r="M78" t="s">
        <v>1143</v>
      </c>
      <c r="N78" t="s">
        <v>1117</v>
      </c>
      <c r="O78">
        <v>4</v>
      </c>
      <c r="P78">
        <v>145</v>
      </c>
      <c r="Q78">
        <v>2809.5</v>
      </c>
      <c r="R78">
        <v>1</v>
      </c>
      <c r="S78">
        <v>2809.5</v>
      </c>
    </row>
    <row r="79" spans="12:19">
      <c r="L79" t="s">
        <v>192</v>
      </c>
      <c r="M79" t="s">
        <v>1143</v>
      </c>
      <c r="N79" t="s">
        <v>1129</v>
      </c>
      <c r="O79">
        <v>2</v>
      </c>
      <c r="P79">
        <v>56</v>
      </c>
      <c r="Q79">
        <v>2096</v>
      </c>
      <c r="R79">
        <v>1</v>
      </c>
      <c r="S79">
        <v>2096</v>
      </c>
    </row>
    <row r="80" spans="12:19">
      <c r="L80" t="s">
        <v>192</v>
      </c>
      <c r="M80" t="s">
        <v>1143</v>
      </c>
      <c r="N80" t="s">
        <v>1125</v>
      </c>
      <c r="O80">
        <v>1</v>
      </c>
      <c r="P80">
        <v>70</v>
      </c>
      <c r="Q80">
        <v>2074.8000000000002</v>
      </c>
      <c r="R80">
        <v>1</v>
      </c>
      <c r="S80">
        <v>2074.8000000000002</v>
      </c>
    </row>
    <row r="81" spans="12:19">
      <c r="L81" t="s">
        <v>192</v>
      </c>
      <c r="M81" t="s">
        <v>682</v>
      </c>
      <c r="N81" t="s">
        <v>1129</v>
      </c>
      <c r="O81">
        <v>4</v>
      </c>
      <c r="P81">
        <v>121</v>
      </c>
      <c r="Q81">
        <v>2032.05</v>
      </c>
      <c r="R81">
        <v>1</v>
      </c>
      <c r="S81">
        <v>2032.05</v>
      </c>
    </row>
    <row r="82" spans="12:19">
      <c r="L82" t="s">
        <v>192</v>
      </c>
      <c r="M82" t="s">
        <v>682</v>
      </c>
      <c r="N82" t="s">
        <v>1117</v>
      </c>
      <c r="O82">
        <v>5</v>
      </c>
      <c r="P82">
        <v>106</v>
      </c>
      <c r="Q82">
        <v>1898.58</v>
      </c>
      <c r="R82">
        <v>1</v>
      </c>
      <c r="S82">
        <v>1898.58</v>
      </c>
    </row>
    <row r="83" spans="12:19">
      <c r="L83" t="s">
        <v>192</v>
      </c>
      <c r="M83" t="s">
        <v>682</v>
      </c>
      <c r="N83" t="s">
        <v>1125</v>
      </c>
      <c r="O83">
        <v>3</v>
      </c>
      <c r="P83">
        <v>71</v>
      </c>
      <c r="Q83">
        <v>1692</v>
      </c>
      <c r="R83">
        <v>1</v>
      </c>
      <c r="S83">
        <v>1692</v>
      </c>
    </row>
    <row r="84" spans="12:19">
      <c r="L84" t="s">
        <v>192</v>
      </c>
      <c r="M84" t="s">
        <v>682</v>
      </c>
      <c r="N84" t="s">
        <v>1115</v>
      </c>
      <c r="O84">
        <v>4</v>
      </c>
      <c r="P84">
        <v>109</v>
      </c>
      <c r="Q84">
        <v>1661.5</v>
      </c>
      <c r="R84">
        <v>1</v>
      </c>
      <c r="S84">
        <v>1661.5</v>
      </c>
    </row>
    <row r="85" spans="12:19">
      <c r="L85" t="s">
        <v>192</v>
      </c>
      <c r="M85" t="s">
        <v>682</v>
      </c>
      <c r="N85" t="s">
        <v>1123</v>
      </c>
      <c r="O85">
        <v>2</v>
      </c>
      <c r="P85">
        <v>38</v>
      </c>
      <c r="Q85">
        <v>896.8</v>
      </c>
      <c r="R85">
        <v>1</v>
      </c>
      <c r="S85">
        <v>896.8</v>
      </c>
    </row>
    <row r="86" spans="12:19">
      <c r="L86" t="s">
        <v>192</v>
      </c>
      <c r="M86" t="s">
        <v>682</v>
      </c>
      <c r="N86" t="s">
        <v>1127</v>
      </c>
      <c r="O86">
        <v>1</v>
      </c>
      <c r="P86">
        <v>20</v>
      </c>
      <c r="Q86">
        <v>600</v>
      </c>
      <c r="R86">
        <v>1</v>
      </c>
      <c r="S86">
        <v>600</v>
      </c>
    </row>
    <row r="87" spans="12:19">
      <c r="L87" t="s">
        <v>192</v>
      </c>
      <c r="M87" t="s">
        <v>1143</v>
      </c>
      <c r="N87" t="s">
        <v>1127</v>
      </c>
      <c r="O87">
        <v>1</v>
      </c>
      <c r="P87">
        <v>30</v>
      </c>
      <c r="Q87">
        <v>240</v>
      </c>
      <c r="R87">
        <v>1</v>
      </c>
      <c r="S87">
        <v>240</v>
      </c>
    </row>
    <row r="88" spans="12:19">
      <c r="L88" t="s">
        <v>192</v>
      </c>
      <c r="M88" t="s">
        <v>722</v>
      </c>
      <c r="N88" t="s">
        <v>1129</v>
      </c>
      <c r="O88">
        <v>2</v>
      </c>
      <c r="P88">
        <v>27</v>
      </c>
      <c r="Q88">
        <v>196</v>
      </c>
      <c r="R88">
        <v>1</v>
      </c>
      <c r="S88">
        <v>196</v>
      </c>
    </row>
    <row r="89" spans="12:19">
      <c r="L89" t="s">
        <v>192</v>
      </c>
      <c r="M89" t="s">
        <v>722</v>
      </c>
      <c r="N89" t="s">
        <v>1123</v>
      </c>
      <c r="O89">
        <v>2</v>
      </c>
      <c r="P89">
        <v>15</v>
      </c>
      <c r="Q89">
        <v>107</v>
      </c>
      <c r="R89">
        <v>1</v>
      </c>
      <c r="S89">
        <v>107</v>
      </c>
    </row>
    <row r="90" spans="12:19">
      <c r="L90" t="s">
        <v>192</v>
      </c>
      <c r="M90" t="s">
        <v>722</v>
      </c>
      <c r="N90" t="s">
        <v>1115</v>
      </c>
      <c r="O90">
        <v>2</v>
      </c>
      <c r="P90">
        <v>10</v>
      </c>
      <c r="Q90">
        <v>97.5</v>
      </c>
      <c r="R90">
        <v>1</v>
      </c>
      <c r="S90">
        <v>97.5</v>
      </c>
    </row>
    <row r="91" spans="12:19">
      <c r="L91" t="s">
        <v>192</v>
      </c>
      <c r="M91" t="s">
        <v>722</v>
      </c>
      <c r="N91" t="s">
        <v>1119</v>
      </c>
      <c r="O91">
        <v>1</v>
      </c>
      <c r="P91">
        <v>5</v>
      </c>
      <c r="Q91">
        <v>70</v>
      </c>
      <c r="R91">
        <v>1</v>
      </c>
      <c r="S91">
        <v>70</v>
      </c>
    </row>
    <row r="92" spans="12:19">
      <c r="L92" t="s">
        <v>192</v>
      </c>
      <c r="M92" t="s">
        <v>722</v>
      </c>
      <c r="N92" t="s">
        <v>1117</v>
      </c>
      <c r="O92">
        <v>1</v>
      </c>
      <c r="P92">
        <v>5</v>
      </c>
      <c r="Q92">
        <v>52</v>
      </c>
      <c r="R92">
        <v>1</v>
      </c>
      <c r="S92">
        <v>52</v>
      </c>
    </row>
    <row r="93" spans="12:19">
      <c r="L93" t="s">
        <v>161</v>
      </c>
      <c r="M93" t="s">
        <v>1155</v>
      </c>
      <c r="N93" t="s">
        <v>1115</v>
      </c>
      <c r="O93">
        <v>1</v>
      </c>
      <c r="P93">
        <v>50</v>
      </c>
      <c r="Q93">
        <v>10540</v>
      </c>
      <c r="R93">
        <v>1</v>
      </c>
      <c r="S93">
        <v>10540</v>
      </c>
    </row>
    <row r="94" spans="12:19">
      <c r="L94" t="s">
        <v>161</v>
      </c>
      <c r="M94" t="s">
        <v>1157</v>
      </c>
      <c r="N94" t="s">
        <v>1117</v>
      </c>
      <c r="O94">
        <v>7</v>
      </c>
      <c r="P94">
        <v>155</v>
      </c>
      <c r="Q94">
        <v>3505.15</v>
      </c>
      <c r="R94">
        <v>1</v>
      </c>
      <c r="S94">
        <v>3505.15</v>
      </c>
    </row>
    <row r="95" spans="12:19">
      <c r="L95" t="s">
        <v>161</v>
      </c>
      <c r="M95" t="s">
        <v>1157</v>
      </c>
      <c r="N95" t="s">
        <v>1129</v>
      </c>
      <c r="O95">
        <v>5</v>
      </c>
      <c r="P95">
        <v>173</v>
      </c>
      <c r="Q95">
        <v>2787.42</v>
      </c>
      <c r="R95">
        <v>1</v>
      </c>
      <c r="S95">
        <v>2787.42</v>
      </c>
    </row>
    <row r="96" spans="12:19">
      <c r="L96" t="s">
        <v>161</v>
      </c>
      <c r="M96" t="s">
        <v>1157</v>
      </c>
      <c r="N96" t="s">
        <v>1127</v>
      </c>
      <c r="O96">
        <v>2</v>
      </c>
      <c r="P96">
        <v>70</v>
      </c>
      <c r="Q96">
        <v>2762.4</v>
      </c>
      <c r="R96">
        <v>1</v>
      </c>
      <c r="S96">
        <v>2762.4</v>
      </c>
    </row>
    <row r="97" spans="12:19">
      <c r="L97" t="s">
        <v>161</v>
      </c>
      <c r="M97" t="s">
        <v>1157</v>
      </c>
      <c r="N97" t="s">
        <v>1125</v>
      </c>
      <c r="O97">
        <v>3</v>
      </c>
      <c r="P97">
        <v>86</v>
      </c>
      <c r="Q97">
        <v>2082.5</v>
      </c>
      <c r="R97">
        <v>1</v>
      </c>
      <c r="S97">
        <v>2082.5</v>
      </c>
    </row>
    <row r="98" spans="12:19">
      <c r="L98" t="s">
        <v>161</v>
      </c>
      <c r="M98" t="s">
        <v>1157</v>
      </c>
      <c r="N98" t="s">
        <v>1119</v>
      </c>
      <c r="O98">
        <v>3</v>
      </c>
      <c r="P98">
        <v>100</v>
      </c>
      <c r="Q98">
        <v>1664.5</v>
      </c>
      <c r="R98">
        <v>1</v>
      </c>
      <c r="S98">
        <v>1664.5</v>
      </c>
    </row>
    <row r="99" spans="12:19">
      <c r="L99" t="s">
        <v>161</v>
      </c>
      <c r="M99" t="s">
        <v>1157</v>
      </c>
      <c r="N99" t="s">
        <v>1115</v>
      </c>
      <c r="O99">
        <v>6</v>
      </c>
      <c r="P99">
        <v>145</v>
      </c>
      <c r="Q99">
        <v>1485.7</v>
      </c>
      <c r="R99">
        <v>1</v>
      </c>
      <c r="S99">
        <v>1485.7</v>
      </c>
    </row>
    <row r="100" spans="12:19">
      <c r="L100" t="s">
        <v>161</v>
      </c>
      <c r="M100" t="s">
        <v>1157</v>
      </c>
      <c r="N100" t="s">
        <v>1121</v>
      </c>
      <c r="O100">
        <v>2</v>
      </c>
      <c r="P100">
        <v>48</v>
      </c>
      <c r="Q100">
        <v>1456.5</v>
      </c>
      <c r="R100">
        <v>1</v>
      </c>
      <c r="S100">
        <v>1456.5</v>
      </c>
    </row>
    <row r="101" spans="12:19">
      <c r="L101" t="s">
        <v>161</v>
      </c>
      <c r="M101" t="s">
        <v>1155</v>
      </c>
      <c r="N101" t="s">
        <v>1127</v>
      </c>
      <c r="O101">
        <v>1</v>
      </c>
      <c r="P101">
        <v>30</v>
      </c>
      <c r="Q101">
        <v>1192.5</v>
      </c>
      <c r="R101">
        <v>1</v>
      </c>
      <c r="S101">
        <v>1192.5</v>
      </c>
    </row>
    <row r="102" spans="12:19">
      <c r="L102" t="s">
        <v>161</v>
      </c>
      <c r="M102" t="s">
        <v>1155</v>
      </c>
      <c r="N102" t="s">
        <v>1121</v>
      </c>
      <c r="O102">
        <v>2</v>
      </c>
      <c r="P102">
        <v>41</v>
      </c>
      <c r="Q102">
        <v>1187.8</v>
      </c>
      <c r="R102">
        <v>1</v>
      </c>
      <c r="S102">
        <v>1187.8</v>
      </c>
    </row>
    <row r="103" spans="12:19">
      <c r="L103" t="s">
        <v>161</v>
      </c>
      <c r="M103" t="s">
        <v>1155</v>
      </c>
      <c r="N103" t="s">
        <v>1125</v>
      </c>
      <c r="O103">
        <v>1</v>
      </c>
      <c r="P103">
        <v>60</v>
      </c>
      <c r="Q103">
        <v>1080</v>
      </c>
      <c r="R103">
        <v>1</v>
      </c>
      <c r="S103">
        <v>1080</v>
      </c>
    </row>
    <row r="104" spans="12:19">
      <c r="L104" t="s">
        <v>161</v>
      </c>
      <c r="M104" t="s">
        <v>1155</v>
      </c>
      <c r="N104" t="s">
        <v>1129</v>
      </c>
      <c r="O104">
        <v>3</v>
      </c>
      <c r="P104">
        <v>57</v>
      </c>
      <c r="Q104">
        <v>1069.8399999999999</v>
      </c>
      <c r="R104">
        <v>1</v>
      </c>
      <c r="S104">
        <v>1069.8399999999999</v>
      </c>
    </row>
    <row r="105" spans="12:19">
      <c r="L105" t="s">
        <v>161</v>
      </c>
      <c r="M105" t="s">
        <v>1155</v>
      </c>
      <c r="N105" t="s">
        <v>1117</v>
      </c>
      <c r="O105">
        <v>2</v>
      </c>
      <c r="P105">
        <v>55</v>
      </c>
      <c r="Q105">
        <v>820</v>
      </c>
      <c r="R105">
        <v>1</v>
      </c>
      <c r="S105">
        <v>820</v>
      </c>
    </row>
    <row r="106" spans="12:19">
      <c r="L106" t="s">
        <v>161</v>
      </c>
      <c r="M106" t="s">
        <v>1155</v>
      </c>
      <c r="N106" t="s">
        <v>1119</v>
      </c>
      <c r="O106">
        <v>3</v>
      </c>
      <c r="P106">
        <v>71</v>
      </c>
      <c r="Q106">
        <v>694.88</v>
      </c>
      <c r="R106">
        <v>1</v>
      </c>
      <c r="S106">
        <v>694.88</v>
      </c>
    </row>
    <row r="107" spans="12:19">
      <c r="L107" t="s">
        <v>161</v>
      </c>
      <c r="M107" t="s">
        <v>1157</v>
      </c>
      <c r="N107" t="s">
        <v>1123</v>
      </c>
      <c r="O107">
        <v>1</v>
      </c>
      <c r="P107">
        <v>15</v>
      </c>
      <c r="Q107">
        <v>99.75</v>
      </c>
      <c r="R107">
        <v>1</v>
      </c>
      <c r="S107">
        <v>99.75</v>
      </c>
    </row>
    <row r="108" spans="12:19">
      <c r="L108" t="s">
        <v>176</v>
      </c>
      <c r="M108" t="s">
        <v>474</v>
      </c>
      <c r="N108" t="s">
        <v>1121</v>
      </c>
      <c r="O108">
        <v>7</v>
      </c>
      <c r="P108">
        <v>216</v>
      </c>
      <c r="Q108">
        <v>4856.1099999999997</v>
      </c>
      <c r="R108">
        <v>1</v>
      </c>
      <c r="S108">
        <v>4856.1099999999997</v>
      </c>
    </row>
    <row r="109" spans="12:19">
      <c r="L109" t="s">
        <v>176</v>
      </c>
      <c r="M109" t="s">
        <v>474</v>
      </c>
      <c r="N109" t="s">
        <v>1125</v>
      </c>
      <c r="O109">
        <v>5</v>
      </c>
      <c r="P109">
        <v>88</v>
      </c>
      <c r="Q109">
        <v>3220.78</v>
      </c>
      <c r="R109">
        <v>1</v>
      </c>
      <c r="S109">
        <v>3220.78</v>
      </c>
    </row>
    <row r="110" spans="12:19">
      <c r="L110" t="s">
        <v>176</v>
      </c>
      <c r="M110" t="s">
        <v>474</v>
      </c>
      <c r="N110" t="s">
        <v>1123</v>
      </c>
      <c r="O110">
        <v>4</v>
      </c>
      <c r="P110">
        <v>94</v>
      </c>
      <c r="Q110">
        <v>2393</v>
      </c>
      <c r="R110">
        <v>1</v>
      </c>
      <c r="S110">
        <v>2393</v>
      </c>
    </row>
    <row r="111" spans="12:19">
      <c r="L111" t="s">
        <v>176</v>
      </c>
      <c r="M111" t="s">
        <v>474</v>
      </c>
      <c r="N111" t="s">
        <v>1115</v>
      </c>
      <c r="O111">
        <v>4</v>
      </c>
      <c r="P111">
        <v>59</v>
      </c>
      <c r="Q111">
        <v>1438.4</v>
      </c>
      <c r="R111">
        <v>1</v>
      </c>
      <c r="S111">
        <v>1438.4</v>
      </c>
    </row>
    <row r="112" spans="12:19">
      <c r="L112" t="s">
        <v>176</v>
      </c>
      <c r="M112" t="s">
        <v>474</v>
      </c>
      <c r="N112" t="s">
        <v>1117</v>
      </c>
      <c r="O112">
        <v>2</v>
      </c>
      <c r="P112">
        <v>50</v>
      </c>
      <c r="Q112">
        <v>1120</v>
      </c>
      <c r="R112">
        <v>1</v>
      </c>
      <c r="S112">
        <v>1120</v>
      </c>
    </row>
    <row r="113" spans="12:19">
      <c r="L113" t="s">
        <v>176</v>
      </c>
      <c r="M113" t="s">
        <v>474</v>
      </c>
      <c r="N113" t="s">
        <v>1127</v>
      </c>
      <c r="O113">
        <v>4</v>
      </c>
      <c r="P113">
        <v>70</v>
      </c>
      <c r="Q113">
        <v>969.61</v>
      </c>
      <c r="R113">
        <v>1</v>
      </c>
      <c r="S113">
        <v>969.61</v>
      </c>
    </row>
    <row r="114" spans="12:19">
      <c r="L114" t="s">
        <v>176</v>
      </c>
      <c r="M114" t="s">
        <v>474</v>
      </c>
      <c r="N114" t="s">
        <v>1129</v>
      </c>
      <c r="O114">
        <v>4</v>
      </c>
      <c r="P114">
        <v>86</v>
      </c>
      <c r="Q114">
        <v>918.5</v>
      </c>
      <c r="R114">
        <v>1</v>
      </c>
      <c r="S114">
        <v>918.5</v>
      </c>
    </row>
    <row r="115" spans="12:19">
      <c r="L115" t="s">
        <v>176</v>
      </c>
      <c r="M115" t="s">
        <v>756</v>
      </c>
      <c r="N115" t="s">
        <v>1117</v>
      </c>
      <c r="O115">
        <v>3</v>
      </c>
      <c r="P115">
        <v>25</v>
      </c>
      <c r="Q115">
        <v>753</v>
      </c>
      <c r="R115">
        <v>1</v>
      </c>
      <c r="S115">
        <v>753</v>
      </c>
    </row>
    <row r="116" spans="12:19">
      <c r="L116" t="s">
        <v>176</v>
      </c>
      <c r="M116" t="s">
        <v>756</v>
      </c>
      <c r="N116" t="s">
        <v>1121</v>
      </c>
      <c r="O116">
        <v>2</v>
      </c>
      <c r="P116">
        <v>14</v>
      </c>
      <c r="Q116">
        <v>702</v>
      </c>
      <c r="R116">
        <v>1</v>
      </c>
      <c r="S116">
        <v>702</v>
      </c>
    </row>
    <row r="117" spans="12:19">
      <c r="L117" t="s">
        <v>176</v>
      </c>
      <c r="M117" t="s">
        <v>756</v>
      </c>
      <c r="N117" t="s">
        <v>1115</v>
      </c>
      <c r="O117">
        <v>4</v>
      </c>
      <c r="P117">
        <v>38</v>
      </c>
      <c r="Q117">
        <v>582</v>
      </c>
      <c r="R117">
        <v>1</v>
      </c>
      <c r="S117">
        <v>582</v>
      </c>
    </row>
    <row r="118" spans="12:19">
      <c r="L118" t="s">
        <v>176</v>
      </c>
      <c r="M118" t="s">
        <v>756</v>
      </c>
      <c r="N118" t="s">
        <v>1119</v>
      </c>
      <c r="O118">
        <v>3</v>
      </c>
      <c r="P118">
        <v>45</v>
      </c>
      <c r="Q118">
        <v>562.75</v>
      </c>
      <c r="R118">
        <v>1</v>
      </c>
      <c r="S118">
        <v>562.75</v>
      </c>
    </row>
    <row r="119" spans="12:19">
      <c r="L119" t="s">
        <v>176</v>
      </c>
      <c r="M119" t="s">
        <v>474</v>
      </c>
      <c r="N119" t="s">
        <v>1119</v>
      </c>
      <c r="O119">
        <v>3</v>
      </c>
      <c r="P119">
        <v>44</v>
      </c>
      <c r="Q119">
        <v>462.3</v>
      </c>
      <c r="R119">
        <v>1</v>
      </c>
      <c r="S119">
        <v>462.3</v>
      </c>
    </row>
    <row r="120" spans="12:19">
      <c r="L120" t="s">
        <v>176</v>
      </c>
      <c r="M120" t="s">
        <v>756</v>
      </c>
      <c r="N120" t="s">
        <v>1129</v>
      </c>
      <c r="O120">
        <v>1</v>
      </c>
      <c r="P120">
        <v>12</v>
      </c>
      <c r="Q120">
        <v>220.8</v>
      </c>
      <c r="R120">
        <v>1</v>
      </c>
      <c r="S120">
        <v>220.8</v>
      </c>
    </row>
    <row r="121" spans="12:19">
      <c r="L121" t="s">
        <v>176</v>
      </c>
      <c r="M121" t="s">
        <v>756</v>
      </c>
      <c r="N121" t="s">
        <v>1127</v>
      </c>
      <c r="O121">
        <v>1</v>
      </c>
      <c r="P121">
        <v>3</v>
      </c>
      <c r="Q121">
        <v>136.80000000000001</v>
      </c>
      <c r="R121">
        <v>1</v>
      </c>
      <c r="S121">
        <v>136.80000000000001</v>
      </c>
    </row>
    <row r="122" spans="12:19">
      <c r="L122" t="s">
        <v>176</v>
      </c>
      <c r="M122" t="s">
        <v>756</v>
      </c>
      <c r="N122" t="s">
        <v>1125</v>
      </c>
      <c r="O122">
        <v>1</v>
      </c>
      <c r="P122">
        <v>5</v>
      </c>
      <c r="Q122">
        <v>120</v>
      </c>
      <c r="R122">
        <v>1</v>
      </c>
      <c r="S122">
        <v>120</v>
      </c>
    </row>
    <row r="123" spans="12:19">
      <c r="L123" t="s">
        <v>176</v>
      </c>
      <c r="M123" t="s">
        <v>756</v>
      </c>
      <c r="N123" t="s">
        <v>1123</v>
      </c>
      <c r="O123">
        <v>1</v>
      </c>
      <c r="P123">
        <v>6</v>
      </c>
      <c r="Q123">
        <v>84</v>
      </c>
      <c r="R123">
        <v>1</v>
      </c>
      <c r="S123">
        <v>84</v>
      </c>
    </row>
    <row r="124" spans="12:19">
      <c r="L124" t="s">
        <v>140</v>
      </c>
      <c r="M124" t="s">
        <v>609</v>
      </c>
      <c r="N124" t="s">
        <v>1129</v>
      </c>
      <c r="O124">
        <v>8</v>
      </c>
      <c r="P124">
        <v>214</v>
      </c>
      <c r="Q124">
        <v>5368.58</v>
      </c>
      <c r="R124">
        <v>1</v>
      </c>
      <c r="S124">
        <v>5368.58</v>
      </c>
    </row>
    <row r="125" spans="12:19">
      <c r="L125" t="s">
        <v>140</v>
      </c>
      <c r="M125" t="s">
        <v>693</v>
      </c>
      <c r="N125" t="s">
        <v>1129</v>
      </c>
      <c r="O125">
        <v>3</v>
      </c>
      <c r="P125">
        <v>90</v>
      </c>
      <c r="Q125">
        <v>5208</v>
      </c>
      <c r="R125">
        <v>1</v>
      </c>
      <c r="S125">
        <v>5208</v>
      </c>
    </row>
    <row r="126" spans="12:19">
      <c r="L126" t="s">
        <v>140</v>
      </c>
      <c r="M126" t="s">
        <v>470</v>
      </c>
      <c r="N126" t="s">
        <v>1125</v>
      </c>
      <c r="O126">
        <v>3</v>
      </c>
      <c r="P126">
        <v>111</v>
      </c>
      <c r="Q126">
        <v>4976.6000000000004</v>
      </c>
      <c r="R126">
        <v>1</v>
      </c>
      <c r="S126">
        <v>4976.6000000000004</v>
      </c>
    </row>
    <row r="127" spans="12:19">
      <c r="L127" t="s">
        <v>140</v>
      </c>
      <c r="M127" t="s">
        <v>470</v>
      </c>
      <c r="N127" t="s">
        <v>1115</v>
      </c>
      <c r="O127">
        <v>6</v>
      </c>
      <c r="P127">
        <v>149</v>
      </c>
      <c r="Q127">
        <v>3975.92</v>
      </c>
      <c r="R127">
        <v>1</v>
      </c>
      <c r="S127">
        <v>3975.92</v>
      </c>
    </row>
    <row r="128" spans="12:19">
      <c r="L128" t="s">
        <v>140</v>
      </c>
      <c r="M128" t="s">
        <v>609</v>
      </c>
      <c r="N128" t="s">
        <v>1127</v>
      </c>
      <c r="O128">
        <v>4</v>
      </c>
      <c r="P128">
        <v>98</v>
      </c>
      <c r="Q128">
        <v>3370</v>
      </c>
      <c r="R128">
        <v>1</v>
      </c>
      <c r="S128">
        <v>3370</v>
      </c>
    </row>
    <row r="129" spans="12:19">
      <c r="L129" t="s">
        <v>140</v>
      </c>
      <c r="M129" t="s">
        <v>470</v>
      </c>
      <c r="N129" t="s">
        <v>1121</v>
      </c>
      <c r="O129">
        <v>5</v>
      </c>
      <c r="P129">
        <v>152</v>
      </c>
      <c r="Q129">
        <v>2872</v>
      </c>
      <c r="R129">
        <v>1</v>
      </c>
      <c r="S129">
        <v>2872</v>
      </c>
    </row>
    <row r="130" spans="12:19">
      <c r="L130" t="s">
        <v>140</v>
      </c>
      <c r="M130" t="s">
        <v>609</v>
      </c>
      <c r="N130" t="s">
        <v>1117</v>
      </c>
      <c r="O130">
        <v>3</v>
      </c>
      <c r="P130">
        <v>120</v>
      </c>
      <c r="Q130">
        <v>2662.48</v>
      </c>
      <c r="R130">
        <v>1</v>
      </c>
      <c r="S130">
        <v>2662.48</v>
      </c>
    </row>
    <row r="131" spans="12:19">
      <c r="L131" t="s">
        <v>140</v>
      </c>
      <c r="M131" t="s">
        <v>627</v>
      </c>
      <c r="N131" t="s">
        <v>1125</v>
      </c>
      <c r="O131">
        <v>2</v>
      </c>
      <c r="P131">
        <v>30</v>
      </c>
      <c r="Q131">
        <v>2496.0100000000002</v>
      </c>
      <c r="R131">
        <v>1</v>
      </c>
      <c r="S131">
        <v>2496.0100000000002</v>
      </c>
    </row>
    <row r="132" spans="12:19">
      <c r="L132" t="s">
        <v>140</v>
      </c>
      <c r="M132" t="s">
        <v>609</v>
      </c>
      <c r="N132" t="s">
        <v>1123</v>
      </c>
      <c r="O132">
        <v>4</v>
      </c>
      <c r="P132">
        <v>117</v>
      </c>
      <c r="Q132">
        <v>2444.5500000000002</v>
      </c>
      <c r="R132">
        <v>1</v>
      </c>
      <c r="S132">
        <v>2444.5500000000002</v>
      </c>
    </row>
    <row r="133" spans="12:19">
      <c r="L133" t="s">
        <v>140</v>
      </c>
      <c r="M133" t="s">
        <v>411</v>
      </c>
      <c r="N133" t="s">
        <v>1119</v>
      </c>
      <c r="O133">
        <v>4</v>
      </c>
      <c r="P133">
        <v>78</v>
      </c>
      <c r="Q133">
        <v>2396.6999999999998</v>
      </c>
      <c r="R133">
        <v>1</v>
      </c>
      <c r="S133">
        <v>2396.6999999999998</v>
      </c>
    </row>
    <row r="134" spans="12:19">
      <c r="L134" t="s">
        <v>140</v>
      </c>
      <c r="M134" t="s">
        <v>579</v>
      </c>
      <c r="N134" t="s">
        <v>1125</v>
      </c>
      <c r="O134">
        <v>2</v>
      </c>
      <c r="P134">
        <v>29</v>
      </c>
      <c r="Q134">
        <v>2318.06</v>
      </c>
      <c r="R134">
        <v>2</v>
      </c>
      <c r="S134">
        <v>1159.03</v>
      </c>
    </row>
    <row r="135" spans="12:19">
      <c r="L135" t="s">
        <v>140</v>
      </c>
      <c r="M135" t="s">
        <v>609</v>
      </c>
      <c r="N135" t="s">
        <v>1119</v>
      </c>
      <c r="O135">
        <v>5</v>
      </c>
      <c r="P135">
        <v>151</v>
      </c>
      <c r="Q135">
        <v>2313.67</v>
      </c>
      <c r="R135">
        <v>1</v>
      </c>
      <c r="S135">
        <v>2313.67</v>
      </c>
    </row>
    <row r="136" spans="12:19">
      <c r="L136" t="s">
        <v>140</v>
      </c>
      <c r="M136" t="s">
        <v>609</v>
      </c>
      <c r="N136" t="s">
        <v>1115</v>
      </c>
      <c r="O136">
        <v>4</v>
      </c>
      <c r="P136">
        <v>101</v>
      </c>
      <c r="Q136">
        <v>2275.9</v>
      </c>
      <c r="R136">
        <v>1</v>
      </c>
      <c r="S136">
        <v>2275.9</v>
      </c>
    </row>
    <row r="137" spans="12:19">
      <c r="L137" t="s">
        <v>140</v>
      </c>
      <c r="M137" t="s">
        <v>693</v>
      </c>
      <c r="N137" t="s">
        <v>1119</v>
      </c>
      <c r="O137">
        <v>4</v>
      </c>
      <c r="P137">
        <v>123</v>
      </c>
      <c r="Q137">
        <v>2232</v>
      </c>
      <c r="R137">
        <v>1</v>
      </c>
      <c r="S137">
        <v>2232</v>
      </c>
    </row>
    <row r="138" spans="12:19">
      <c r="L138" t="s">
        <v>140</v>
      </c>
      <c r="M138" t="s">
        <v>470</v>
      </c>
      <c r="N138" t="s">
        <v>1123</v>
      </c>
      <c r="O138">
        <v>3</v>
      </c>
      <c r="P138">
        <v>105</v>
      </c>
      <c r="Q138">
        <v>2217.1</v>
      </c>
      <c r="R138">
        <v>1</v>
      </c>
      <c r="S138">
        <v>2217.1</v>
      </c>
    </row>
    <row r="139" spans="12:19">
      <c r="L139" t="s">
        <v>140</v>
      </c>
      <c r="M139" t="s">
        <v>627</v>
      </c>
      <c r="N139" t="s">
        <v>1119</v>
      </c>
      <c r="O139">
        <v>4</v>
      </c>
      <c r="P139">
        <v>85</v>
      </c>
      <c r="Q139">
        <v>2085.9</v>
      </c>
      <c r="R139">
        <v>1</v>
      </c>
      <c r="S139">
        <v>2085.9</v>
      </c>
    </row>
    <row r="140" spans="12:19">
      <c r="L140" t="s">
        <v>140</v>
      </c>
      <c r="M140" t="s">
        <v>411</v>
      </c>
      <c r="N140" t="s">
        <v>1115</v>
      </c>
      <c r="O140">
        <v>4</v>
      </c>
      <c r="P140">
        <v>100</v>
      </c>
      <c r="Q140">
        <v>1989.5</v>
      </c>
      <c r="R140">
        <v>1</v>
      </c>
      <c r="S140">
        <v>1989.5</v>
      </c>
    </row>
    <row r="141" spans="12:19">
      <c r="L141" t="s">
        <v>140</v>
      </c>
      <c r="M141" t="s">
        <v>470</v>
      </c>
      <c r="N141" t="s">
        <v>1119</v>
      </c>
      <c r="O141">
        <v>2</v>
      </c>
      <c r="P141">
        <v>70</v>
      </c>
      <c r="Q141">
        <v>1939</v>
      </c>
      <c r="R141">
        <v>1</v>
      </c>
      <c r="S141">
        <v>1939</v>
      </c>
    </row>
    <row r="142" spans="12:19">
      <c r="L142" t="s">
        <v>140</v>
      </c>
      <c r="M142" t="s">
        <v>609</v>
      </c>
      <c r="N142" t="s">
        <v>1121</v>
      </c>
      <c r="O142">
        <v>4</v>
      </c>
      <c r="P142">
        <v>74</v>
      </c>
      <c r="Q142">
        <v>1912.42</v>
      </c>
      <c r="R142">
        <v>1</v>
      </c>
      <c r="S142">
        <v>1912.42</v>
      </c>
    </row>
    <row r="143" spans="12:19">
      <c r="L143" t="s">
        <v>140</v>
      </c>
      <c r="M143" t="s">
        <v>627</v>
      </c>
      <c r="N143" t="s">
        <v>1115</v>
      </c>
      <c r="O143">
        <v>6</v>
      </c>
      <c r="P143">
        <v>135</v>
      </c>
      <c r="Q143">
        <v>1867.15</v>
      </c>
      <c r="R143">
        <v>1</v>
      </c>
      <c r="S143">
        <v>1867.15</v>
      </c>
    </row>
    <row r="144" spans="12:19">
      <c r="L144" t="s">
        <v>140</v>
      </c>
      <c r="M144" t="s">
        <v>693</v>
      </c>
      <c r="N144" t="s">
        <v>1127</v>
      </c>
      <c r="O144">
        <v>1</v>
      </c>
      <c r="P144">
        <v>50</v>
      </c>
      <c r="Q144">
        <v>1845</v>
      </c>
      <c r="R144">
        <v>1</v>
      </c>
      <c r="S144">
        <v>1845</v>
      </c>
    </row>
    <row r="145" spans="12:19">
      <c r="L145" t="s">
        <v>140</v>
      </c>
      <c r="M145" t="s">
        <v>470</v>
      </c>
      <c r="N145" t="s">
        <v>1129</v>
      </c>
      <c r="O145">
        <v>4</v>
      </c>
      <c r="P145">
        <v>49</v>
      </c>
      <c r="Q145">
        <v>1461.46</v>
      </c>
      <c r="R145">
        <v>1</v>
      </c>
      <c r="S145">
        <v>1461.46</v>
      </c>
    </row>
    <row r="146" spans="12:19">
      <c r="L146" t="s">
        <v>140</v>
      </c>
      <c r="M146" t="s">
        <v>139</v>
      </c>
      <c r="N146" t="s">
        <v>1115</v>
      </c>
      <c r="O146">
        <v>2</v>
      </c>
      <c r="P146">
        <v>19</v>
      </c>
      <c r="Q146">
        <v>1426</v>
      </c>
      <c r="R146">
        <v>1</v>
      </c>
      <c r="S146">
        <v>1426</v>
      </c>
    </row>
    <row r="147" spans="12:19">
      <c r="L147" t="s">
        <v>140</v>
      </c>
      <c r="M147" t="s">
        <v>693</v>
      </c>
      <c r="N147" t="s">
        <v>1117</v>
      </c>
      <c r="O147">
        <v>1</v>
      </c>
      <c r="P147">
        <v>30</v>
      </c>
      <c r="Q147">
        <v>1317</v>
      </c>
      <c r="R147">
        <v>1</v>
      </c>
      <c r="S147">
        <v>1317</v>
      </c>
    </row>
    <row r="148" spans="12:19">
      <c r="L148" t="s">
        <v>140</v>
      </c>
      <c r="M148" t="s">
        <v>411</v>
      </c>
      <c r="N148" t="s">
        <v>1129</v>
      </c>
      <c r="O148">
        <v>4</v>
      </c>
      <c r="P148">
        <v>80</v>
      </c>
      <c r="Q148">
        <v>1243.4000000000001</v>
      </c>
      <c r="R148">
        <v>1</v>
      </c>
      <c r="S148">
        <v>1243.4000000000001</v>
      </c>
    </row>
    <row r="149" spans="12:19">
      <c r="L149" t="s">
        <v>140</v>
      </c>
      <c r="M149" t="s">
        <v>411</v>
      </c>
      <c r="N149" t="s">
        <v>1121</v>
      </c>
      <c r="O149">
        <v>2</v>
      </c>
      <c r="P149">
        <v>44</v>
      </c>
      <c r="Q149">
        <v>1120.5</v>
      </c>
      <c r="R149">
        <v>1</v>
      </c>
      <c r="S149">
        <v>1120.5</v>
      </c>
    </row>
    <row r="150" spans="12:19">
      <c r="L150" t="s">
        <v>140</v>
      </c>
      <c r="M150" t="s">
        <v>411</v>
      </c>
      <c r="N150" t="s">
        <v>1117</v>
      </c>
      <c r="O150">
        <v>3</v>
      </c>
      <c r="P150">
        <v>52</v>
      </c>
      <c r="Q150">
        <v>1104.8499999999999</v>
      </c>
      <c r="R150">
        <v>1</v>
      </c>
      <c r="S150">
        <v>1104.8499999999999</v>
      </c>
    </row>
    <row r="151" spans="12:19">
      <c r="L151" t="s">
        <v>140</v>
      </c>
      <c r="M151" t="s">
        <v>470</v>
      </c>
      <c r="N151" t="s">
        <v>1127</v>
      </c>
      <c r="O151">
        <v>1</v>
      </c>
      <c r="P151">
        <v>30</v>
      </c>
      <c r="Q151">
        <v>1092</v>
      </c>
      <c r="R151">
        <v>1</v>
      </c>
      <c r="S151">
        <v>1092</v>
      </c>
    </row>
    <row r="152" spans="12:19">
      <c r="L152" t="s">
        <v>140</v>
      </c>
      <c r="M152" t="s">
        <v>775</v>
      </c>
      <c r="N152" t="s">
        <v>1119</v>
      </c>
      <c r="O152">
        <v>3</v>
      </c>
      <c r="P152">
        <v>20</v>
      </c>
      <c r="Q152">
        <v>1000.15</v>
      </c>
      <c r="R152">
        <v>1</v>
      </c>
      <c r="S152">
        <v>1000.15</v>
      </c>
    </row>
    <row r="153" spans="12:19">
      <c r="L153" t="s">
        <v>140</v>
      </c>
      <c r="M153" t="s">
        <v>411</v>
      </c>
      <c r="N153" t="s">
        <v>1127</v>
      </c>
      <c r="O153">
        <v>4</v>
      </c>
      <c r="P153">
        <v>45</v>
      </c>
      <c r="Q153">
        <v>936.3</v>
      </c>
      <c r="R153">
        <v>1</v>
      </c>
      <c r="S153">
        <v>936.3</v>
      </c>
    </row>
    <row r="154" spans="12:19">
      <c r="L154" t="s">
        <v>140</v>
      </c>
      <c r="M154" t="s">
        <v>397</v>
      </c>
      <c r="N154" t="s">
        <v>1121</v>
      </c>
      <c r="O154">
        <v>2</v>
      </c>
      <c r="P154">
        <v>44</v>
      </c>
      <c r="Q154">
        <v>880.6</v>
      </c>
      <c r="R154">
        <v>1</v>
      </c>
      <c r="S154">
        <v>880.6</v>
      </c>
    </row>
    <row r="155" spans="12:19">
      <c r="L155" t="s">
        <v>140</v>
      </c>
      <c r="M155" t="s">
        <v>609</v>
      </c>
      <c r="N155" t="s">
        <v>1125</v>
      </c>
      <c r="O155">
        <v>3</v>
      </c>
      <c r="P155">
        <v>55</v>
      </c>
      <c r="Q155">
        <v>822.9</v>
      </c>
      <c r="R155">
        <v>1</v>
      </c>
      <c r="S155">
        <v>822.9</v>
      </c>
    </row>
    <row r="156" spans="12:19">
      <c r="L156" t="s">
        <v>140</v>
      </c>
      <c r="M156" t="s">
        <v>627</v>
      </c>
      <c r="N156" t="s">
        <v>1117</v>
      </c>
      <c r="O156">
        <v>3</v>
      </c>
      <c r="P156">
        <v>53</v>
      </c>
      <c r="Q156">
        <v>774.86</v>
      </c>
      <c r="R156">
        <v>1</v>
      </c>
      <c r="S156">
        <v>774.86</v>
      </c>
    </row>
    <row r="157" spans="12:19">
      <c r="L157" t="s">
        <v>140</v>
      </c>
      <c r="M157" t="s">
        <v>627</v>
      </c>
      <c r="N157" t="s">
        <v>1121</v>
      </c>
      <c r="O157">
        <v>3</v>
      </c>
      <c r="P157">
        <v>48</v>
      </c>
      <c r="Q157">
        <v>757.76</v>
      </c>
      <c r="R157">
        <v>1</v>
      </c>
      <c r="S157">
        <v>757.76</v>
      </c>
    </row>
    <row r="158" spans="12:19">
      <c r="L158" t="s">
        <v>140</v>
      </c>
      <c r="M158" t="s">
        <v>627</v>
      </c>
      <c r="N158" t="s">
        <v>1129</v>
      </c>
      <c r="O158">
        <v>5</v>
      </c>
      <c r="P158">
        <v>60</v>
      </c>
      <c r="Q158">
        <v>752.21</v>
      </c>
      <c r="R158">
        <v>1</v>
      </c>
      <c r="S158">
        <v>752.21</v>
      </c>
    </row>
    <row r="159" spans="12:19">
      <c r="L159" t="s">
        <v>140</v>
      </c>
      <c r="M159" t="s">
        <v>579</v>
      </c>
      <c r="N159" t="s">
        <v>1119</v>
      </c>
      <c r="O159">
        <v>2</v>
      </c>
      <c r="P159">
        <v>26</v>
      </c>
      <c r="Q159">
        <v>727.5</v>
      </c>
      <c r="R159">
        <v>2</v>
      </c>
      <c r="S159">
        <v>363.75</v>
      </c>
    </row>
    <row r="160" spans="12:19">
      <c r="L160" t="s">
        <v>140</v>
      </c>
      <c r="M160" t="s">
        <v>579</v>
      </c>
      <c r="N160" t="s">
        <v>1115</v>
      </c>
      <c r="O160">
        <v>3</v>
      </c>
      <c r="P160">
        <v>33</v>
      </c>
      <c r="Q160">
        <v>554</v>
      </c>
      <c r="R160">
        <v>2</v>
      </c>
      <c r="S160">
        <v>277</v>
      </c>
    </row>
    <row r="161" spans="12:19">
      <c r="L161" t="s">
        <v>140</v>
      </c>
      <c r="M161" t="s">
        <v>693</v>
      </c>
      <c r="N161" t="s">
        <v>1121</v>
      </c>
      <c r="O161">
        <v>1</v>
      </c>
      <c r="P161">
        <v>12</v>
      </c>
      <c r="Q161">
        <v>528</v>
      </c>
      <c r="R161">
        <v>1</v>
      </c>
      <c r="S161">
        <v>528</v>
      </c>
    </row>
    <row r="162" spans="12:19">
      <c r="L162" t="s">
        <v>140</v>
      </c>
      <c r="M162" t="s">
        <v>775</v>
      </c>
      <c r="N162" t="s">
        <v>1115</v>
      </c>
      <c r="O162">
        <v>3</v>
      </c>
      <c r="P162">
        <v>34</v>
      </c>
      <c r="Q162">
        <v>497.5</v>
      </c>
      <c r="R162">
        <v>1</v>
      </c>
      <c r="S162">
        <v>497.5</v>
      </c>
    </row>
    <row r="163" spans="12:19">
      <c r="L163" t="s">
        <v>140</v>
      </c>
      <c r="M163" t="s">
        <v>579</v>
      </c>
      <c r="N163" t="s">
        <v>1129</v>
      </c>
      <c r="O163">
        <v>2</v>
      </c>
      <c r="P163">
        <v>24</v>
      </c>
      <c r="Q163">
        <v>445.1</v>
      </c>
      <c r="R163">
        <v>1</v>
      </c>
      <c r="S163">
        <v>445.1</v>
      </c>
    </row>
    <row r="164" spans="12:19">
      <c r="L164" t="s">
        <v>140</v>
      </c>
      <c r="M164" t="s">
        <v>693</v>
      </c>
      <c r="N164" t="s">
        <v>1115</v>
      </c>
      <c r="O164">
        <v>3</v>
      </c>
      <c r="P164">
        <v>37</v>
      </c>
      <c r="Q164">
        <v>375.5</v>
      </c>
      <c r="R164">
        <v>1</v>
      </c>
      <c r="S164">
        <v>375.5</v>
      </c>
    </row>
    <row r="165" spans="12:19">
      <c r="L165" t="s">
        <v>140</v>
      </c>
      <c r="M165" t="s">
        <v>139</v>
      </c>
      <c r="N165" t="s">
        <v>1129</v>
      </c>
      <c r="O165">
        <v>1</v>
      </c>
      <c r="P165">
        <v>6</v>
      </c>
      <c r="Q165">
        <v>375</v>
      </c>
      <c r="R165">
        <v>1</v>
      </c>
      <c r="S165">
        <v>375</v>
      </c>
    </row>
    <row r="166" spans="12:19">
      <c r="L166" t="s">
        <v>140</v>
      </c>
      <c r="M166" t="s">
        <v>411</v>
      </c>
      <c r="N166" t="s">
        <v>1123</v>
      </c>
      <c r="O166">
        <v>2</v>
      </c>
      <c r="P166">
        <v>29</v>
      </c>
      <c r="Q166">
        <v>362.86</v>
      </c>
      <c r="R166">
        <v>1</v>
      </c>
      <c r="S166">
        <v>362.86</v>
      </c>
    </row>
    <row r="167" spans="12:19">
      <c r="L167" t="s">
        <v>140</v>
      </c>
      <c r="M167" t="s">
        <v>139</v>
      </c>
      <c r="N167" t="s">
        <v>1121</v>
      </c>
      <c r="O167">
        <v>1</v>
      </c>
      <c r="P167">
        <v>10</v>
      </c>
      <c r="Q167">
        <v>360</v>
      </c>
      <c r="R167">
        <v>1</v>
      </c>
      <c r="S167">
        <v>360</v>
      </c>
    </row>
    <row r="168" spans="12:19">
      <c r="L168" t="s">
        <v>140</v>
      </c>
      <c r="M168" t="s">
        <v>627</v>
      </c>
      <c r="N168" t="s">
        <v>1127</v>
      </c>
      <c r="O168">
        <v>1</v>
      </c>
      <c r="P168">
        <v>8</v>
      </c>
      <c r="Q168">
        <v>346.56</v>
      </c>
      <c r="R168">
        <v>1</v>
      </c>
      <c r="S168">
        <v>346.56</v>
      </c>
    </row>
    <row r="169" spans="12:19">
      <c r="L169" t="s">
        <v>140</v>
      </c>
      <c r="M169" t="s">
        <v>397</v>
      </c>
      <c r="N169" t="s">
        <v>1123</v>
      </c>
      <c r="O169">
        <v>3</v>
      </c>
      <c r="P169">
        <v>32</v>
      </c>
      <c r="Q169">
        <v>345.6</v>
      </c>
      <c r="R169">
        <v>1</v>
      </c>
      <c r="S169">
        <v>345.6</v>
      </c>
    </row>
    <row r="170" spans="12:19">
      <c r="L170" t="s">
        <v>140</v>
      </c>
      <c r="M170" t="s">
        <v>397</v>
      </c>
      <c r="N170" t="s">
        <v>1129</v>
      </c>
      <c r="O170">
        <v>2</v>
      </c>
      <c r="P170">
        <v>22</v>
      </c>
      <c r="Q170">
        <v>253.8</v>
      </c>
      <c r="R170">
        <v>1</v>
      </c>
      <c r="S170">
        <v>253.8</v>
      </c>
    </row>
    <row r="171" spans="12:19">
      <c r="L171" t="s">
        <v>140</v>
      </c>
      <c r="M171" t="s">
        <v>579</v>
      </c>
      <c r="N171" t="s">
        <v>1117</v>
      </c>
      <c r="O171">
        <v>1</v>
      </c>
      <c r="P171">
        <v>12</v>
      </c>
      <c r="Q171">
        <v>252.6</v>
      </c>
      <c r="R171">
        <v>1</v>
      </c>
      <c r="S171">
        <v>252.6</v>
      </c>
    </row>
    <row r="172" spans="12:19">
      <c r="L172" t="s">
        <v>140</v>
      </c>
      <c r="M172" t="s">
        <v>775</v>
      </c>
      <c r="N172" t="s">
        <v>1125</v>
      </c>
      <c r="O172">
        <v>1</v>
      </c>
      <c r="P172">
        <v>6</v>
      </c>
      <c r="Q172">
        <v>234</v>
      </c>
      <c r="R172">
        <v>1</v>
      </c>
      <c r="S172">
        <v>234</v>
      </c>
    </row>
    <row r="173" spans="12:19">
      <c r="L173" t="s">
        <v>140</v>
      </c>
      <c r="M173" t="s">
        <v>627</v>
      </c>
      <c r="N173" t="s">
        <v>1123</v>
      </c>
      <c r="O173">
        <v>2</v>
      </c>
      <c r="P173">
        <v>13</v>
      </c>
      <c r="Q173">
        <v>211.75</v>
      </c>
      <c r="R173">
        <v>1</v>
      </c>
      <c r="S173">
        <v>211.75</v>
      </c>
    </row>
    <row r="174" spans="12:19">
      <c r="L174" t="s">
        <v>140</v>
      </c>
      <c r="M174" t="s">
        <v>579</v>
      </c>
      <c r="N174" t="s">
        <v>1121</v>
      </c>
      <c r="O174">
        <v>1</v>
      </c>
      <c r="P174">
        <v>7</v>
      </c>
      <c r="Q174">
        <v>201.6</v>
      </c>
      <c r="R174">
        <v>1</v>
      </c>
      <c r="S174">
        <v>201.6</v>
      </c>
    </row>
    <row r="175" spans="12:19">
      <c r="L175" t="s">
        <v>140</v>
      </c>
      <c r="M175" t="s">
        <v>579</v>
      </c>
      <c r="N175" t="s">
        <v>1127</v>
      </c>
      <c r="O175">
        <v>1</v>
      </c>
      <c r="P175">
        <v>3</v>
      </c>
      <c r="Q175">
        <v>159</v>
      </c>
      <c r="R175">
        <v>1</v>
      </c>
      <c r="S175">
        <v>159</v>
      </c>
    </row>
    <row r="176" spans="12:19">
      <c r="L176" t="s">
        <v>140</v>
      </c>
      <c r="M176" t="s">
        <v>775</v>
      </c>
      <c r="N176" t="s">
        <v>1127</v>
      </c>
      <c r="O176">
        <v>1</v>
      </c>
      <c r="P176">
        <v>5</v>
      </c>
      <c r="Q176">
        <v>150</v>
      </c>
      <c r="R176">
        <v>1</v>
      </c>
      <c r="S176">
        <v>150</v>
      </c>
    </row>
    <row r="177" spans="12:19">
      <c r="L177" t="s">
        <v>140</v>
      </c>
      <c r="M177" t="s">
        <v>579</v>
      </c>
      <c r="N177" t="s">
        <v>1123</v>
      </c>
      <c r="O177">
        <v>2</v>
      </c>
      <c r="P177">
        <v>15</v>
      </c>
      <c r="Q177">
        <v>130.19999999999999</v>
      </c>
      <c r="R177">
        <v>1</v>
      </c>
      <c r="S177">
        <v>130.19999999999999</v>
      </c>
    </row>
    <row r="178" spans="12:19">
      <c r="L178" t="s">
        <v>140</v>
      </c>
      <c r="M178" t="s">
        <v>693</v>
      </c>
      <c r="N178" t="s">
        <v>1123</v>
      </c>
      <c r="O178">
        <v>1</v>
      </c>
      <c r="P178">
        <v>6</v>
      </c>
      <c r="Q178">
        <v>126</v>
      </c>
      <c r="R178">
        <v>1</v>
      </c>
      <c r="S178">
        <v>126</v>
      </c>
    </row>
    <row r="179" spans="12:19">
      <c r="L179" t="s">
        <v>140</v>
      </c>
      <c r="M179" t="s">
        <v>775</v>
      </c>
      <c r="N179" t="s">
        <v>1129</v>
      </c>
      <c r="O179">
        <v>1</v>
      </c>
      <c r="P179">
        <v>6</v>
      </c>
      <c r="Q179">
        <v>57.9</v>
      </c>
      <c r="R179">
        <v>1</v>
      </c>
      <c r="S179">
        <v>57.9</v>
      </c>
    </row>
    <row r="180" spans="12:19">
      <c r="L180" t="s">
        <v>140</v>
      </c>
      <c r="M180" t="s">
        <v>139</v>
      </c>
      <c r="N180" t="s">
        <v>1119</v>
      </c>
      <c r="O180">
        <v>1</v>
      </c>
      <c r="P180">
        <v>3</v>
      </c>
      <c r="Q180">
        <v>52.35</v>
      </c>
      <c r="R180">
        <v>1</v>
      </c>
      <c r="S180">
        <v>52.35</v>
      </c>
    </row>
    <row r="181" spans="12:19">
      <c r="L181" t="s">
        <v>140</v>
      </c>
      <c r="M181" t="s">
        <v>693</v>
      </c>
      <c r="N181" t="s">
        <v>1125</v>
      </c>
      <c r="O181">
        <v>1</v>
      </c>
      <c r="P181">
        <v>6</v>
      </c>
      <c r="Q181">
        <v>35.4</v>
      </c>
      <c r="R181">
        <v>1</v>
      </c>
      <c r="S181">
        <v>35.4</v>
      </c>
    </row>
    <row r="182" spans="12:19">
      <c r="L182" t="s">
        <v>140</v>
      </c>
      <c r="M182" t="s">
        <v>775</v>
      </c>
      <c r="N182" t="s">
        <v>1123</v>
      </c>
      <c r="O182">
        <v>1</v>
      </c>
      <c r="P182">
        <v>5</v>
      </c>
      <c r="Q182">
        <v>35</v>
      </c>
      <c r="R182">
        <v>1</v>
      </c>
      <c r="S182">
        <v>35</v>
      </c>
    </row>
    <row r="183" spans="12:19">
      <c r="L183" t="s">
        <v>140</v>
      </c>
      <c r="M183" t="s">
        <v>411</v>
      </c>
      <c r="N183" t="s">
        <v>1125</v>
      </c>
      <c r="O183">
        <v>1</v>
      </c>
      <c r="P183">
        <v>6</v>
      </c>
      <c r="Q183">
        <v>28.32</v>
      </c>
      <c r="R183">
        <v>1</v>
      </c>
      <c r="S183">
        <v>28.32</v>
      </c>
    </row>
    <row r="184" spans="12:19">
      <c r="L184" t="s">
        <v>140</v>
      </c>
      <c r="M184" t="s">
        <v>775</v>
      </c>
      <c r="N184" t="s">
        <v>1121</v>
      </c>
      <c r="O184">
        <v>1</v>
      </c>
      <c r="P184">
        <v>7</v>
      </c>
      <c r="Q184">
        <v>17.5</v>
      </c>
      <c r="R184">
        <v>1</v>
      </c>
      <c r="S184">
        <v>17.5</v>
      </c>
    </row>
    <row r="185" spans="12:19">
      <c r="L185" t="s">
        <v>93</v>
      </c>
      <c r="M185" t="s">
        <v>497</v>
      </c>
      <c r="N185" t="s">
        <v>1115</v>
      </c>
      <c r="O185">
        <v>14</v>
      </c>
      <c r="P185">
        <v>875</v>
      </c>
      <c r="Q185">
        <v>36059.68</v>
      </c>
      <c r="R185">
        <v>1</v>
      </c>
      <c r="S185">
        <v>36059.68</v>
      </c>
    </row>
    <row r="186" spans="12:19">
      <c r="L186" t="s">
        <v>93</v>
      </c>
      <c r="M186" t="s">
        <v>497</v>
      </c>
      <c r="N186" t="s">
        <v>1119</v>
      </c>
      <c r="O186">
        <v>9</v>
      </c>
      <c r="P186">
        <v>598</v>
      </c>
      <c r="Q186">
        <v>15347.6</v>
      </c>
      <c r="R186">
        <v>1</v>
      </c>
      <c r="S186">
        <v>15347.6</v>
      </c>
    </row>
    <row r="187" spans="12:19">
      <c r="L187" t="s">
        <v>93</v>
      </c>
      <c r="M187" t="s">
        <v>497</v>
      </c>
      <c r="N187" t="s">
        <v>1121</v>
      </c>
      <c r="O187">
        <v>9</v>
      </c>
      <c r="P187">
        <v>470</v>
      </c>
      <c r="Q187">
        <v>12582.85</v>
      </c>
      <c r="R187">
        <v>1</v>
      </c>
      <c r="S187">
        <v>12582.85</v>
      </c>
    </row>
    <row r="188" spans="12:19">
      <c r="L188" t="s">
        <v>93</v>
      </c>
      <c r="M188" t="s">
        <v>497</v>
      </c>
      <c r="N188" t="s">
        <v>1125</v>
      </c>
      <c r="O188">
        <v>5</v>
      </c>
      <c r="P188">
        <v>232</v>
      </c>
      <c r="Q188">
        <v>9754.9599999999991</v>
      </c>
      <c r="R188">
        <v>1</v>
      </c>
      <c r="S188">
        <v>9754.9599999999991</v>
      </c>
    </row>
    <row r="189" spans="12:19">
      <c r="L189" t="s">
        <v>93</v>
      </c>
      <c r="M189" t="s">
        <v>592</v>
      </c>
      <c r="N189" t="s">
        <v>1115</v>
      </c>
      <c r="O189">
        <v>7</v>
      </c>
      <c r="P189">
        <v>128</v>
      </c>
      <c r="Q189">
        <v>9455.1</v>
      </c>
      <c r="R189">
        <v>1</v>
      </c>
      <c r="S189">
        <v>9455.1</v>
      </c>
    </row>
    <row r="190" spans="12:19">
      <c r="L190" t="s">
        <v>93</v>
      </c>
      <c r="M190" t="s">
        <v>497</v>
      </c>
      <c r="N190" t="s">
        <v>1129</v>
      </c>
      <c r="O190">
        <v>11</v>
      </c>
      <c r="P190">
        <v>557</v>
      </c>
      <c r="Q190">
        <v>9367.74</v>
      </c>
      <c r="R190">
        <v>1</v>
      </c>
      <c r="S190">
        <v>9367.74</v>
      </c>
    </row>
    <row r="191" spans="12:19">
      <c r="L191" t="s">
        <v>93</v>
      </c>
      <c r="M191" t="s">
        <v>497</v>
      </c>
      <c r="N191" t="s">
        <v>1117</v>
      </c>
      <c r="O191">
        <v>10</v>
      </c>
      <c r="P191">
        <v>519</v>
      </c>
      <c r="Q191">
        <v>9214.94</v>
      </c>
      <c r="R191">
        <v>1</v>
      </c>
      <c r="S191">
        <v>9214.94</v>
      </c>
    </row>
    <row r="192" spans="12:19">
      <c r="L192" t="s">
        <v>93</v>
      </c>
      <c r="M192" t="s">
        <v>1149</v>
      </c>
      <c r="N192" t="s">
        <v>1121</v>
      </c>
      <c r="O192">
        <v>7</v>
      </c>
      <c r="P192">
        <v>307</v>
      </c>
      <c r="Q192">
        <v>8163.8</v>
      </c>
      <c r="R192">
        <v>1</v>
      </c>
      <c r="S192">
        <v>8163.8</v>
      </c>
    </row>
    <row r="193" spans="12:19">
      <c r="L193" t="s">
        <v>93</v>
      </c>
      <c r="M193" t="s">
        <v>497</v>
      </c>
      <c r="N193" t="s">
        <v>1127</v>
      </c>
      <c r="O193">
        <v>4</v>
      </c>
      <c r="P193">
        <v>198</v>
      </c>
      <c r="Q193">
        <v>6332.4</v>
      </c>
      <c r="R193">
        <v>1</v>
      </c>
      <c r="S193">
        <v>6332.4</v>
      </c>
    </row>
    <row r="194" spans="12:19">
      <c r="L194" t="s">
        <v>93</v>
      </c>
      <c r="M194" t="s">
        <v>592</v>
      </c>
      <c r="N194" t="s">
        <v>1121</v>
      </c>
      <c r="O194">
        <v>5</v>
      </c>
      <c r="P194">
        <v>156</v>
      </c>
      <c r="Q194">
        <v>5778.25</v>
      </c>
      <c r="R194">
        <v>1</v>
      </c>
      <c r="S194">
        <v>5778.25</v>
      </c>
    </row>
    <row r="195" spans="12:19">
      <c r="L195" t="s">
        <v>93</v>
      </c>
      <c r="M195" t="s">
        <v>497</v>
      </c>
      <c r="N195" t="s">
        <v>1123</v>
      </c>
      <c r="O195">
        <v>5</v>
      </c>
      <c r="P195">
        <v>344</v>
      </c>
      <c r="Q195">
        <v>5310.9</v>
      </c>
      <c r="R195">
        <v>1</v>
      </c>
      <c r="S195">
        <v>5310.9</v>
      </c>
    </row>
    <row r="196" spans="12:19">
      <c r="L196" t="s">
        <v>93</v>
      </c>
      <c r="M196" t="s">
        <v>517</v>
      </c>
      <c r="N196" t="s">
        <v>1121</v>
      </c>
      <c r="O196">
        <v>6</v>
      </c>
      <c r="P196">
        <v>215</v>
      </c>
      <c r="Q196">
        <v>5224</v>
      </c>
      <c r="R196">
        <v>1</v>
      </c>
      <c r="S196">
        <v>5224</v>
      </c>
    </row>
    <row r="197" spans="12:19">
      <c r="L197" t="s">
        <v>93</v>
      </c>
      <c r="M197" t="s">
        <v>1149</v>
      </c>
      <c r="N197" t="s">
        <v>1129</v>
      </c>
      <c r="O197">
        <v>8</v>
      </c>
      <c r="P197">
        <v>338</v>
      </c>
      <c r="Q197">
        <v>4868.45</v>
      </c>
      <c r="R197">
        <v>1</v>
      </c>
      <c r="S197">
        <v>4868.45</v>
      </c>
    </row>
    <row r="198" spans="12:19">
      <c r="L198" t="s">
        <v>93</v>
      </c>
      <c r="M198" t="s">
        <v>592</v>
      </c>
      <c r="N198" t="s">
        <v>1119</v>
      </c>
      <c r="O198">
        <v>6</v>
      </c>
      <c r="P198">
        <v>206</v>
      </c>
      <c r="Q198">
        <v>4751.46</v>
      </c>
      <c r="R198">
        <v>1</v>
      </c>
      <c r="S198">
        <v>4751.46</v>
      </c>
    </row>
    <row r="199" spans="12:19">
      <c r="L199" t="s">
        <v>93</v>
      </c>
      <c r="M199" t="s">
        <v>592</v>
      </c>
      <c r="N199" t="s">
        <v>1125</v>
      </c>
      <c r="O199">
        <v>3</v>
      </c>
      <c r="P199">
        <v>60</v>
      </c>
      <c r="Q199">
        <v>3414.42</v>
      </c>
      <c r="R199">
        <v>1</v>
      </c>
      <c r="S199">
        <v>3414.42</v>
      </c>
    </row>
    <row r="200" spans="12:19">
      <c r="L200" t="s">
        <v>93</v>
      </c>
      <c r="M200" t="s">
        <v>592</v>
      </c>
      <c r="N200" t="s">
        <v>1129</v>
      </c>
      <c r="O200">
        <v>6</v>
      </c>
      <c r="P200">
        <v>195</v>
      </c>
      <c r="Q200">
        <v>3309.75</v>
      </c>
      <c r="R200">
        <v>1</v>
      </c>
      <c r="S200">
        <v>3309.75</v>
      </c>
    </row>
    <row r="201" spans="12:19">
      <c r="L201" t="s">
        <v>93</v>
      </c>
      <c r="M201" t="s">
        <v>1149</v>
      </c>
      <c r="N201" t="s">
        <v>1125</v>
      </c>
      <c r="O201">
        <v>5</v>
      </c>
      <c r="P201">
        <v>114</v>
      </c>
      <c r="Q201">
        <v>2896.12</v>
      </c>
      <c r="R201">
        <v>1</v>
      </c>
      <c r="S201">
        <v>2896.12</v>
      </c>
    </row>
    <row r="202" spans="12:19">
      <c r="L202" t="s">
        <v>93</v>
      </c>
      <c r="M202" t="s">
        <v>1149</v>
      </c>
      <c r="N202" t="s">
        <v>1119</v>
      </c>
      <c r="O202">
        <v>6</v>
      </c>
      <c r="P202">
        <v>201</v>
      </c>
      <c r="Q202">
        <v>2876.58</v>
      </c>
      <c r="R202">
        <v>1</v>
      </c>
      <c r="S202">
        <v>2876.58</v>
      </c>
    </row>
    <row r="203" spans="12:19">
      <c r="L203" t="s">
        <v>93</v>
      </c>
      <c r="M203" t="s">
        <v>556</v>
      </c>
      <c r="N203" t="s">
        <v>1121</v>
      </c>
      <c r="O203">
        <v>5</v>
      </c>
      <c r="P203">
        <v>148</v>
      </c>
      <c r="Q203">
        <v>2833.5</v>
      </c>
      <c r="R203">
        <v>1</v>
      </c>
      <c r="S203">
        <v>2833.5</v>
      </c>
    </row>
    <row r="204" spans="12:19">
      <c r="L204" t="s">
        <v>93</v>
      </c>
      <c r="M204" t="s">
        <v>517</v>
      </c>
      <c r="N204" t="s">
        <v>1123</v>
      </c>
      <c r="O204">
        <v>4</v>
      </c>
      <c r="P204">
        <v>102</v>
      </c>
      <c r="Q204">
        <v>2809.1</v>
      </c>
      <c r="R204">
        <v>1</v>
      </c>
      <c r="S204">
        <v>2809.1</v>
      </c>
    </row>
    <row r="205" spans="12:19">
      <c r="L205" t="s">
        <v>93</v>
      </c>
      <c r="M205" t="s">
        <v>1160</v>
      </c>
      <c r="N205" t="s">
        <v>1119</v>
      </c>
      <c r="O205">
        <v>4</v>
      </c>
      <c r="P205">
        <v>145</v>
      </c>
      <c r="Q205">
        <v>2757.28</v>
      </c>
      <c r="R205">
        <v>1</v>
      </c>
      <c r="S205">
        <v>2757.28</v>
      </c>
    </row>
    <row r="206" spans="12:19">
      <c r="L206" t="s">
        <v>93</v>
      </c>
      <c r="M206" t="s">
        <v>1160</v>
      </c>
      <c r="N206" t="s">
        <v>1127</v>
      </c>
      <c r="O206">
        <v>4</v>
      </c>
      <c r="P206">
        <v>85</v>
      </c>
      <c r="Q206">
        <v>2676.56</v>
      </c>
      <c r="R206">
        <v>1</v>
      </c>
      <c r="S206">
        <v>2676.56</v>
      </c>
    </row>
    <row r="207" spans="12:19">
      <c r="L207" t="s">
        <v>93</v>
      </c>
      <c r="M207" t="s">
        <v>517</v>
      </c>
      <c r="N207" t="s">
        <v>1125</v>
      </c>
      <c r="O207">
        <v>3</v>
      </c>
      <c r="P207">
        <v>43</v>
      </c>
      <c r="Q207">
        <v>2638.82</v>
      </c>
      <c r="R207">
        <v>1</v>
      </c>
      <c r="S207">
        <v>2638.82</v>
      </c>
    </row>
    <row r="208" spans="12:19">
      <c r="L208" t="s">
        <v>93</v>
      </c>
      <c r="M208" t="s">
        <v>517</v>
      </c>
      <c r="N208" t="s">
        <v>1117</v>
      </c>
      <c r="O208">
        <v>5</v>
      </c>
      <c r="P208">
        <v>115</v>
      </c>
      <c r="Q208">
        <v>2413.62</v>
      </c>
      <c r="R208">
        <v>1</v>
      </c>
      <c r="S208">
        <v>2413.62</v>
      </c>
    </row>
    <row r="209" spans="12:19">
      <c r="L209" t="s">
        <v>93</v>
      </c>
      <c r="M209" t="s">
        <v>1160</v>
      </c>
      <c r="N209" t="s">
        <v>1121</v>
      </c>
      <c r="O209">
        <v>3</v>
      </c>
      <c r="P209">
        <v>99</v>
      </c>
      <c r="Q209">
        <v>2315.25</v>
      </c>
      <c r="R209">
        <v>1</v>
      </c>
      <c r="S209">
        <v>2315.25</v>
      </c>
    </row>
    <row r="210" spans="12:19">
      <c r="L210" t="s">
        <v>93</v>
      </c>
      <c r="M210" t="s">
        <v>1149</v>
      </c>
      <c r="N210" t="s">
        <v>1115</v>
      </c>
      <c r="O210">
        <v>6</v>
      </c>
      <c r="P210">
        <v>211</v>
      </c>
      <c r="Q210">
        <v>2033.44</v>
      </c>
      <c r="R210">
        <v>1</v>
      </c>
      <c r="S210">
        <v>2033.44</v>
      </c>
    </row>
    <row r="211" spans="12:19">
      <c r="L211" t="s">
        <v>93</v>
      </c>
      <c r="M211" t="s">
        <v>517</v>
      </c>
      <c r="N211" t="s">
        <v>1119</v>
      </c>
      <c r="O211">
        <v>4</v>
      </c>
      <c r="P211">
        <v>45</v>
      </c>
      <c r="Q211">
        <v>1942.02</v>
      </c>
      <c r="R211">
        <v>1</v>
      </c>
      <c r="S211">
        <v>1942.02</v>
      </c>
    </row>
    <row r="212" spans="12:19">
      <c r="L212" t="s">
        <v>93</v>
      </c>
      <c r="M212" t="s">
        <v>508</v>
      </c>
      <c r="N212" t="s">
        <v>1119</v>
      </c>
      <c r="O212">
        <v>3</v>
      </c>
      <c r="P212">
        <v>64</v>
      </c>
      <c r="Q212">
        <v>1921.8</v>
      </c>
      <c r="R212">
        <v>1</v>
      </c>
      <c r="S212">
        <v>1921.8</v>
      </c>
    </row>
    <row r="213" spans="12:19">
      <c r="L213" t="s">
        <v>93</v>
      </c>
      <c r="M213" t="s">
        <v>592</v>
      </c>
      <c r="N213" t="s">
        <v>1117</v>
      </c>
      <c r="O213">
        <v>4</v>
      </c>
      <c r="P213">
        <v>90</v>
      </c>
      <c r="Q213">
        <v>1872</v>
      </c>
      <c r="R213">
        <v>1</v>
      </c>
      <c r="S213">
        <v>1872</v>
      </c>
    </row>
    <row r="214" spans="12:19">
      <c r="L214" t="s">
        <v>93</v>
      </c>
      <c r="M214" t="s">
        <v>1168</v>
      </c>
      <c r="N214" t="s">
        <v>1127</v>
      </c>
      <c r="O214">
        <v>1</v>
      </c>
      <c r="P214">
        <v>49</v>
      </c>
      <c r="Q214">
        <v>1863.4</v>
      </c>
      <c r="R214">
        <v>1</v>
      </c>
      <c r="S214">
        <v>1863.4</v>
      </c>
    </row>
    <row r="215" spans="12:19">
      <c r="L215" t="s">
        <v>93</v>
      </c>
      <c r="M215" t="s">
        <v>556</v>
      </c>
      <c r="N215" t="s">
        <v>1115</v>
      </c>
      <c r="O215">
        <v>4</v>
      </c>
      <c r="P215">
        <v>94</v>
      </c>
      <c r="Q215">
        <v>1839.05</v>
      </c>
      <c r="R215">
        <v>1</v>
      </c>
      <c r="S215">
        <v>1839.05</v>
      </c>
    </row>
    <row r="216" spans="12:19">
      <c r="L216" t="s">
        <v>93</v>
      </c>
      <c r="M216" t="s">
        <v>508</v>
      </c>
      <c r="N216" t="s">
        <v>1121</v>
      </c>
      <c r="O216">
        <v>2</v>
      </c>
      <c r="P216">
        <v>52</v>
      </c>
      <c r="Q216">
        <v>1829</v>
      </c>
      <c r="R216">
        <v>1</v>
      </c>
      <c r="S216">
        <v>1829</v>
      </c>
    </row>
    <row r="217" spans="12:19">
      <c r="L217" t="s">
        <v>93</v>
      </c>
      <c r="M217" t="s">
        <v>1149</v>
      </c>
      <c r="N217" t="s">
        <v>1123</v>
      </c>
      <c r="O217">
        <v>4</v>
      </c>
      <c r="P217">
        <v>142</v>
      </c>
      <c r="Q217">
        <v>1612.12</v>
      </c>
      <c r="R217">
        <v>1</v>
      </c>
      <c r="S217">
        <v>1612.12</v>
      </c>
    </row>
    <row r="218" spans="12:19">
      <c r="L218" t="s">
        <v>93</v>
      </c>
      <c r="M218" t="s">
        <v>517</v>
      </c>
      <c r="N218" t="s">
        <v>1129</v>
      </c>
      <c r="O218">
        <v>3</v>
      </c>
      <c r="P218">
        <v>80</v>
      </c>
      <c r="Q218">
        <v>1557.27</v>
      </c>
      <c r="R218">
        <v>1</v>
      </c>
      <c r="S218">
        <v>1557.27</v>
      </c>
    </row>
    <row r="219" spans="12:19">
      <c r="L219" t="s">
        <v>93</v>
      </c>
      <c r="M219" t="s">
        <v>556</v>
      </c>
      <c r="N219" t="s">
        <v>1123</v>
      </c>
      <c r="O219">
        <v>4</v>
      </c>
      <c r="P219">
        <v>80</v>
      </c>
      <c r="Q219">
        <v>1551.88</v>
      </c>
      <c r="R219">
        <v>1</v>
      </c>
      <c r="S219">
        <v>1551.88</v>
      </c>
    </row>
    <row r="220" spans="12:19">
      <c r="L220" t="s">
        <v>93</v>
      </c>
      <c r="M220" t="s">
        <v>92</v>
      </c>
      <c r="N220" t="s">
        <v>1117</v>
      </c>
      <c r="O220">
        <v>4</v>
      </c>
      <c r="P220">
        <v>44</v>
      </c>
      <c r="Q220">
        <v>1338.8</v>
      </c>
      <c r="R220">
        <v>1</v>
      </c>
      <c r="S220">
        <v>1338.8</v>
      </c>
    </row>
    <row r="221" spans="12:19">
      <c r="L221" t="s">
        <v>93</v>
      </c>
      <c r="M221" t="s">
        <v>1168</v>
      </c>
      <c r="N221" t="s">
        <v>1123</v>
      </c>
      <c r="O221">
        <v>3</v>
      </c>
      <c r="P221">
        <v>58</v>
      </c>
      <c r="Q221">
        <v>1326.8</v>
      </c>
      <c r="R221">
        <v>1</v>
      </c>
      <c r="S221">
        <v>1326.8</v>
      </c>
    </row>
    <row r="222" spans="12:19">
      <c r="L222" t="s">
        <v>93</v>
      </c>
      <c r="M222" t="s">
        <v>1149</v>
      </c>
      <c r="N222" t="s">
        <v>1127</v>
      </c>
      <c r="O222">
        <v>2</v>
      </c>
      <c r="P222">
        <v>51</v>
      </c>
      <c r="Q222">
        <v>1185.75</v>
      </c>
      <c r="R222">
        <v>1</v>
      </c>
      <c r="S222">
        <v>1185.75</v>
      </c>
    </row>
    <row r="223" spans="12:19">
      <c r="L223" t="s">
        <v>93</v>
      </c>
      <c r="M223" t="s">
        <v>1160</v>
      </c>
      <c r="N223" t="s">
        <v>1115</v>
      </c>
      <c r="O223">
        <v>3</v>
      </c>
      <c r="P223">
        <v>71</v>
      </c>
      <c r="Q223">
        <v>1129</v>
      </c>
      <c r="R223">
        <v>1</v>
      </c>
      <c r="S223">
        <v>1129</v>
      </c>
    </row>
    <row r="224" spans="12:19">
      <c r="L224" t="s">
        <v>93</v>
      </c>
      <c r="M224" t="s">
        <v>1168</v>
      </c>
      <c r="N224" t="s">
        <v>1119</v>
      </c>
      <c r="O224">
        <v>3</v>
      </c>
      <c r="P224">
        <v>79</v>
      </c>
      <c r="Q224">
        <v>1076.8399999999999</v>
      </c>
      <c r="R224">
        <v>1</v>
      </c>
      <c r="S224">
        <v>1076.8399999999999</v>
      </c>
    </row>
    <row r="225" spans="12:19">
      <c r="L225" t="s">
        <v>93</v>
      </c>
      <c r="M225" t="s">
        <v>517</v>
      </c>
      <c r="N225" t="s">
        <v>1115</v>
      </c>
      <c r="O225">
        <v>5</v>
      </c>
      <c r="P225">
        <v>84</v>
      </c>
      <c r="Q225">
        <v>1046.5999999999999</v>
      </c>
      <c r="R225">
        <v>1</v>
      </c>
      <c r="S225">
        <v>1046.5999999999999</v>
      </c>
    </row>
    <row r="226" spans="12:19">
      <c r="L226" t="s">
        <v>93</v>
      </c>
      <c r="M226" t="s">
        <v>1160</v>
      </c>
      <c r="N226" t="s">
        <v>1117</v>
      </c>
      <c r="O226">
        <v>3</v>
      </c>
      <c r="P226">
        <v>61</v>
      </c>
      <c r="Q226">
        <v>982.77</v>
      </c>
      <c r="R226">
        <v>1</v>
      </c>
      <c r="S226">
        <v>982.77</v>
      </c>
    </row>
    <row r="227" spans="12:19">
      <c r="L227" t="s">
        <v>93</v>
      </c>
      <c r="M227" t="s">
        <v>1160</v>
      </c>
      <c r="N227" t="s">
        <v>1123</v>
      </c>
      <c r="O227">
        <v>2</v>
      </c>
      <c r="P227">
        <v>70</v>
      </c>
      <c r="Q227">
        <v>951</v>
      </c>
      <c r="R227">
        <v>1</v>
      </c>
      <c r="S227">
        <v>951</v>
      </c>
    </row>
    <row r="228" spans="12:19">
      <c r="L228" t="s">
        <v>93</v>
      </c>
      <c r="M228" t="s">
        <v>556</v>
      </c>
      <c r="N228" t="s">
        <v>1125</v>
      </c>
      <c r="O228">
        <v>3</v>
      </c>
      <c r="P228">
        <v>36</v>
      </c>
      <c r="Q228">
        <v>840.8</v>
      </c>
      <c r="R228">
        <v>1</v>
      </c>
      <c r="S228">
        <v>840.8</v>
      </c>
    </row>
    <row r="229" spans="12:19">
      <c r="L229" t="s">
        <v>93</v>
      </c>
      <c r="M229" t="s">
        <v>92</v>
      </c>
      <c r="N229" t="s">
        <v>1121</v>
      </c>
      <c r="O229">
        <v>1</v>
      </c>
      <c r="P229">
        <v>15</v>
      </c>
      <c r="Q229">
        <v>825</v>
      </c>
      <c r="R229">
        <v>1</v>
      </c>
      <c r="S229">
        <v>825</v>
      </c>
    </row>
    <row r="230" spans="12:19">
      <c r="L230" t="s">
        <v>93</v>
      </c>
      <c r="M230" t="s">
        <v>1160</v>
      </c>
      <c r="N230" t="s">
        <v>1129</v>
      </c>
      <c r="O230">
        <v>5</v>
      </c>
      <c r="P230">
        <v>75</v>
      </c>
      <c r="Q230">
        <v>786.26</v>
      </c>
      <c r="R230">
        <v>1</v>
      </c>
      <c r="S230">
        <v>786.26</v>
      </c>
    </row>
    <row r="231" spans="12:19">
      <c r="L231" t="s">
        <v>93</v>
      </c>
      <c r="M231" t="s">
        <v>508</v>
      </c>
      <c r="N231" t="s">
        <v>1127</v>
      </c>
      <c r="O231">
        <v>1</v>
      </c>
      <c r="P231">
        <v>20</v>
      </c>
      <c r="Q231">
        <v>728</v>
      </c>
      <c r="R231">
        <v>1</v>
      </c>
      <c r="S231">
        <v>728</v>
      </c>
    </row>
    <row r="232" spans="12:19">
      <c r="L232" t="s">
        <v>93</v>
      </c>
      <c r="M232" t="s">
        <v>645</v>
      </c>
      <c r="N232" t="s">
        <v>1125</v>
      </c>
      <c r="O232">
        <v>1</v>
      </c>
      <c r="P232">
        <v>20</v>
      </c>
      <c r="Q232">
        <v>656</v>
      </c>
      <c r="R232">
        <v>1</v>
      </c>
      <c r="S232">
        <v>656</v>
      </c>
    </row>
    <row r="233" spans="12:19">
      <c r="L233" t="s">
        <v>93</v>
      </c>
      <c r="M233" t="s">
        <v>727</v>
      </c>
      <c r="N233" t="s">
        <v>1129</v>
      </c>
      <c r="O233">
        <v>1</v>
      </c>
      <c r="P233">
        <v>10</v>
      </c>
      <c r="Q233">
        <v>625</v>
      </c>
      <c r="R233">
        <v>1</v>
      </c>
      <c r="S233">
        <v>625</v>
      </c>
    </row>
    <row r="234" spans="12:19">
      <c r="L234" t="s">
        <v>93</v>
      </c>
      <c r="M234" t="s">
        <v>645</v>
      </c>
      <c r="N234" t="s">
        <v>1121</v>
      </c>
      <c r="O234">
        <v>2</v>
      </c>
      <c r="P234">
        <v>40</v>
      </c>
      <c r="Q234">
        <v>620</v>
      </c>
      <c r="R234">
        <v>1</v>
      </c>
      <c r="S234">
        <v>620</v>
      </c>
    </row>
    <row r="235" spans="12:19">
      <c r="L235" t="s">
        <v>93</v>
      </c>
      <c r="M235" t="s">
        <v>92</v>
      </c>
      <c r="N235" t="s">
        <v>1127</v>
      </c>
      <c r="O235">
        <v>2</v>
      </c>
      <c r="P235">
        <v>17</v>
      </c>
      <c r="Q235">
        <v>604.20000000000005</v>
      </c>
      <c r="R235">
        <v>1</v>
      </c>
      <c r="S235">
        <v>604.20000000000005</v>
      </c>
    </row>
    <row r="236" spans="12:19">
      <c r="L236" t="s">
        <v>93</v>
      </c>
      <c r="M236" t="s">
        <v>727</v>
      </c>
      <c r="N236" t="s">
        <v>1127</v>
      </c>
      <c r="O236">
        <v>2</v>
      </c>
      <c r="P236">
        <v>11</v>
      </c>
      <c r="Q236">
        <v>560.79999999999995</v>
      </c>
      <c r="R236">
        <v>1</v>
      </c>
      <c r="S236">
        <v>560.79999999999995</v>
      </c>
    </row>
    <row r="237" spans="12:19">
      <c r="L237" t="s">
        <v>93</v>
      </c>
      <c r="M237" t="s">
        <v>92</v>
      </c>
      <c r="N237" t="s">
        <v>1115</v>
      </c>
      <c r="O237">
        <v>2</v>
      </c>
      <c r="P237">
        <v>36</v>
      </c>
      <c r="Q237">
        <v>553.5</v>
      </c>
      <c r="R237">
        <v>1</v>
      </c>
      <c r="S237">
        <v>553.5</v>
      </c>
    </row>
    <row r="238" spans="12:19">
      <c r="L238" t="s">
        <v>93</v>
      </c>
      <c r="M238" t="s">
        <v>556</v>
      </c>
      <c r="N238" t="s">
        <v>1119</v>
      </c>
      <c r="O238">
        <v>2</v>
      </c>
      <c r="P238">
        <v>52</v>
      </c>
      <c r="Q238">
        <v>402.8</v>
      </c>
      <c r="R238">
        <v>1</v>
      </c>
      <c r="S238">
        <v>402.8</v>
      </c>
    </row>
    <row r="239" spans="12:19">
      <c r="L239" t="s">
        <v>93</v>
      </c>
      <c r="M239" t="s">
        <v>645</v>
      </c>
      <c r="N239" t="s">
        <v>1119</v>
      </c>
      <c r="O239">
        <v>1</v>
      </c>
      <c r="P239">
        <v>12</v>
      </c>
      <c r="Q239">
        <v>374.76</v>
      </c>
      <c r="R239">
        <v>1</v>
      </c>
      <c r="S239">
        <v>374.76</v>
      </c>
    </row>
    <row r="240" spans="12:19">
      <c r="L240" t="s">
        <v>93</v>
      </c>
      <c r="M240" t="s">
        <v>1168</v>
      </c>
      <c r="N240" t="s">
        <v>1115</v>
      </c>
      <c r="O240">
        <v>3</v>
      </c>
      <c r="P240">
        <v>50</v>
      </c>
      <c r="Q240">
        <v>349</v>
      </c>
      <c r="R240">
        <v>1</v>
      </c>
      <c r="S240">
        <v>349</v>
      </c>
    </row>
    <row r="241" spans="12:19">
      <c r="L241" t="s">
        <v>93</v>
      </c>
      <c r="M241" t="s">
        <v>727</v>
      </c>
      <c r="N241" t="s">
        <v>1115</v>
      </c>
      <c r="O241">
        <v>2</v>
      </c>
      <c r="P241">
        <v>19</v>
      </c>
      <c r="Q241">
        <v>342</v>
      </c>
      <c r="R241">
        <v>1</v>
      </c>
      <c r="S241">
        <v>342</v>
      </c>
    </row>
    <row r="242" spans="12:19">
      <c r="L242" t="s">
        <v>93</v>
      </c>
      <c r="M242" t="s">
        <v>556</v>
      </c>
      <c r="N242" t="s">
        <v>1117</v>
      </c>
      <c r="O242">
        <v>1</v>
      </c>
      <c r="P242">
        <v>15</v>
      </c>
      <c r="Q242">
        <v>342</v>
      </c>
      <c r="R242">
        <v>1</v>
      </c>
      <c r="S242">
        <v>342</v>
      </c>
    </row>
    <row r="243" spans="12:19">
      <c r="L243" t="s">
        <v>93</v>
      </c>
      <c r="M243" t="s">
        <v>727</v>
      </c>
      <c r="N243" t="s">
        <v>1119</v>
      </c>
      <c r="O243">
        <v>2</v>
      </c>
      <c r="P243">
        <v>34</v>
      </c>
      <c r="Q243">
        <v>333</v>
      </c>
      <c r="R243">
        <v>1</v>
      </c>
      <c r="S243">
        <v>333</v>
      </c>
    </row>
    <row r="244" spans="12:19">
      <c r="L244" t="s">
        <v>93</v>
      </c>
      <c r="M244" t="s">
        <v>727</v>
      </c>
      <c r="N244" t="s">
        <v>1121</v>
      </c>
      <c r="O244">
        <v>1</v>
      </c>
      <c r="P244">
        <v>14</v>
      </c>
      <c r="Q244">
        <v>294</v>
      </c>
      <c r="R244">
        <v>1</v>
      </c>
      <c r="S244">
        <v>294</v>
      </c>
    </row>
    <row r="245" spans="12:19">
      <c r="L245" t="s">
        <v>93</v>
      </c>
      <c r="M245" t="s">
        <v>1160</v>
      </c>
      <c r="N245" t="s">
        <v>1125</v>
      </c>
      <c r="O245">
        <v>1</v>
      </c>
      <c r="P245">
        <v>9</v>
      </c>
      <c r="Q245">
        <v>265.68</v>
      </c>
      <c r="R245">
        <v>1</v>
      </c>
      <c r="S245">
        <v>265.68</v>
      </c>
    </row>
    <row r="246" spans="12:19">
      <c r="L246" t="s">
        <v>93</v>
      </c>
      <c r="M246" t="s">
        <v>508</v>
      </c>
      <c r="N246" t="s">
        <v>1117</v>
      </c>
      <c r="O246">
        <v>1</v>
      </c>
      <c r="P246">
        <v>6</v>
      </c>
      <c r="Q246">
        <v>263.39999999999998</v>
      </c>
      <c r="R246">
        <v>1</v>
      </c>
      <c r="S246">
        <v>263.39999999999998</v>
      </c>
    </row>
    <row r="247" spans="12:19">
      <c r="L247" t="s">
        <v>93</v>
      </c>
      <c r="M247" t="s">
        <v>645</v>
      </c>
      <c r="N247" t="s">
        <v>1115</v>
      </c>
      <c r="O247">
        <v>1</v>
      </c>
      <c r="P247">
        <v>24</v>
      </c>
      <c r="Q247">
        <v>247.2</v>
      </c>
      <c r="R247">
        <v>1</v>
      </c>
      <c r="S247">
        <v>247.2</v>
      </c>
    </row>
    <row r="248" spans="12:19">
      <c r="L248" t="s">
        <v>93</v>
      </c>
      <c r="M248" t="s">
        <v>1149</v>
      </c>
      <c r="N248" t="s">
        <v>1117</v>
      </c>
      <c r="O248">
        <v>1</v>
      </c>
      <c r="P248">
        <v>15</v>
      </c>
      <c r="Q248">
        <v>195</v>
      </c>
      <c r="R248">
        <v>1</v>
      </c>
      <c r="S248">
        <v>195</v>
      </c>
    </row>
    <row r="249" spans="12:19">
      <c r="L249" t="s">
        <v>93</v>
      </c>
      <c r="M249" t="s">
        <v>508</v>
      </c>
      <c r="N249" t="s">
        <v>1115</v>
      </c>
      <c r="O249">
        <v>1</v>
      </c>
      <c r="P249">
        <v>10</v>
      </c>
      <c r="Q249">
        <v>180</v>
      </c>
      <c r="R249">
        <v>1</v>
      </c>
      <c r="S249">
        <v>180</v>
      </c>
    </row>
    <row r="250" spans="12:19">
      <c r="L250" t="s">
        <v>93</v>
      </c>
      <c r="M250" t="s">
        <v>592</v>
      </c>
      <c r="N250" t="s">
        <v>1127</v>
      </c>
      <c r="O250">
        <v>1</v>
      </c>
      <c r="P250">
        <v>9</v>
      </c>
      <c r="Q250">
        <v>167.4</v>
      </c>
      <c r="R250">
        <v>1</v>
      </c>
      <c r="S250">
        <v>167.4</v>
      </c>
    </row>
    <row r="251" spans="12:19">
      <c r="L251" t="s">
        <v>93</v>
      </c>
      <c r="M251" t="s">
        <v>727</v>
      </c>
      <c r="N251" t="s">
        <v>1125</v>
      </c>
      <c r="O251">
        <v>1</v>
      </c>
      <c r="P251">
        <v>20</v>
      </c>
      <c r="Q251">
        <v>149</v>
      </c>
      <c r="R251">
        <v>1</v>
      </c>
      <c r="S251">
        <v>149</v>
      </c>
    </row>
    <row r="252" spans="12:19">
      <c r="L252" t="s">
        <v>93</v>
      </c>
      <c r="M252" t="s">
        <v>556</v>
      </c>
      <c r="N252" t="s">
        <v>1129</v>
      </c>
      <c r="O252">
        <v>1</v>
      </c>
      <c r="P252">
        <v>10</v>
      </c>
      <c r="Q252">
        <v>147</v>
      </c>
      <c r="R252">
        <v>1</v>
      </c>
      <c r="S252">
        <v>147</v>
      </c>
    </row>
    <row r="253" spans="12:19">
      <c r="L253" t="s">
        <v>93</v>
      </c>
      <c r="M253" t="s">
        <v>556</v>
      </c>
      <c r="N253" t="s">
        <v>1127</v>
      </c>
      <c r="O253">
        <v>1</v>
      </c>
      <c r="P253">
        <v>4</v>
      </c>
      <c r="Q253">
        <v>145.6</v>
      </c>
      <c r="R253">
        <v>1</v>
      </c>
      <c r="S253">
        <v>145.6</v>
      </c>
    </row>
    <row r="254" spans="12:19">
      <c r="L254" t="s">
        <v>93</v>
      </c>
      <c r="M254" t="s">
        <v>1168</v>
      </c>
      <c r="N254" t="s">
        <v>1129</v>
      </c>
      <c r="O254">
        <v>1</v>
      </c>
      <c r="P254">
        <v>14</v>
      </c>
      <c r="Q254">
        <v>135.1</v>
      </c>
      <c r="R254">
        <v>1</v>
      </c>
      <c r="S254">
        <v>135.1</v>
      </c>
    </row>
    <row r="255" spans="12:19">
      <c r="L255" t="s">
        <v>93</v>
      </c>
      <c r="M255" t="s">
        <v>508</v>
      </c>
      <c r="N255" t="s">
        <v>1129</v>
      </c>
      <c r="O255">
        <v>1</v>
      </c>
      <c r="P255">
        <v>20</v>
      </c>
      <c r="Q255">
        <v>120</v>
      </c>
      <c r="R255">
        <v>1</v>
      </c>
      <c r="S255">
        <v>120</v>
      </c>
    </row>
    <row r="256" spans="12:19">
      <c r="L256" t="s">
        <v>93</v>
      </c>
      <c r="M256" t="s">
        <v>645</v>
      </c>
      <c r="N256" t="s">
        <v>1129</v>
      </c>
      <c r="O256">
        <v>1</v>
      </c>
      <c r="P256">
        <v>18</v>
      </c>
      <c r="Q256">
        <v>86.4</v>
      </c>
      <c r="R256">
        <v>1</v>
      </c>
      <c r="S256">
        <v>86.4</v>
      </c>
    </row>
    <row r="257" spans="12:19">
      <c r="L257" t="s">
        <v>93</v>
      </c>
      <c r="M257" t="s">
        <v>727</v>
      </c>
      <c r="N257" t="s">
        <v>1123</v>
      </c>
      <c r="O257">
        <v>1</v>
      </c>
      <c r="P257">
        <v>4</v>
      </c>
      <c r="Q257">
        <v>78</v>
      </c>
      <c r="R257">
        <v>1</v>
      </c>
      <c r="S257">
        <v>78</v>
      </c>
    </row>
    <row r="258" spans="12:19">
      <c r="L258" t="s">
        <v>93</v>
      </c>
      <c r="M258" t="s">
        <v>1168</v>
      </c>
      <c r="N258" t="s">
        <v>1121</v>
      </c>
      <c r="O258">
        <v>1</v>
      </c>
      <c r="P258">
        <v>3</v>
      </c>
      <c r="Q258">
        <v>27</v>
      </c>
      <c r="R258">
        <v>1</v>
      </c>
      <c r="S258">
        <v>27</v>
      </c>
    </row>
    <row r="259" spans="12:19">
      <c r="L259" t="s">
        <v>93</v>
      </c>
      <c r="M259" t="s">
        <v>92</v>
      </c>
      <c r="N259" t="s">
        <v>1129</v>
      </c>
      <c r="O259">
        <v>1</v>
      </c>
      <c r="P259">
        <v>2</v>
      </c>
      <c r="Q259">
        <v>18</v>
      </c>
      <c r="R259">
        <v>1</v>
      </c>
      <c r="S259">
        <v>18</v>
      </c>
    </row>
    <row r="260" spans="12:19">
      <c r="L260" t="s">
        <v>552</v>
      </c>
      <c r="M260" t="s">
        <v>550</v>
      </c>
      <c r="N260" t="s">
        <v>1125</v>
      </c>
      <c r="O260">
        <v>5</v>
      </c>
      <c r="P260">
        <v>223</v>
      </c>
      <c r="Q260">
        <v>20914.23</v>
      </c>
      <c r="R260">
        <v>1</v>
      </c>
      <c r="S260">
        <v>20914.23</v>
      </c>
    </row>
    <row r="261" spans="12:19">
      <c r="L261" t="s">
        <v>552</v>
      </c>
      <c r="M261" t="s">
        <v>550</v>
      </c>
      <c r="N261" t="s">
        <v>1121</v>
      </c>
      <c r="O261">
        <v>10</v>
      </c>
      <c r="P261">
        <v>387</v>
      </c>
      <c r="Q261">
        <v>9010.11</v>
      </c>
      <c r="R261">
        <v>1</v>
      </c>
      <c r="S261">
        <v>9010.11</v>
      </c>
    </row>
    <row r="262" spans="12:19">
      <c r="L262" t="s">
        <v>552</v>
      </c>
      <c r="M262" t="s">
        <v>550</v>
      </c>
      <c r="N262" t="s">
        <v>1129</v>
      </c>
      <c r="O262">
        <v>9</v>
      </c>
      <c r="P262">
        <v>360</v>
      </c>
      <c r="Q262">
        <v>5976.23</v>
      </c>
      <c r="R262">
        <v>1</v>
      </c>
      <c r="S262">
        <v>5976.23</v>
      </c>
    </row>
    <row r="263" spans="12:19">
      <c r="L263" t="s">
        <v>552</v>
      </c>
      <c r="M263" t="s">
        <v>550</v>
      </c>
      <c r="N263" t="s">
        <v>1117</v>
      </c>
      <c r="O263">
        <v>5</v>
      </c>
      <c r="P263">
        <v>180</v>
      </c>
      <c r="Q263">
        <v>3477.62</v>
      </c>
      <c r="R263">
        <v>1</v>
      </c>
      <c r="S263">
        <v>3477.62</v>
      </c>
    </row>
    <row r="264" spans="12:19">
      <c r="L264" t="s">
        <v>552</v>
      </c>
      <c r="M264" t="s">
        <v>550</v>
      </c>
      <c r="N264" t="s">
        <v>1127</v>
      </c>
      <c r="O264">
        <v>3</v>
      </c>
      <c r="P264">
        <v>121</v>
      </c>
      <c r="Q264">
        <v>3414.66</v>
      </c>
      <c r="R264">
        <v>1</v>
      </c>
      <c r="S264">
        <v>3414.66</v>
      </c>
    </row>
    <row r="265" spans="12:19">
      <c r="L265" t="s">
        <v>552</v>
      </c>
      <c r="M265" t="s">
        <v>550</v>
      </c>
      <c r="N265" t="s">
        <v>1115</v>
      </c>
      <c r="O265">
        <v>8</v>
      </c>
      <c r="P265">
        <v>170</v>
      </c>
      <c r="Q265">
        <v>2725.32</v>
      </c>
      <c r="R265">
        <v>1</v>
      </c>
      <c r="S265">
        <v>2725.32</v>
      </c>
    </row>
    <row r="266" spans="12:19">
      <c r="L266" t="s">
        <v>552</v>
      </c>
      <c r="M266" t="s">
        <v>550</v>
      </c>
      <c r="N266" t="s">
        <v>1119</v>
      </c>
      <c r="O266">
        <v>3</v>
      </c>
      <c r="P266">
        <v>91</v>
      </c>
      <c r="Q266">
        <v>1676.38</v>
      </c>
      <c r="R266">
        <v>1</v>
      </c>
      <c r="S266">
        <v>1676.38</v>
      </c>
    </row>
    <row r="267" spans="12:19">
      <c r="L267" t="s">
        <v>552</v>
      </c>
      <c r="M267" t="s">
        <v>550</v>
      </c>
      <c r="N267" t="s">
        <v>1123</v>
      </c>
      <c r="O267">
        <v>3</v>
      </c>
      <c r="P267">
        <v>52</v>
      </c>
      <c r="Q267">
        <v>1442.4</v>
      </c>
      <c r="R267">
        <v>1</v>
      </c>
      <c r="S267">
        <v>1442.4</v>
      </c>
    </row>
    <row r="268" spans="12:19">
      <c r="L268" t="s">
        <v>113</v>
      </c>
      <c r="M268" t="s">
        <v>534</v>
      </c>
      <c r="N268" t="s">
        <v>1121</v>
      </c>
      <c r="O268">
        <v>4</v>
      </c>
      <c r="P268">
        <v>92</v>
      </c>
      <c r="Q268">
        <v>2080.94</v>
      </c>
      <c r="R268">
        <v>1</v>
      </c>
      <c r="S268">
        <v>2080.94</v>
      </c>
    </row>
    <row r="269" spans="12:19">
      <c r="L269" t="s">
        <v>113</v>
      </c>
      <c r="M269" t="s">
        <v>501</v>
      </c>
      <c r="N269" t="s">
        <v>1121</v>
      </c>
      <c r="O269">
        <v>3</v>
      </c>
      <c r="P269">
        <v>56</v>
      </c>
      <c r="Q269">
        <v>1778.2</v>
      </c>
      <c r="R269">
        <v>1</v>
      </c>
      <c r="S269">
        <v>1778.2</v>
      </c>
    </row>
    <row r="270" spans="12:19">
      <c r="L270" t="s">
        <v>113</v>
      </c>
      <c r="M270" t="s">
        <v>501</v>
      </c>
      <c r="N270" t="s">
        <v>1119</v>
      </c>
      <c r="O270">
        <v>3</v>
      </c>
      <c r="P270">
        <v>92</v>
      </c>
      <c r="Q270">
        <v>1500.05</v>
      </c>
      <c r="R270">
        <v>1</v>
      </c>
      <c r="S270">
        <v>1500.05</v>
      </c>
    </row>
    <row r="271" spans="12:19">
      <c r="L271" t="s">
        <v>113</v>
      </c>
      <c r="M271" t="s">
        <v>501</v>
      </c>
      <c r="N271" t="s">
        <v>1123</v>
      </c>
      <c r="O271">
        <v>2</v>
      </c>
      <c r="P271">
        <v>80</v>
      </c>
      <c r="Q271">
        <v>1265.5999999999999</v>
      </c>
      <c r="R271">
        <v>1</v>
      </c>
      <c r="S271">
        <v>1265.5999999999999</v>
      </c>
    </row>
    <row r="272" spans="12:19">
      <c r="L272" t="s">
        <v>113</v>
      </c>
      <c r="M272" t="s">
        <v>534</v>
      </c>
      <c r="N272" t="s">
        <v>1119</v>
      </c>
      <c r="O272">
        <v>3</v>
      </c>
      <c r="P272">
        <v>41</v>
      </c>
      <c r="Q272">
        <v>1030.7</v>
      </c>
      <c r="R272">
        <v>1</v>
      </c>
      <c r="S272">
        <v>1030.7</v>
      </c>
    </row>
    <row r="273" spans="12:19">
      <c r="L273" t="s">
        <v>113</v>
      </c>
      <c r="M273" t="s">
        <v>534</v>
      </c>
      <c r="N273" t="s">
        <v>1127</v>
      </c>
      <c r="O273">
        <v>2</v>
      </c>
      <c r="P273">
        <v>32</v>
      </c>
      <c r="Q273">
        <v>1006.8</v>
      </c>
      <c r="R273">
        <v>1</v>
      </c>
      <c r="S273">
        <v>1006.8</v>
      </c>
    </row>
    <row r="274" spans="12:19">
      <c r="L274" t="s">
        <v>113</v>
      </c>
      <c r="M274" t="s">
        <v>501</v>
      </c>
      <c r="N274" t="s">
        <v>1117</v>
      </c>
      <c r="O274">
        <v>3</v>
      </c>
      <c r="P274">
        <v>60</v>
      </c>
      <c r="Q274">
        <v>1004.22</v>
      </c>
      <c r="R274">
        <v>1</v>
      </c>
      <c r="S274">
        <v>1004.22</v>
      </c>
    </row>
    <row r="275" spans="12:19">
      <c r="L275" t="s">
        <v>113</v>
      </c>
      <c r="M275" t="s">
        <v>501</v>
      </c>
      <c r="N275" t="s">
        <v>1129</v>
      </c>
      <c r="O275">
        <v>3</v>
      </c>
      <c r="P275">
        <v>53</v>
      </c>
      <c r="Q275">
        <v>818.2</v>
      </c>
      <c r="R275">
        <v>1</v>
      </c>
      <c r="S275">
        <v>818.2</v>
      </c>
    </row>
    <row r="276" spans="12:19">
      <c r="L276" t="s">
        <v>113</v>
      </c>
      <c r="M276" t="s">
        <v>501</v>
      </c>
      <c r="N276" t="s">
        <v>1115</v>
      </c>
      <c r="O276">
        <v>4</v>
      </c>
      <c r="P276">
        <v>92</v>
      </c>
      <c r="Q276">
        <v>809.94</v>
      </c>
      <c r="R276">
        <v>1</v>
      </c>
      <c r="S276">
        <v>809.94</v>
      </c>
    </row>
    <row r="277" spans="12:19">
      <c r="L277" t="s">
        <v>113</v>
      </c>
      <c r="M277" t="s">
        <v>534</v>
      </c>
      <c r="N277" t="s">
        <v>1125</v>
      </c>
      <c r="O277">
        <v>2</v>
      </c>
      <c r="P277">
        <v>30</v>
      </c>
      <c r="Q277">
        <v>794.1</v>
      </c>
      <c r="R277">
        <v>1</v>
      </c>
      <c r="S277">
        <v>794.1</v>
      </c>
    </row>
    <row r="278" spans="12:19">
      <c r="L278" t="s">
        <v>113</v>
      </c>
      <c r="M278" t="s">
        <v>534</v>
      </c>
      <c r="N278" t="s">
        <v>1123</v>
      </c>
      <c r="O278">
        <v>3</v>
      </c>
      <c r="P278">
        <v>28</v>
      </c>
      <c r="Q278">
        <v>477.9</v>
      </c>
      <c r="R278">
        <v>1</v>
      </c>
      <c r="S278">
        <v>477.9</v>
      </c>
    </row>
    <row r="279" spans="12:19">
      <c r="L279" t="s">
        <v>113</v>
      </c>
      <c r="M279" t="s">
        <v>534</v>
      </c>
      <c r="N279" t="s">
        <v>1129</v>
      </c>
      <c r="O279">
        <v>2</v>
      </c>
      <c r="P279">
        <v>40</v>
      </c>
      <c r="Q279">
        <v>346.4</v>
      </c>
      <c r="R279">
        <v>1</v>
      </c>
      <c r="S279">
        <v>346.4</v>
      </c>
    </row>
    <row r="280" spans="12:19">
      <c r="L280" t="s">
        <v>113</v>
      </c>
      <c r="M280" t="s">
        <v>534</v>
      </c>
      <c r="N280" t="s">
        <v>1117</v>
      </c>
      <c r="O280">
        <v>1</v>
      </c>
      <c r="P280">
        <v>20</v>
      </c>
      <c r="Q280">
        <v>260</v>
      </c>
      <c r="R280">
        <v>1</v>
      </c>
      <c r="S280">
        <v>260</v>
      </c>
    </row>
    <row r="281" spans="12:19">
      <c r="L281" t="s">
        <v>113</v>
      </c>
      <c r="M281" t="s">
        <v>702</v>
      </c>
      <c r="N281" t="s">
        <v>1119</v>
      </c>
      <c r="O281">
        <v>2</v>
      </c>
      <c r="P281">
        <v>12</v>
      </c>
      <c r="Q281">
        <v>143.30000000000001</v>
      </c>
      <c r="R281">
        <v>1</v>
      </c>
      <c r="S281">
        <v>143.30000000000001</v>
      </c>
    </row>
    <row r="282" spans="12:19">
      <c r="L282" t="s">
        <v>113</v>
      </c>
      <c r="M282" t="s">
        <v>702</v>
      </c>
      <c r="N282" t="s">
        <v>1129</v>
      </c>
      <c r="O282">
        <v>2</v>
      </c>
      <c r="P282">
        <v>5</v>
      </c>
      <c r="Q282">
        <v>56.4</v>
      </c>
      <c r="R282">
        <v>1</v>
      </c>
      <c r="S282">
        <v>56.4</v>
      </c>
    </row>
    <row r="283" spans="12:19">
      <c r="L283" t="s">
        <v>113</v>
      </c>
      <c r="M283" t="s">
        <v>702</v>
      </c>
      <c r="N283" t="s">
        <v>1127</v>
      </c>
      <c r="O283">
        <v>1</v>
      </c>
      <c r="P283">
        <v>5</v>
      </c>
      <c r="Q283">
        <v>50</v>
      </c>
      <c r="R283">
        <v>1</v>
      </c>
      <c r="S283">
        <v>50</v>
      </c>
    </row>
    <row r="284" spans="12:19">
      <c r="L284" t="s">
        <v>448</v>
      </c>
      <c r="M284" t="s">
        <v>1162</v>
      </c>
      <c r="N284" t="s">
        <v>1115</v>
      </c>
      <c r="O284">
        <v>13</v>
      </c>
      <c r="P284">
        <v>255</v>
      </c>
      <c r="Q284">
        <v>7544</v>
      </c>
      <c r="R284">
        <v>4</v>
      </c>
      <c r="S284">
        <v>1886</v>
      </c>
    </row>
    <row r="285" spans="12:19">
      <c r="L285" t="s">
        <v>448</v>
      </c>
      <c r="M285" t="s">
        <v>1162</v>
      </c>
      <c r="N285" t="s">
        <v>1121</v>
      </c>
      <c r="O285">
        <v>13</v>
      </c>
      <c r="P285">
        <v>241</v>
      </c>
      <c r="Q285">
        <v>4511.8999999999996</v>
      </c>
      <c r="R285">
        <v>4</v>
      </c>
      <c r="S285">
        <v>1127.97</v>
      </c>
    </row>
    <row r="286" spans="12:19">
      <c r="L286" t="s">
        <v>448</v>
      </c>
      <c r="M286" t="s">
        <v>1162</v>
      </c>
      <c r="N286" t="s">
        <v>1125</v>
      </c>
      <c r="O286">
        <v>5</v>
      </c>
      <c r="P286">
        <v>81</v>
      </c>
      <c r="Q286">
        <v>2828.9</v>
      </c>
      <c r="R286">
        <v>3</v>
      </c>
      <c r="S286">
        <v>942.97</v>
      </c>
    </row>
    <row r="287" spans="12:19">
      <c r="L287" t="s">
        <v>448</v>
      </c>
      <c r="M287" t="s">
        <v>1162</v>
      </c>
      <c r="N287" t="s">
        <v>1127</v>
      </c>
      <c r="O287">
        <v>4</v>
      </c>
      <c r="P287">
        <v>67</v>
      </c>
      <c r="Q287">
        <v>2517.75</v>
      </c>
      <c r="R287">
        <v>3</v>
      </c>
      <c r="S287">
        <v>839.25</v>
      </c>
    </row>
    <row r="288" spans="12:19">
      <c r="L288" t="s">
        <v>448</v>
      </c>
      <c r="M288" t="s">
        <v>1162</v>
      </c>
      <c r="N288" t="s">
        <v>1119</v>
      </c>
      <c r="O288">
        <v>7</v>
      </c>
      <c r="P288">
        <v>119</v>
      </c>
      <c r="Q288">
        <v>1897.73</v>
      </c>
      <c r="R288">
        <v>4</v>
      </c>
      <c r="S288">
        <v>474.43</v>
      </c>
    </row>
    <row r="289" spans="12:19">
      <c r="L289" t="s">
        <v>448</v>
      </c>
      <c r="M289" t="s">
        <v>1162</v>
      </c>
      <c r="N289" t="s">
        <v>1129</v>
      </c>
      <c r="O289">
        <v>8</v>
      </c>
      <c r="P289">
        <v>102</v>
      </c>
      <c r="Q289">
        <v>1836.6</v>
      </c>
      <c r="R289">
        <v>5</v>
      </c>
      <c r="S289">
        <v>367.32</v>
      </c>
    </row>
    <row r="290" spans="12:19">
      <c r="L290" t="s">
        <v>448</v>
      </c>
      <c r="M290" t="s">
        <v>1162</v>
      </c>
      <c r="N290" t="s">
        <v>1117</v>
      </c>
      <c r="O290">
        <v>5</v>
      </c>
      <c r="P290">
        <v>60</v>
      </c>
      <c r="Q290">
        <v>1235.45</v>
      </c>
      <c r="R290">
        <v>2</v>
      </c>
      <c r="S290">
        <v>617.72</v>
      </c>
    </row>
    <row r="291" spans="12:19">
      <c r="L291" t="s">
        <v>448</v>
      </c>
      <c r="M291" t="s">
        <v>1162</v>
      </c>
      <c r="N291" t="s">
        <v>1123</v>
      </c>
      <c r="O291">
        <v>4</v>
      </c>
      <c r="P291">
        <v>50</v>
      </c>
      <c r="Q291">
        <v>549.75</v>
      </c>
      <c r="R291">
        <v>3</v>
      </c>
      <c r="S291">
        <v>183.25</v>
      </c>
    </row>
    <row r="292" spans="12:19">
      <c r="L292" t="s">
        <v>121</v>
      </c>
      <c r="M292" t="s">
        <v>678</v>
      </c>
      <c r="N292" t="s">
        <v>1115</v>
      </c>
      <c r="O292">
        <v>3</v>
      </c>
      <c r="P292">
        <v>48</v>
      </c>
      <c r="Q292">
        <v>2756</v>
      </c>
      <c r="R292">
        <v>1</v>
      </c>
      <c r="S292">
        <v>2756</v>
      </c>
    </row>
    <row r="293" spans="12:19">
      <c r="L293" t="s">
        <v>121</v>
      </c>
      <c r="M293" t="s">
        <v>678</v>
      </c>
      <c r="N293" t="s">
        <v>1121</v>
      </c>
      <c r="O293">
        <v>1</v>
      </c>
      <c r="P293">
        <v>27</v>
      </c>
      <c r="Q293">
        <v>786</v>
      </c>
      <c r="R293">
        <v>1</v>
      </c>
      <c r="S293">
        <v>786</v>
      </c>
    </row>
    <row r="294" spans="12:19">
      <c r="L294" t="s">
        <v>121</v>
      </c>
      <c r="M294" t="s">
        <v>678</v>
      </c>
      <c r="N294" t="s">
        <v>1127</v>
      </c>
      <c r="O294">
        <v>2</v>
      </c>
      <c r="P294">
        <v>18</v>
      </c>
      <c r="Q294">
        <v>578.4</v>
      </c>
      <c r="R294">
        <v>1</v>
      </c>
      <c r="S294">
        <v>578.4</v>
      </c>
    </row>
    <row r="295" spans="12:19">
      <c r="L295" t="s">
        <v>121</v>
      </c>
      <c r="M295" t="s">
        <v>678</v>
      </c>
      <c r="N295" t="s">
        <v>1129</v>
      </c>
      <c r="O295">
        <v>2</v>
      </c>
      <c r="P295">
        <v>13</v>
      </c>
      <c r="Q295">
        <v>548.25</v>
      </c>
      <c r="R295">
        <v>1</v>
      </c>
      <c r="S295">
        <v>548.25</v>
      </c>
    </row>
    <row r="296" spans="12:19">
      <c r="L296" t="s">
        <v>121</v>
      </c>
      <c r="M296" t="s">
        <v>678</v>
      </c>
      <c r="N296" t="s">
        <v>1119</v>
      </c>
      <c r="O296">
        <v>2</v>
      </c>
      <c r="P296">
        <v>17</v>
      </c>
      <c r="Q296">
        <v>280.14999999999998</v>
      </c>
      <c r="R296">
        <v>1</v>
      </c>
      <c r="S296">
        <v>280.14999999999998</v>
      </c>
    </row>
    <row r="297" spans="12:19">
      <c r="L297" t="s">
        <v>121</v>
      </c>
      <c r="M297" t="s">
        <v>678</v>
      </c>
      <c r="N297" t="s">
        <v>1125</v>
      </c>
      <c r="O297">
        <v>1</v>
      </c>
      <c r="P297">
        <v>5</v>
      </c>
      <c r="Q297">
        <v>164</v>
      </c>
      <c r="R297">
        <v>1</v>
      </c>
      <c r="S297">
        <v>164</v>
      </c>
    </row>
    <row r="298" spans="12:19">
      <c r="L298" t="s">
        <v>670</v>
      </c>
      <c r="M298" t="s">
        <v>668</v>
      </c>
      <c r="N298" t="s">
        <v>1115</v>
      </c>
      <c r="O298">
        <v>4</v>
      </c>
      <c r="P298">
        <v>71</v>
      </c>
      <c r="Q298">
        <v>828.5</v>
      </c>
      <c r="R298">
        <v>1</v>
      </c>
      <c r="S298">
        <v>828.5</v>
      </c>
    </row>
    <row r="299" spans="12:19">
      <c r="L299" t="s">
        <v>670</v>
      </c>
      <c r="M299" t="s">
        <v>668</v>
      </c>
      <c r="N299" t="s">
        <v>1121</v>
      </c>
      <c r="O299">
        <v>2</v>
      </c>
      <c r="P299">
        <v>45</v>
      </c>
      <c r="Q299">
        <v>810</v>
      </c>
      <c r="R299">
        <v>1</v>
      </c>
      <c r="S299">
        <v>810</v>
      </c>
    </row>
    <row r="300" spans="12:19">
      <c r="L300" t="s">
        <v>670</v>
      </c>
      <c r="M300" t="s">
        <v>668</v>
      </c>
      <c r="N300" t="s">
        <v>1117</v>
      </c>
      <c r="O300">
        <v>2</v>
      </c>
      <c r="P300">
        <v>22</v>
      </c>
      <c r="Q300">
        <v>627</v>
      </c>
      <c r="R300">
        <v>1</v>
      </c>
      <c r="S300">
        <v>627</v>
      </c>
    </row>
    <row r="301" spans="12:19">
      <c r="L301" t="s">
        <v>670</v>
      </c>
      <c r="M301" t="s">
        <v>668</v>
      </c>
      <c r="N301" t="s">
        <v>1127</v>
      </c>
      <c r="O301">
        <v>2</v>
      </c>
      <c r="P301">
        <v>22</v>
      </c>
      <c r="Q301">
        <v>306</v>
      </c>
      <c r="R301">
        <v>1</v>
      </c>
      <c r="S301">
        <v>306</v>
      </c>
    </row>
    <row r="302" spans="12:19">
      <c r="L302" t="s">
        <v>670</v>
      </c>
      <c r="M302" t="s">
        <v>668</v>
      </c>
      <c r="N302" t="s">
        <v>1119</v>
      </c>
      <c r="O302">
        <v>1</v>
      </c>
      <c r="P302">
        <v>15</v>
      </c>
      <c r="Q302">
        <v>187.5</v>
      </c>
      <c r="R302">
        <v>1</v>
      </c>
      <c r="S302">
        <v>187.5</v>
      </c>
    </row>
    <row r="303" spans="12:19">
      <c r="L303" t="s">
        <v>670</v>
      </c>
      <c r="M303" t="s">
        <v>668</v>
      </c>
      <c r="N303" t="s">
        <v>1129</v>
      </c>
      <c r="O303">
        <v>1</v>
      </c>
      <c r="P303">
        <v>15</v>
      </c>
      <c r="Q303">
        <v>159</v>
      </c>
      <c r="R303">
        <v>1</v>
      </c>
      <c r="S303">
        <v>159</v>
      </c>
    </row>
    <row r="304" spans="12:19">
      <c r="L304" t="s">
        <v>670</v>
      </c>
      <c r="M304" t="s">
        <v>668</v>
      </c>
      <c r="N304" t="s">
        <v>1125</v>
      </c>
      <c r="O304">
        <v>1</v>
      </c>
      <c r="P304">
        <v>3</v>
      </c>
      <c r="Q304">
        <v>22.35</v>
      </c>
      <c r="R304">
        <v>1</v>
      </c>
      <c r="S304">
        <v>22.35</v>
      </c>
    </row>
    <row r="305" spans="12:19">
      <c r="L305" t="s">
        <v>605</v>
      </c>
      <c r="M305" t="s">
        <v>604</v>
      </c>
      <c r="N305" t="s">
        <v>1117</v>
      </c>
      <c r="O305">
        <v>7</v>
      </c>
      <c r="P305">
        <v>181</v>
      </c>
      <c r="Q305">
        <v>3688.29</v>
      </c>
      <c r="R305">
        <v>2</v>
      </c>
      <c r="S305">
        <v>1844.15</v>
      </c>
    </row>
    <row r="306" spans="12:19">
      <c r="L306" t="s">
        <v>605</v>
      </c>
      <c r="M306" t="s">
        <v>604</v>
      </c>
      <c r="N306" t="s">
        <v>1123</v>
      </c>
      <c r="O306">
        <v>4</v>
      </c>
      <c r="P306">
        <v>84</v>
      </c>
      <c r="Q306">
        <v>2164.4</v>
      </c>
      <c r="R306">
        <v>2</v>
      </c>
      <c r="S306">
        <v>1082.2</v>
      </c>
    </row>
    <row r="307" spans="12:19">
      <c r="L307" t="s">
        <v>605</v>
      </c>
      <c r="M307" t="s">
        <v>604</v>
      </c>
      <c r="N307" t="s">
        <v>1125</v>
      </c>
      <c r="O307">
        <v>2</v>
      </c>
      <c r="P307">
        <v>30</v>
      </c>
      <c r="Q307">
        <v>1338.2</v>
      </c>
      <c r="R307">
        <v>2</v>
      </c>
      <c r="S307">
        <v>669.1</v>
      </c>
    </row>
    <row r="308" spans="12:19">
      <c r="L308" t="s">
        <v>605</v>
      </c>
      <c r="M308" t="s">
        <v>604</v>
      </c>
      <c r="N308" t="s">
        <v>1115</v>
      </c>
      <c r="O308">
        <v>5</v>
      </c>
      <c r="P308">
        <v>78</v>
      </c>
      <c r="Q308">
        <v>1046.4000000000001</v>
      </c>
      <c r="R308">
        <v>2</v>
      </c>
      <c r="S308">
        <v>523.20000000000005</v>
      </c>
    </row>
    <row r="309" spans="12:19">
      <c r="L309" t="s">
        <v>605</v>
      </c>
      <c r="M309" t="s">
        <v>604</v>
      </c>
      <c r="N309" t="s">
        <v>1121</v>
      </c>
      <c r="O309">
        <v>3</v>
      </c>
      <c r="P309">
        <v>31</v>
      </c>
      <c r="Q309">
        <v>997.8</v>
      </c>
      <c r="R309">
        <v>1</v>
      </c>
      <c r="S309">
        <v>997.8</v>
      </c>
    </row>
    <row r="310" spans="12:19">
      <c r="L310" t="s">
        <v>605</v>
      </c>
      <c r="M310" t="s">
        <v>604</v>
      </c>
      <c r="N310" t="s">
        <v>1119</v>
      </c>
      <c r="O310">
        <v>5</v>
      </c>
      <c r="P310">
        <v>87</v>
      </c>
      <c r="Q310">
        <v>956.15</v>
      </c>
      <c r="R310">
        <v>2</v>
      </c>
      <c r="S310">
        <v>478.08</v>
      </c>
    </row>
    <row r="311" spans="12:19">
      <c r="L311" t="s">
        <v>605</v>
      </c>
      <c r="M311" t="s">
        <v>604</v>
      </c>
      <c r="N311" t="s">
        <v>1127</v>
      </c>
      <c r="O311">
        <v>1</v>
      </c>
      <c r="P311">
        <v>18</v>
      </c>
      <c r="Q311">
        <v>648.72</v>
      </c>
      <c r="R311">
        <v>1</v>
      </c>
      <c r="S311">
        <v>648.72</v>
      </c>
    </row>
    <row r="312" spans="12:19">
      <c r="L312" t="s">
        <v>605</v>
      </c>
      <c r="M312" t="s">
        <v>604</v>
      </c>
      <c r="N312" t="s">
        <v>1129</v>
      </c>
      <c r="O312">
        <v>1</v>
      </c>
      <c r="P312">
        <v>24</v>
      </c>
      <c r="Q312">
        <v>632.4</v>
      </c>
      <c r="R312">
        <v>1</v>
      </c>
      <c r="S312">
        <v>632.4</v>
      </c>
    </row>
    <row r="313" spans="12:19">
      <c r="L313" t="s">
        <v>50</v>
      </c>
      <c r="M313" t="s">
        <v>560</v>
      </c>
      <c r="N313" t="s">
        <v>1125</v>
      </c>
      <c r="O313">
        <v>5</v>
      </c>
      <c r="P313">
        <v>54</v>
      </c>
      <c r="Q313">
        <v>3548.6</v>
      </c>
      <c r="R313">
        <v>1</v>
      </c>
      <c r="S313">
        <v>3548.6</v>
      </c>
    </row>
    <row r="314" spans="12:19">
      <c r="L314" t="s">
        <v>50</v>
      </c>
      <c r="M314" t="s">
        <v>521</v>
      </c>
      <c r="N314" t="s">
        <v>1125</v>
      </c>
      <c r="O314">
        <v>2</v>
      </c>
      <c r="P314">
        <v>75</v>
      </c>
      <c r="Q314">
        <v>3318.35</v>
      </c>
      <c r="R314">
        <v>2</v>
      </c>
      <c r="S314">
        <v>1659.18</v>
      </c>
    </row>
    <row r="315" spans="12:19">
      <c r="L315" t="s">
        <v>50</v>
      </c>
      <c r="M315" t="s">
        <v>560</v>
      </c>
      <c r="N315" t="s">
        <v>1127</v>
      </c>
      <c r="O315">
        <v>1</v>
      </c>
      <c r="P315">
        <v>40</v>
      </c>
      <c r="Q315">
        <v>2120</v>
      </c>
      <c r="R315">
        <v>1</v>
      </c>
      <c r="S315">
        <v>2120</v>
      </c>
    </row>
    <row r="316" spans="12:19">
      <c r="L316" t="s">
        <v>50</v>
      </c>
      <c r="M316" t="s">
        <v>560</v>
      </c>
      <c r="N316" t="s">
        <v>1119</v>
      </c>
      <c r="O316">
        <v>5</v>
      </c>
      <c r="P316">
        <v>78</v>
      </c>
      <c r="Q316">
        <v>1588.95</v>
      </c>
      <c r="R316">
        <v>1</v>
      </c>
      <c r="S316">
        <v>1588.95</v>
      </c>
    </row>
    <row r="317" spans="12:19">
      <c r="L317" t="s">
        <v>50</v>
      </c>
      <c r="M317" t="s">
        <v>560</v>
      </c>
      <c r="N317" t="s">
        <v>1117</v>
      </c>
      <c r="O317">
        <v>3</v>
      </c>
      <c r="P317">
        <v>61</v>
      </c>
      <c r="Q317">
        <v>1130.05</v>
      </c>
      <c r="R317">
        <v>1</v>
      </c>
      <c r="S317">
        <v>1130.05</v>
      </c>
    </row>
    <row r="318" spans="12:19">
      <c r="L318" t="s">
        <v>50</v>
      </c>
      <c r="M318" t="s">
        <v>560</v>
      </c>
      <c r="N318" t="s">
        <v>1129</v>
      </c>
      <c r="O318">
        <v>2</v>
      </c>
      <c r="P318">
        <v>50</v>
      </c>
      <c r="Q318">
        <v>839.2</v>
      </c>
      <c r="R318">
        <v>1</v>
      </c>
      <c r="S318">
        <v>839.2</v>
      </c>
    </row>
    <row r="319" spans="12:19">
      <c r="L319" t="s">
        <v>50</v>
      </c>
      <c r="M319" t="s">
        <v>560</v>
      </c>
      <c r="N319" t="s">
        <v>1123</v>
      </c>
      <c r="O319">
        <v>2</v>
      </c>
      <c r="P319">
        <v>24</v>
      </c>
      <c r="Q319">
        <v>773.06</v>
      </c>
      <c r="R319">
        <v>1</v>
      </c>
      <c r="S319">
        <v>773.06</v>
      </c>
    </row>
    <row r="320" spans="12:19">
      <c r="L320" t="s">
        <v>50</v>
      </c>
      <c r="M320" t="s">
        <v>560</v>
      </c>
      <c r="N320" t="s">
        <v>1115</v>
      </c>
      <c r="O320">
        <v>2</v>
      </c>
      <c r="P320">
        <v>45</v>
      </c>
      <c r="Q320">
        <v>770</v>
      </c>
      <c r="R320">
        <v>1</v>
      </c>
      <c r="S320">
        <v>770</v>
      </c>
    </row>
    <row r="321" spans="12:19">
      <c r="L321" t="s">
        <v>50</v>
      </c>
      <c r="M321" t="s">
        <v>521</v>
      </c>
      <c r="N321" t="s">
        <v>1123</v>
      </c>
      <c r="O321">
        <v>3</v>
      </c>
      <c r="P321">
        <v>58</v>
      </c>
      <c r="Q321">
        <v>504.8</v>
      </c>
      <c r="R321">
        <v>2</v>
      </c>
      <c r="S321">
        <v>252.4</v>
      </c>
    </row>
    <row r="322" spans="12:19">
      <c r="L322" t="s">
        <v>50</v>
      </c>
      <c r="M322" t="s">
        <v>521</v>
      </c>
      <c r="N322" t="s">
        <v>1117</v>
      </c>
      <c r="O322">
        <v>1</v>
      </c>
      <c r="P322">
        <v>24</v>
      </c>
      <c r="Q322">
        <v>422.4</v>
      </c>
      <c r="R322">
        <v>1</v>
      </c>
      <c r="S322">
        <v>422.4</v>
      </c>
    </row>
    <row r="323" spans="12:19">
      <c r="L323" t="s">
        <v>50</v>
      </c>
      <c r="M323" t="s">
        <v>521</v>
      </c>
      <c r="N323" t="s">
        <v>1115</v>
      </c>
      <c r="O323">
        <v>2</v>
      </c>
      <c r="P323">
        <v>60</v>
      </c>
      <c r="Q323">
        <v>389.2</v>
      </c>
      <c r="R323">
        <v>2</v>
      </c>
      <c r="S323">
        <v>194.6</v>
      </c>
    </row>
    <row r="324" spans="12:19">
      <c r="L324" t="s">
        <v>50</v>
      </c>
      <c r="M324" t="s">
        <v>521</v>
      </c>
      <c r="N324" t="s">
        <v>1129</v>
      </c>
      <c r="O324">
        <v>3</v>
      </c>
      <c r="P324">
        <v>17</v>
      </c>
      <c r="Q324">
        <v>357.09</v>
      </c>
      <c r="R324">
        <v>1</v>
      </c>
      <c r="S324">
        <v>357.09</v>
      </c>
    </row>
    <row r="325" spans="12:19">
      <c r="L325" t="s">
        <v>50</v>
      </c>
      <c r="M325" t="s">
        <v>521</v>
      </c>
      <c r="N325" t="s">
        <v>1121</v>
      </c>
      <c r="O325">
        <v>1</v>
      </c>
      <c r="P325">
        <v>10</v>
      </c>
      <c r="Q325">
        <v>340</v>
      </c>
      <c r="R325">
        <v>1</v>
      </c>
      <c r="S325">
        <v>340</v>
      </c>
    </row>
    <row r="326" spans="12:19">
      <c r="L326" t="s">
        <v>50</v>
      </c>
      <c r="M326" t="s">
        <v>656</v>
      </c>
      <c r="N326" t="s">
        <v>1123</v>
      </c>
      <c r="O326">
        <v>1</v>
      </c>
      <c r="P326">
        <v>12</v>
      </c>
      <c r="Q326">
        <v>338.2</v>
      </c>
      <c r="R326">
        <v>1</v>
      </c>
      <c r="S326">
        <v>338.2</v>
      </c>
    </row>
    <row r="327" spans="12:19">
      <c r="L327" t="s">
        <v>50</v>
      </c>
      <c r="M327" t="s">
        <v>656</v>
      </c>
      <c r="N327" t="s">
        <v>1129</v>
      </c>
      <c r="O327">
        <v>1</v>
      </c>
      <c r="P327">
        <v>5</v>
      </c>
      <c r="Q327">
        <v>155</v>
      </c>
      <c r="R327">
        <v>1</v>
      </c>
      <c r="S327">
        <v>155</v>
      </c>
    </row>
    <row r="328" spans="12:19">
      <c r="L328" t="s">
        <v>50</v>
      </c>
      <c r="M328" t="s">
        <v>656</v>
      </c>
      <c r="N328" t="s">
        <v>1117</v>
      </c>
      <c r="O328">
        <v>1</v>
      </c>
      <c r="P328">
        <v>10</v>
      </c>
      <c r="Q328">
        <v>136</v>
      </c>
      <c r="R328">
        <v>1</v>
      </c>
      <c r="S328">
        <v>136</v>
      </c>
    </row>
    <row r="329" spans="12:19">
      <c r="L329" t="s">
        <v>50</v>
      </c>
      <c r="M329" t="s">
        <v>656</v>
      </c>
      <c r="N329" t="s">
        <v>1119</v>
      </c>
      <c r="O329">
        <v>2</v>
      </c>
      <c r="P329">
        <v>10</v>
      </c>
      <c r="Q329">
        <v>117.5</v>
      </c>
      <c r="R329">
        <v>1</v>
      </c>
      <c r="S329">
        <v>117.5</v>
      </c>
    </row>
    <row r="330" spans="12:19">
      <c r="L330" t="s">
        <v>50</v>
      </c>
      <c r="M330" t="s">
        <v>656</v>
      </c>
      <c r="N330" t="s">
        <v>1115</v>
      </c>
      <c r="O330">
        <v>1</v>
      </c>
      <c r="P330">
        <v>5</v>
      </c>
      <c r="Q330">
        <v>90</v>
      </c>
      <c r="R330">
        <v>1</v>
      </c>
      <c r="S330">
        <v>90</v>
      </c>
    </row>
    <row r="331" spans="12:19">
      <c r="L331" t="s">
        <v>50</v>
      </c>
      <c r="M331" t="s">
        <v>521</v>
      </c>
      <c r="N331" t="s">
        <v>1119</v>
      </c>
      <c r="O331">
        <v>1</v>
      </c>
      <c r="P331">
        <v>1</v>
      </c>
      <c r="Q331">
        <v>7.3</v>
      </c>
      <c r="R331">
        <v>1</v>
      </c>
      <c r="S331">
        <v>7.3</v>
      </c>
    </row>
    <row r="332" spans="12:19">
      <c r="L332" t="s">
        <v>79</v>
      </c>
      <c r="M332" t="s">
        <v>1148</v>
      </c>
      <c r="N332" t="s">
        <v>1115</v>
      </c>
      <c r="O332">
        <v>11</v>
      </c>
      <c r="P332">
        <v>255</v>
      </c>
      <c r="Q332">
        <v>8298.67</v>
      </c>
      <c r="R332">
        <v>1</v>
      </c>
      <c r="S332">
        <v>8298.67</v>
      </c>
    </row>
    <row r="333" spans="12:19">
      <c r="L333" t="s">
        <v>79</v>
      </c>
      <c r="M333" t="s">
        <v>1145</v>
      </c>
      <c r="N333" t="s">
        <v>1127</v>
      </c>
      <c r="O333">
        <v>4</v>
      </c>
      <c r="P333">
        <v>148</v>
      </c>
      <c r="Q333">
        <v>6464</v>
      </c>
      <c r="R333">
        <v>1</v>
      </c>
      <c r="S333">
        <v>6464</v>
      </c>
    </row>
    <row r="334" spans="12:19">
      <c r="L334" t="s">
        <v>79</v>
      </c>
      <c r="M334" t="s">
        <v>1145</v>
      </c>
      <c r="N334" t="s">
        <v>1125</v>
      </c>
      <c r="O334">
        <v>3</v>
      </c>
      <c r="P334">
        <v>86</v>
      </c>
      <c r="Q334">
        <v>5398.12</v>
      </c>
      <c r="R334">
        <v>1</v>
      </c>
      <c r="S334">
        <v>5398.12</v>
      </c>
    </row>
    <row r="335" spans="12:19">
      <c r="L335" t="s">
        <v>79</v>
      </c>
      <c r="M335" t="s">
        <v>1148</v>
      </c>
      <c r="N335" t="s">
        <v>1119</v>
      </c>
      <c r="O335">
        <v>6</v>
      </c>
      <c r="P335">
        <v>191</v>
      </c>
      <c r="Q335">
        <v>4190.7</v>
      </c>
      <c r="R335">
        <v>1</v>
      </c>
      <c r="S335">
        <v>4190.7</v>
      </c>
    </row>
    <row r="336" spans="12:19">
      <c r="L336" t="s">
        <v>79</v>
      </c>
      <c r="M336" t="s">
        <v>1148</v>
      </c>
      <c r="N336" t="s">
        <v>1129</v>
      </c>
      <c r="O336">
        <v>8</v>
      </c>
      <c r="P336">
        <v>218</v>
      </c>
      <c r="Q336">
        <v>3699.1</v>
      </c>
      <c r="R336">
        <v>1</v>
      </c>
      <c r="S336">
        <v>3699.1</v>
      </c>
    </row>
    <row r="337" spans="12:19">
      <c r="L337" t="s">
        <v>79</v>
      </c>
      <c r="M337" t="s">
        <v>1145</v>
      </c>
      <c r="N337" t="s">
        <v>1121</v>
      </c>
      <c r="O337">
        <v>6</v>
      </c>
      <c r="P337">
        <v>123</v>
      </c>
      <c r="Q337">
        <v>3654.95</v>
      </c>
      <c r="R337">
        <v>1</v>
      </c>
      <c r="S337">
        <v>3654.95</v>
      </c>
    </row>
    <row r="338" spans="12:19">
      <c r="L338" t="s">
        <v>79</v>
      </c>
      <c r="M338" t="s">
        <v>1145</v>
      </c>
      <c r="N338" t="s">
        <v>1117</v>
      </c>
      <c r="O338">
        <v>5</v>
      </c>
      <c r="P338">
        <v>160</v>
      </c>
      <c r="Q338">
        <v>3651.5</v>
      </c>
      <c r="R338">
        <v>1</v>
      </c>
      <c r="S338">
        <v>3651.5</v>
      </c>
    </row>
    <row r="339" spans="12:19">
      <c r="L339" t="s">
        <v>79</v>
      </c>
      <c r="M339" t="s">
        <v>1145</v>
      </c>
      <c r="N339" t="s">
        <v>1115</v>
      </c>
      <c r="O339">
        <v>11</v>
      </c>
      <c r="P339">
        <v>244</v>
      </c>
      <c r="Q339">
        <v>3055.32</v>
      </c>
      <c r="R339">
        <v>1</v>
      </c>
      <c r="S339">
        <v>3055.32</v>
      </c>
    </row>
    <row r="340" spans="12:19">
      <c r="L340" t="s">
        <v>79</v>
      </c>
      <c r="M340" t="s">
        <v>1145</v>
      </c>
      <c r="N340" t="s">
        <v>1123</v>
      </c>
      <c r="O340">
        <v>3</v>
      </c>
      <c r="P340">
        <v>115</v>
      </c>
      <c r="Q340">
        <v>3021</v>
      </c>
      <c r="R340">
        <v>1</v>
      </c>
      <c r="S340">
        <v>3021</v>
      </c>
    </row>
    <row r="341" spans="12:19">
      <c r="L341" t="s">
        <v>79</v>
      </c>
      <c r="M341" t="s">
        <v>1148</v>
      </c>
      <c r="N341" t="s">
        <v>1121</v>
      </c>
      <c r="O341">
        <v>5</v>
      </c>
      <c r="P341">
        <v>92</v>
      </c>
      <c r="Q341">
        <v>2724</v>
      </c>
      <c r="R341">
        <v>1</v>
      </c>
      <c r="S341">
        <v>2724</v>
      </c>
    </row>
    <row r="342" spans="12:19">
      <c r="L342" t="s">
        <v>79</v>
      </c>
      <c r="M342" t="s">
        <v>1145</v>
      </c>
      <c r="N342" t="s">
        <v>1129</v>
      </c>
      <c r="O342">
        <v>7</v>
      </c>
      <c r="P342">
        <v>221</v>
      </c>
      <c r="Q342">
        <v>2533.7399999999998</v>
      </c>
      <c r="R342">
        <v>1</v>
      </c>
      <c r="S342">
        <v>2533.7399999999998</v>
      </c>
    </row>
    <row r="343" spans="12:19">
      <c r="L343" t="s">
        <v>79</v>
      </c>
      <c r="M343" t="s">
        <v>1148</v>
      </c>
      <c r="N343" t="s">
        <v>1127</v>
      </c>
      <c r="O343">
        <v>2</v>
      </c>
      <c r="P343">
        <v>66</v>
      </c>
      <c r="Q343">
        <v>2515.1999999999998</v>
      </c>
      <c r="R343">
        <v>1</v>
      </c>
      <c r="S343">
        <v>2515.1999999999998</v>
      </c>
    </row>
    <row r="344" spans="12:19">
      <c r="L344" t="s">
        <v>79</v>
      </c>
      <c r="M344" t="s">
        <v>1148</v>
      </c>
      <c r="N344" t="s">
        <v>1125</v>
      </c>
      <c r="O344">
        <v>7</v>
      </c>
      <c r="P344">
        <v>88</v>
      </c>
      <c r="Q344">
        <v>2258.5</v>
      </c>
      <c r="R344">
        <v>1</v>
      </c>
      <c r="S344">
        <v>2258.5</v>
      </c>
    </row>
    <row r="345" spans="12:19">
      <c r="L345" t="s">
        <v>79</v>
      </c>
      <c r="M345" t="s">
        <v>1148</v>
      </c>
      <c r="N345" t="s">
        <v>1117</v>
      </c>
      <c r="O345">
        <v>3</v>
      </c>
      <c r="P345">
        <v>66</v>
      </c>
      <c r="Q345">
        <v>1066.4000000000001</v>
      </c>
      <c r="R345">
        <v>1</v>
      </c>
      <c r="S345">
        <v>1066.4000000000001</v>
      </c>
    </row>
    <row r="346" spans="12:19">
      <c r="L346" t="s">
        <v>79</v>
      </c>
      <c r="M346" t="s">
        <v>1145</v>
      </c>
      <c r="N346" t="s">
        <v>1119</v>
      </c>
      <c r="O346">
        <v>4</v>
      </c>
      <c r="P346">
        <v>87</v>
      </c>
      <c r="Q346">
        <v>978.93</v>
      </c>
      <c r="R346">
        <v>1</v>
      </c>
      <c r="S346">
        <v>978.93</v>
      </c>
    </row>
    <row r="347" spans="12:19">
      <c r="L347" t="s">
        <v>79</v>
      </c>
      <c r="M347" t="s">
        <v>1148</v>
      </c>
      <c r="N347" t="s">
        <v>1123</v>
      </c>
      <c r="O347">
        <v>1</v>
      </c>
      <c r="P347">
        <v>25</v>
      </c>
      <c r="Q347">
        <v>175</v>
      </c>
      <c r="R347">
        <v>1</v>
      </c>
      <c r="S347">
        <v>175</v>
      </c>
    </row>
    <row r="348" spans="12:19">
      <c r="L348" t="s">
        <v>422</v>
      </c>
      <c r="M348" t="s">
        <v>1158</v>
      </c>
      <c r="N348" t="s">
        <v>1121</v>
      </c>
      <c r="O348">
        <v>4</v>
      </c>
      <c r="P348">
        <v>176</v>
      </c>
      <c r="Q348">
        <v>4559.0200000000004</v>
      </c>
      <c r="R348">
        <v>1</v>
      </c>
      <c r="S348">
        <v>4559.0200000000004</v>
      </c>
    </row>
    <row r="349" spans="12:19">
      <c r="L349" t="s">
        <v>422</v>
      </c>
      <c r="M349" t="s">
        <v>1158</v>
      </c>
      <c r="N349" t="s">
        <v>1125</v>
      </c>
      <c r="O349">
        <v>1</v>
      </c>
      <c r="P349">
        <v>36</v>
      </c>
      <c r="Q349">
        <v>4456.4399999999996</v>
      </c>
      <c r="R349">
        <v>1</v>
      </c>
      <c r="S349">
        <v>4456.4399999999996</v>
      </c>
    </row>
    <row r="350" spans="12:19">
      <c r="L350" t="s">
        <v>422</v>
      </c>
      <c r="M350" t="s">
        <v>421</v>
      </c>
      <c r="N350" t="s">
        <v>1123</v>
      </c>
      <c r="O350">
        <v>4</v>
      </c>
      <c r="P350">
        <v>110</v>
      </c>
      <c r="Q350">
        <v>3097.6</v>
      </c>
      <c r="R350">
        <v>1</v>
      </c>
      <c r="S350">
        <v>3097.6</v>
      </c>
    </row>
    <row r="351" spans="12:19">
      <c r="L351" t="s">
        <v>422</v>
      </c>
      <c r="M351" t="s">
        <v>1158</v>
      </c>
      <c r="N351" t="s">
        <v>1129</v>
      </c>
      <c r="O351">
        <v>5</v>
      </c>
      <c r="P351">
        <v>147</v>
      </c>
      <c r="Q351">
        <v>2050.9</v>
      </c>
      <c r="R351">
        <v>1</v>
      </c>
      <c r="S351">
        <v>2050.9</v>
      </c>
    </row>
    <row r="352" spans="12:19">
      <c r="L352" t="s">
        <v>422</v>
      </c>
      <c r="M352" t="s">
        <v>421</v>
      </c>
      <c r="N352" t="s">
        <v>1127</v>
      </c>
      <c r="O352">
        <v>3</v>
      </c>
      <c r="P352">
        <v>71</v>
      </c>
      <c r="Q352">
        <v>1814.5</v>
      </c>
      <c r="R352">
        <v>1</v>
      </c>
      <c r="S352">
        <v>1814.5</v>
      </c>
    </row>
    <row r="353" spans="12:19">
      <c r="L353" t="s">
        <v>422</v>
      </c>
      <c r="M353" t="s">
        <v>421</v>
      </c>
      <c r="N353" t="s">
        <v>1121</v>
      </c>
      <c r="O353">
        <v>2</v>
      </c>
      <c r="P353">
        <v>50</v>
      </c>
      <c r="Q353">
        <v>1763</v>
      </c>
      <c r="R353">
        <v>1</v>
      </c>
      <c r="S353">
        <v>1763</v>
      </c>
    </row>
    <row r="354" spans="12:19">
      <c r="L354" t="s">
        <v>422</v>
      </c>
      <c r="M354" t="s">
        <v>1158</v>
      </c>
      <c r="N354" t="s">
        <v>1119</v>
      </c>
      <c r="O354">
        <v>3</v>
      </c>
      <c r="P354">
        <v>87</v>
      </c>
      <c r="Q354">
        <v>1740.88</v>
      </c>
      <c r="R354">
        <v>1</v>
      </c>
      <c r="S354">
        <v>1740.88</v>
      </c>
    </row>
    <row r="355" spans="12:19">
      <c r="L355" t="s">
        <v>422</v>
      </c>
      <c r="M355" t="s">
        <v>421</v>
      </c>
      <c r="N355" t="s">
        <v>1119</v>
      </c>
      <c r="O355">
        <v>3</v>
      </c>
      <c r="P355">
        <v>61</v>
      </c>
      <c r="Q355">
        <v>1326.56</v>
      </c>
      <c r="R355">
        <v>1</v>
      </c>
      <c r="S355">
        <v>1326.56</v>
      </c>
    </row>
    <row r="356" spans="12:19">
      <c r="L356" t="s">
        <v>422</v>
      </c>
      <c r="M356" t="s">
        <v>1158</v>
      </c>
      <c r="N356" t="s">
        <v>1115</v>
      </c>
      <c r="O356">
        <v>3</v>
      </c>
      <c r="P356">
        <v>110</v>
      </c>
      <c r="Q356">
        <v>1272.1199999999999</v>
      </c>
      <c r="R356">
        <v>1</v>
      </c>
      <c r="S356">
        <v>1272.1199999999999</v>
      </c>
    </row>
    <row r="357" spans="12:19">
      <c r="L357" t="s">
        <v>422</v>
      </c>
      <c r="M357" t="s">
        <v>1158</v>
      </c>
      <c r="N357" t="s">
        <v>1123</v>
      </c>
      <c r="O357">
        <v>2</v>
      </c>
      <c r="P357">
        <v>90</v>
      </c>
      <c r="Q357">
        <v>1005</v>
      </c>
      <c r="R357">
        <v>1</v>
      </c>
      <c r="S357">
        <v>1005</v>
      </c>
    </row>
    <row r="358" spans="12:19">
      <c r="L358" t="s">
        <v>422</v>
      </c>
      <c r="M358" t="s">
        <v>421</v>
      </c>
      <c r="N358" t="s">
        <v>1129</v>
      </c>
      <c r="O358">
        <v>3</v>
      </c>
      <c r="P358">
        <v>30</v>
      </c>
      <c r="Q358">
        <v>715.2</v>
      </c>
      <c r="R358">
        <v>1</v>
      </c>
      <c r="S358">
        <v>715.2</v>
      </c>
    </row>
    <row r="359" spans="12:19">
      <c r="L359" t="s">
        <v>422</v>
      </c>
      <c r="M359" t="s">
        <v>421</v>
      </c>
      <c r="N359" t="s">
        <v>1125</v>
      </c>
      <c r="O359">
        <v>1</v>
      </c>
      <c r="P359">
        <v>21</v>
      </c>
      <c r="Q359">
        <v>342.72</v>
      </c>
      <c r="R359">
        <v>1</v>
      </c>
      <c r="S359">
        <v>342.72</v>
      </c>
    </row>
    <row r="360" spans="12:19">
      <c r="L360" t="s">
        <v>422</v>
      </c>
      <c r="M360" t="s">
        <v>1158</v>
      </c>
      <c r="N360" t="s">
        <v>1127</v>
      </c>
      <c r="O360">
        <v>1</v>
      </c>
      <c r="P360">
        <v>6</v>
      </c>
      <c r="Q360">
        <v>318</v>
      </c>
      <c r="R360">
        <v>1</v>
      </c>
      <c r="S360">
        <v>318</v>
      </c>
    </row>
    <row r="361" spans="12:19">
      <c r="L361" t="s">
        <v>422</v>
      </c>
      <c r="M361" t="s">
        <v>421</v>
      </c>
      <c r="N361" t="s">
        <v>1115</v>
      </c>
      <c r="O361">
        <v>2</v>
      </c>
      <c r="P361">
        <v>30</v>
      </c>
      <c r="Q361">
        <v>229.5</v>
      </c>
      <c r="R361">
        <v>1</v>
      </c>
      <c r="S361">
        <v>229.5</v>
      </c>
    </row>
    <row r="362" spans="12:19">
      <c r="L362" t="s">
        <v>422</v>
      </c>
      <c r="M362" t="s">
        <v>1158</v>
      </c>
      <c r="N362" t="s">
        <v>1117</v>
      </c>
      <c r="O362">
        <v>1</v>
      </c>
      <c r="P362">
        <v>10</v>
      </c>
      <c r="Q362">
        <v>210.5</v>
      </c>
      <c r="R362">
        <v>1</v>
      </c>
      <c r="S362">
        <v>210.5</v>
      </c>
    </row>
    <row r="363" spans="12:19">
      <c r="L363" t="s">
        <v>18</v>
      </c>
      <c r="M363" t="s">
        <v>16</v>
      </c>
      <c r="N363" t="s">
        <v>1121</v>
      </c>
      <c r="O363">
        <v>15</v>
      </c>
      <c r="P363">
        <v>458</v>
      </c>
      <c r="Q363">
        <v>9176.0499999999993</v>
      </c>
      <c r="R363">
        <v>6</v>
      </c>
      <c r="S363">
        <v>1529.34</v>
      </c>
    </row>
    <row r="364" spans="12:19">
      <c r="L364" t="s">
        <v>18</v>
      </c>
      <c r="M364" t="s">
        <v>16</v>
      </c>
      <c r="N364" t="s">
        <v>1119</v>
      </c>
      <c r="O364">
        <v>13</v>
      </c>
      <c r="P364">
        <v>299</v>
      </c>
      <c r="Q364">
        <v>8313.68</v>
      </c>
      <c r="R364">
        <v>4</v>
      </c>
      <c r="S364">
        <v>2078.42</v>
      </c>
    </row>
    <row r="365" spans="12:19">
      <c r="L365" t="s">
        <v>18</v>
      </c>
      <c r="M365" t="s">
        <v>16</v>
      </c>
      <c r="N365" t="s">
        <v>1127</v>
      </c>
      <c r="O365">
        <v>8</v>
      </c>
      <c r="P365">
        <v>185</v>
      </c>
      <c r="Q365">
        <v>6660.6</v>
      </c>
      <c r="R365">
        <v>4</v>
      </c>
      <c r="S365">
        <v>1665.15</v>
      </c>
    </row>
    <row r="366" spans="12:19">
      <c r="L366" t="s">
        <v>18</v>
      </c>
      <c r="M366" t="s">
        <v>16</v>
      </c>
      <c r="N366" t="s">
        <v>1125</v>
      </c>
      <c r="O366">
        <v>7</v>
      </c>
      <c r="P366">
        <v>135</v>
      </c>
      <c r="Q366">
        <v>5436.84</v>
      </c>
      <c r="R366">
        <v>4</v>
      </c>
      <c r="S366">
        <v>1359.21</v>
      </c>
    </row>
    <row r="367" spans="12:19">
      <c r="L367" t="s">
        <v>18</v>
      </c>
      <c r="M367" t="s">
        <v>16</v>
      </c>
      <c r="N367" t="s">
        <v>1123</v>
      </c>
      <c r="O367">
        <v>15</v>
      </c>
      <c r="P367">
        <v>292</v>
      </c>
      <c r="Q367">
        <v>4467.8</v>
      </c>
      <c r="R367">
        <v>5</v>
      </c>
      <c r="S367">
        <v>893.56</v>
      </c>
    </row>
    <row r="368" spans="12:19">
      <c r="L368" t="s">
        <v>18</v>
      </c>
      <c r="M368" t="s">
        <v>16</v>
      </c>
      <c r="N368" t="s">
        <v>1129</v>
      </c>
      <c r="O368">
        <v>13</v>
      </c>
      <c r="P368">
        <v>264</v>
      </c>
      <c r="Q368">
        <v>4273.96</v>
      </c>
      <c r="R368">
        <v>5</v>
      </c>
      <c r="S368">
        <v>854.79</v>
      </c>
    </row>
    <row r="369" spans="12:19">
      <c r="L369" t="s">
        <v>18</v>
      </c>
      <c r="M369" t="s">
        <v>16</v>
      </c>
      <c r="N369" t="s">
        <v>1115</v>
      </c>
      <c r="O369">
        <v>15</v>
      </c>
      <c r="P369">
        <v>344</v>
      </c>
      <c r="Q369">
        <v>4096.3999999999996</v>
      </c>
      <c r="R369">
        <v>6</v>
      </c>
      <c r="S369">
        <v>682.73</v>
      </c>
    </row>
    <row r="370" spans="12:19">
      <c r="L370" t="s">
        <v>18</v>
      </c>
      <c r="M370" t="s">
        <v>583</v>
      </c>
      <c r="N370" t="s">
        <v>1121</v>
      </c>
      <c r="O370">
        <v>5</v>
      </c>
      <c r="P370">
        <v>76</v>
      </c>
      <c r="Q370">
        <v>1944.9</v>
      </c>
      <c r="R370">
        <v>1</v>
      </c>
      <c r="S370">
        <v>1944.9</v>
      </c>
    </row>
    <row r="371" spans="12:19">
      <c r="L371" t="s">
        <v>18</v>
      </c>
      <c r="M371" t="s">
        <v>16</v>
      </c>
      <c r="N371" t="s">
        <v>1117</v>
      </c>
      <c r="O371">
        <v>4</v>
      </c>
      <c r="P371">
        <v>109</v>
      </c>
      <c r="Q371">
        <v>1838.5</v>
      </c>
      <c r="R371">
        <v>3</v>
      </c>
      <c r="S371">
        <v>612.83000000000004</v>
      </c>
    </row>
    <row r="372" spans="12:19">
      <c r="L372" t="s">
        <v>18</v>
      </c>
      <c r="M372" t="s">
        <v>583</v>
      </c>
      <c r="N372" t="s">
        <v>1117</v>
      </c>
      <c r="O372">
        <v>2</v>
      </c>
      <c r="P372">
        <v>50</v>
      </c>
      <c r="Q372">
        <v>1655</v>
      </c>
      <c r="R372">
        <v>1</v>
      </c>
      <c r="S372">
        <v>1655</v>
      </c>
    </row>
    <row r="373" spans="12:19">
      <c r="L373" t="s">
        <v>18</v>
      </c>
      <c r="M373" t="s">
        <v>583</v>
      </c>
      <c r="N373" t="s">
        <v>1115</v>
      </c>
      <c r="O373">
        <v>6</v>
      </c>
      <c r="P373">
        <v>100</v>
      </c>
      <c r="Q373">
        <v>1417.2</v>
      </c>
      <c r="R373">
        <v>1</v>
      </c>
      <c r="S373">
        <v>1417.2</v>
      </c>
    </row>
    <row r="374" spans="12:19">
      <c r="L374" t="s">
        <v>18</v>
      </c>
      <c r="M374" t="s">
        <v>583</v>
      </c>
      <c r="N374" t="s">
        <v>1123</v>
      </c>
      <c r="O374">
        <v>3</v>
      </c>
      <c r="P374">
        <v>30</v>
      </c>
      <c r="Q374">
        <v>705</v>
      </c>
      <c r="R374">
        <v>1</v>
      </c>
      <c r="S374">
        <v>705</v>
      </c>
    </row>
    <row r="375" spans="12:19">
      <c r="L375" t="s">
        <v>18</v>
      </c>
      <c r="M375" t="s">
        <v>583</v>
      </c>
      <c r="N375" t="s">
        <v>1129</v>
      </c>
      <c r="O375">
        <v>2</v>
      </c>
      <c r="P375">
        <v>30</v>
      </c>
      <c r="Q375">
        <v>214</v>
      </c>
      <c r="R375">
        <v>1</v>
      </c>
      <c r="S375">
        <v>214</v>
      </c>
    </row>
    <row r="376" spans="12:19">
      <c r="L376" t="s">
        <v>18</v>
      </c>
      <c r="M376" t="s">
        <v>583</v>
      </c>
      <c r="N376" t="s">
        <v>1119</v>
      </c>
      <c r="O376">
        <v>2</v>
      </c>
      <c r="P376">
        <v>7</v>
      </c>
      <c r="Q376">
        <v>144.6</v>
      </c>
      <c r="R376">
        <v>1</v>
      </c>
      <c r="S376">
        <v>144.6</v>
      </c>
    </row>
    <row r="377" spans="12:19">
      <c r="L377" t="s">
        <v>18</v>
      </c>
      <c r="M377" t="s">
        <v>583</v>
      </c>
      <c r="N377" t="s">
        <v>1125</v>
      </c>
      <c r="O377">
        <v>1</v>
      </c>
      <c r="P377">
        <v>2</v>
      </c>
      <c r="Q377">
        <v>65.599999999999994</v>
      </c>
      <c r="R377">
        <v>1</v>
      </c>
      <c r="S377">
        <v>65.599999999999994</v>
      </c>
    </row>
    <row r="378" spans="12:19">
      <c r="L378" t="s">
        <v>26</v>
      </c>
      <c r="M378" t="s">
        <v>460</v>
      </c>
      <c r="N378" t="s">
        <v>1115</v>
      </c>
      <c r="O378">
        <v>7</v>
      </c>
      <c r="P378">
        <v>202</v>
      </c>
      <c r="Q378">
        <v>18778.150000000001</v>
      </c>
      <c r="R378">
        <v>1</v>
      </c>
      <c r="S378">
        <v>18778.150000000001</v>
      </c>
    </row>
    <row r="379" spans="12:19">
      <c r="L379" t="s">
        <v>26</v>
      </c>
      <c r="M379" t="s">
        <v>596</v>
      </c>
      <c r="N379" t="s">
        <v>1125</v>
      </c>
      <c r="O379">
        <v>9</v>
      </c>
      <c r="P379">
        <v>529</v>
      </c>
      <c r="Q379">
        <v>18561.53</v>
      </c>
      <c r="R379">
        <v>1</v>
      </c>
      <c r="S379">
        <v>18561.53</v>
      </c>
    </row>
    <row r="380" spans="12:19">
      <c r="L380" t="s">
        <v>26</v>
      </c>
      <c r="M380" t="s">
        <v>596</v>
      </c>
      <c r="N380" t="s">
        <v>1121</v>
      </c>
      <c r="O380">
        <v>13</v>
      </c>
      <c r="P380">
        <v>675</v>
      </c>
      <c r="Q380">
        <v>16638.099999999999</v>
      </c>
      <c r="R380">
        <v>1</v>
      </c>
      <c r="S380">
        <v>16638.099999999999</v>
      </c>
    </row>
    <row r="381" spans="12:19">
      <c r="L381" t="s">
        <v>26</v>
      </c>
      <c r="M381" t="s">
        <v>596</v>
      </c>
      <c r="N381" t="s">
        <v>1129</v>
      </c>
      <c r="O381">
        <v>15</v>
      </c>
      <c r="P381">
        <v>971</v>
      </c>
      <c r="Q381">
        <v>13008.8</v>
      </c>
      <c r="R381">
        <v>1</v>
      </c>
      <c r="S381">
        <v>13008.8</v>
      </c>
    </row>
    <row r="382" spans="12:19">
      <c r="L382" t="s">
        <v>26</v>
      </c>
      <c r="M382" t="s">
        <v>738</v>
      </c>
      <c r="N382" t="s">
        <v>1115</v>
      </c>
      <c r="O382">
        <v>4</v>
      </c>
      <c r="P382">
        <v>72</v>
      </c>
      <c r="Q382">
        <v>11694.38</v>
      </c>
      <c r="R382">
        <v>1</v>
      </c>
      <c r="S382">
        <v>11694.38</v>
      </c>
    </row>
    <row r="383" spans="12:19">
      <c r="L383" t="s">
        <v>26</v>
      </c>
      <c r="M383" t="s">
        <v>596</v>
      </c>
      <c r="N383" t="s">
        <v>1119</v>
      </c>
      <c r="O383">
        <v>18</v>
      </c>
      <c r="P383">
        <v>654</v>
      </c>
      <c r="Q383">
        <v>11212.57</v>
      </c>
      <c r="R383">
        <v>1</v>
      </c>
      <c r="S383">
        <v>11212.57</v>
      </c>
    </row>
    <row r="384" spans="12:19">
      <c r="L384" t="s">
        <v>26</v>
      </c>
      <c r="M384" t="s">
        <v>460</v>
      </c>
      <c r="N384" t="s">
        <v>1119</v>
      </c>
      <c r="O384">
        <v>7</v>
      </c>
      <c r="P384">
        <v>276</v>
      </c>
      <c r="Q384">
        <v>10835.6</v>
      </c>
      <c r="R384">
        <v>1</v>
      </c>
      <c r="S384">
        <v>10835.6</v>
      </c>
    </row>
    <row r="385" spans="12:19">
      <c r="L385" t="s">
        <v>26</v>
      </c>
      <c r="M385" t="s">
        <v>596</v>
      </c>
      <c r="N385" t="s">
        <v>1115</v>
      </c>
      <c r="O385">
        <v>15</v>
      </c>
      <c r="P385">
        <v>661</v>
      </c>
      <c r="Q385">
        <v>7702.5</v>
      </c>
      <c r="R385">
        <v>1</v>
      </c>
      <c r="S385">
        <v>7702.5</v>
      </c>
    </row>
    <row r="386" spans="12:19">
      <c r="L386" t="s">
        <v>26</v>
      </c>
      <c r="M386" t="s">
        <v>460</v>
      </c>
      <c r="N386" t="s">
        <v>1121</v>
      </c>
      <c r="O386">
        <v>9</v>
      </c>
      <c r="P386">
        <v>335</v>
      </c>
      <c r="Q386">
        <v>7686.75</v>
      </c>
      <c r="R386">
        <v>1</v>
      </c>
      <c r="S386">
        <v>7686.75</v>
      </c>
    </row>
    <row r="387" spans="12:19">
      <c r="L387" t="s">
        <v>26</v>
      </c>
      <c r="M387" t="s">
        <v>596</v>
      </c>
      <c r="N387" t="s">
        <v>1123</v>
      </c>
      <c r="O387">
        <v>9</v>
      </c>
      <c r="P387">
        <v>311</v>
      </c>
      <c r="Q387">
        <v>7633.1</v>
      </c>
      <c r="R387">
        <v>1</v>
      </c>
      <c r="S387">
        <v>7633.1</v>
      </c>
    </row>
    <row r="388" spans="12:19">
      <c r="L388" t="s">
        <v>26</v>
      </c>
      <c r="M388" t="s">
        <v>596</v>
      </c>
      <c r="N388" t="s">
        <v>1117</v>
      </c>
      <c r="O388">
        <v>4</v>
      </c>
      <c r="P388">
        <v>320</v>
      </c>
      <c r="Q388">
        <v>6378.5</v>
      </c>
      <c r="R388">
        <v>1</v>
      </c>
      <c r="S388">
        <v>6378.5</v>
      </c>
    </row>
    <row r="389" spans="12:19">
      <c r="L389" t="s">
        <v>26</v>
      </c>
      <c r="M389" t="s">
        <v>460</v>
      </c>
      <c r="N389" t="s">
        <v>1123</v>
      </c>
      <c r="O389">
        <v>5</v>
      </c>
      <c r="P389">
        <v>152</v>
      </c>
      <c r="Q389">
        <v>4734.8</v>
      </c>
      <c r="R389">
        <v>1</v>
      </c>
      <c r="S389">
        <v>4734.8</v>
      </c>
    </row>
    <row r="390" spans="12:19">
      <c r="L390" t="s">
        <v>26</v>
      </c>
      <c r="M390" t="s">
        <v>492</v>
      </c>
      <c r="N390" t="s">
        <v>1115</v>
      </c>
      <c r="O390">
        <v>2</v>
      </c>
      <c r="P390">
        <v>40</v>
      </c>
      <c r="Q390">
        <v>4365.2</v>
      </c>
      <c r="R390">
        <v>1</v>
      </c>
      <c r="S390">
        <v>4365.2</v>
      </c>
    </row>
    <row r="391" spans="12:19">
      <c r="L391" t="s">
        <v>26</v>
      </c>
      <c r="M391" t="s">
        <v>487</v>
      </c>
      <c r="N391" t="s">
        <v>1117</v>
      </c>
      <c r="O391">
        <v>5</v>
      </c>
      <c r="P391">
        <v>186</v>
      </c>
      <c r="Q391">
        <v>4174.13</v>
      </c>
      <c r="R391">
        <v>1</v>
      </c>
      <c r="S391">
        <v>4174.13</v>
      </c>
    </row>
    <row r="392" spans="12:19">
      <c r="L392" t="s">
        <v>26</v>
      </c>
      <c r="M392" t="s">
        <v>596</v>
      </c>
      <c r="N392" t="s">
        <v>1127</v>
      </c>
      <c r="O392">
        <v>4</v>
      </c>
      <c r="P392">
        <v>152</v>
      </c>
      <c r="Q392">
        <v>3887.9</v>
      </c>
      <c r="R392">
        <v>1</v>
      </c>
      <c r="S392">
        <v>3887.9</v>
      </c>
    </row>
    <row r="393" spans="12:19">
      <c r="L393" t="s">
        <v>26</v>
      </c>
      <c r="M393" t="s">
        <v>487</v>
      </c>
      <c r="N393" t="s">
        <v>1125</v>
      </c>
      <c r="O393">
        <v>4</v>
      </c>
      <c r="P393">
        <v>138</v>
      </c>
      <c r="Q393">
        <v>3707.95</v>
      </c>
      <c r="R393">
        <v>1</v>
      </c>
      <c r="S393">
        <v>3707.95</v>
      </c>
    </row>
    <row r="394" spans="12:19">
      <c r="L394" t="s">
        <v>26</v>
      </c>
      <c r="M394" t="s">
        <v>564</v>
      </c>
      <c r="N394" t="s">
        <v>1119</v>
      </c>
      <c r="O394">
        <v>4</v>
      </c>
      <c r="P394">
        <v>170</v>
      </c>
      <c r="Q394">
        <v>3630.88</v>
      </c>
      <c r="R394">
        <v>1</v>
      </c>
      <c r="S394">
        <v>3630.88</v>
      </c>
    </row>
    <row r="395" spans="12:19">
      <c r="L395" t="s">
        <v>26</v>
      </c>
      <c r="M395" t="s">
        <v>460</v>
      </c>
      <c r="N395" t="s">
        <v>1125</v>
      </c>
      <c r="O395">
        <v>5</v>
      </c>
      <c r="P395">
        <v>126</v>
      </c>
      <c r="Q395">
        <v>3609.28</v>
      </c>
      <c r="R395">
        <v>1</v>
      </c>
      <c r="S395">
        <v>3609.28</v>
      </c>
    </row>
    <row r="396" spans="12:19">
      <c r="L396" t="s">
        <v>26</v>
      </c>
      <c r="M396" t="s">
        <v>569</v>
      </c>
      <c r="N396" t="s">
        <v>1115</v>
      </c>
      <c r="O396">
        <v>5</v>
      </c>
      <c r="P396">
        <v>65</v>
      </c>
      <c r="Q396">
        <v>3377</v>
      </c>
      <c r="R396">
        <v>2</v>
      </c>
      <c r="S396">
        <v>1688.5</v>
      </c>
    </row>
    <row r="397" spans="12:19">
      <c r="L397" t="s">
        <v>26</v>
      </c>
      <c r="M397" t="s">
        <v>487</v>
      </c>
      <c r="N397" t="s">
        <v>1119</v>
      </c>
      <c r="O397">
        <v>5</v>
      </c>
      <c r="P397">
        <v>140</v>
      </c>
      <c r="Q397">
        <v>3275.38</v>
      </c>
      <c r="R397">
        <v>1</v>
      </c>
      <c r="S397">
        <v>3275.38</v>
      </c>
    </row>
    <row r="398" spans="12:19">
      <c r="L398" t="s">
        <v>26</v>
      </c>
      <c r="M398" t="s">
        <v>564</v>
      </c>
      <c r="N398" t="s">
        <v>1125</v>
      </c>
      <c r="O398">
        <v>2</v>
      </c>
      <c r="P398">
        <v>45</v>
      </c>
      <c r="Q398">
        <v>2851.5</v>
      </c>
      <c r="R398">
        <v>1</v>
      </c>
      <c r="S398">
        <v>2851.5</v>
      </c>
    </row>
    <row r="399" spans="12:19">
      <c r="L399" t="s">
        <v>26</v>
      </c>
      <c r="M399" t="s">
        <v>492</v>
      </c>
      <c r="N399" t="s">
        <v>1125</v>
      </c>
      <c r="O399">
        <v>3</v>
      </c>
      <c r="P399">
        <v>84</v>
      </c>
      <c r="Q399">
        <v>2357.6</v>
      </c>
      <c r="R399">
        <v>1</v>
      </c>
      <c r="S399">
        <v>2357.6</v>
      </c>
    </row>
    <row r="400" spans="12:19">
      <c r="L400" t="s">
        <v>26</v>
      </c>
      <c r="M400" t="s">
        <v>564</v>
      </c>
      <c r="N400" t="s">
        <v>1115</v>
      </c>
      <c r="O400">
        <v>3</v>
      </c>
      <c r="P400">
        <v>104</v>
      </c>
      <c r="Q400">
        <v>2257.8000000000002</v>
      </c>
      <c r="R400">
        <v>1</v>
      </c>
      <c r="S400">
        <v>2257.8000000000002</v>
      </c>
    </row>
    <row r="401" spans="12:19">
      <c r="L401" t="s">
        <v>26</v>
      </c>
      <c r="M401" t="s">
        <v>487</v>
      </c>
      <c r="N401" t="s">
        <v>1129</v>
      </c>
      <c r="O401">
        <v>5</v>
      </c>
      <c r="P401">
        <v>108</v>
      </c>
      <c r="Q401">
        <v>2160</v>
      </c>
      <c r="R401">
        <v>1</v>
      </c>
      <c r="S401">
        <v>2160</v>
      </c>
    </row>
    <row r="402" spans="12:19">
      <c r="L402" t="s">
        <v>26</v>
      </c>
      <c r="M402" t="s">
        <v>460</v>
      </c>
      <c r="N402" t="s">
        <v>1127</v>
      </c>
      <c r="O402">
        <v>2</v>
      </c>
      <c r="P402">
        <v>75</v>
      </c>
      <c r="Q402">
        <v>2160</v>
      </c>
      <c r="R402">
        <v>1</v>
      </c>
      <c r="S402">
        <v>2160</v>
      </c>
    </row>
    <row r="403" spans="12:19">
      <c r="L403" t="s">
        <v>26</v>
      </c>
      <c r="M403" t="s">
        <v>564</v>
      </c>
      <c r="N403" t="s">
        <v>1123</v>
      </c>
      <c r="O403">
        <v>4</v>
      </c>
      <c r="P403">
        <v>108</v>
      </c>
      <c r="Q403">
        <v>2146</v>
      </c>
      <c r="R403">
        <v>1</v>
      </c>
      <c r="S403">
        <v>2146</v>
      </c>
    </row>
    <row r="404" spans="12:19">
      <c r="L404" t="s">
        <v>26</v>
      </c>
      <c r="M404" t="s">
        <v>738</v>
      </c>
      <c r="N404" t="s">
        <v>1121</v>
      </c>
      <c r="O404">
        <v>3</v>
      </c>
      <c r="P404">
        <v>65</v>
      </c>
      <c r="Q404">
        <v>2101.0700000000002</v>
      </c>
      <c r="R404">
        <v>1</v>
      </c>
      <c r="S404">
        <v>2101.0700000000002</v>
      </c>
    </row>
    <row r="405" spans="12:19">
      <c r="L405" t="s">
        <v>26</v>
      </c>
      <c r="M405" t="s">
        <v>674</v>
      </c>
      <c r="N405" t="s">
        <v>1119</v>
      </c>
      <c r="O405">
        <v>2</v>
      </c>
      <c r="P405">
        <v>31</v>
      </c>
      <c r="Q405">
        <v>2095</v>
      </c>
      <c r="R405">
        <v>1</v>
      </c>
      <c r="S405">
        <v>2095</v>
      </c>
    </row>
    <row r="406" spans="12:19">
      <c r="L406" t="s">
        <v>26</v>
      </c>
      <c r="M406" t="s">
        <v>564</v>
      </c>
      <c r="N406" t="s">
        <v>1129</v>
      </c>
      <c r="O406">
        <v>3</v>
      </c>
      <c r="P406">
        <v>70</v>
      </c>
      <c r="Q406">
        <v>1833</v>
      </c>
      <c r="R406">
        <v>1</v>
      </c>
      <c r="S406">
        <v>1833</v>
      </c>
    </row>
    <row r="407" spans="12:19">
      <c r="L407" t="s">
        <v>26</v>
      </c>
      <c r="M407" t="s">
        <v>487</v>
      </c>
      <c r="N407" t="s">
        <v>1115</v>
      </c>
      <c r="O407">
        <v>5</v>
      </c>
      <c r="P407">
        <v>152</v>
      </c>
      <c r="Q407">
        <v>1807.2</v>
      </c>
      <c r="R407">
        <v>1</v>
      </c>
      <c r="S407">
        <v>1807.2</v>
      </c>
    </row>
    <row r="408" spans="12:19">
      <c r="L408" t="s">
        <v>26</v>
      </c>
      <c r="M408" t="s">
        <v>487</v>
      </c>
      <c r="N408" t="s">
        <v>1121</v>
      </c>
      <c r="O408">
        <v>3</v>
      </c>
      <c r="P408">
        <v>145</v>
      </c>
      <c r="Q408">
        <v>1647.7</v>
      </c>
      <c r="R408">
        <v>1</v>
      </c>
      <c r="S408">
        <v>1647.7</v>
      </c>
    </row>
    <row r="409" spans="12:19">
      <c r="L409" t="s">
        <v>26</v>
      </c>
      <c r="M409" t="s">
        <v>492</v>
      </c>
      <c r="N409" t="s">
        <v>1129</v>
      </c>
      <c r="O409">
        <v>2</v>
      </c>
      <c r="P409">
        <v>49</v>
      </c>
      <c r="Q409">
        <v>1511.32</v>
      </c>
      <c r="R409">
        <v>1</v>
      </c>
      <c r="S409">
        <v>1511.32</v>
      </c>
    </row>
    <row r="410" spans="12:19">
      <c r="L410" t="s">
        <v>26</v>
      </c>
      <c r="M410" t="s">
        <v>738</v>
      </c>
      <c r="N410" t="s">
        <v>1123</v>
      </c>
      <c r="O410">
        <v>2</v>
      </c>
      <c r="P410">
        <v>42</v>
      </c>
      <c r="Q410">
        <v>1463</v>
      </c>
      <c r="R410">
        <v>1</v>
      </c>
      <c r="S410">
        <v>1463</v>
      </c>
    </row>
    <row r="411" spans="12:19">
      <c r="L411" t="s">
        <v>26</v>
      </c>
      <c r="M411" t="s">
        <v>569</v>
      </c>
      <c r="N411" t="s">
        <v>1127</v>
      </c>
      <c r="O411">
        <v>2</v>
      </c>
      <c r="P411">
        <v>27</v>
      </c>
      <c r="Q411">
        <v>1379.2</v>
      </c>
      <c r="R411">
        <v>1</v>
      </c>
      <c r="S411">
        <v>1379.2</v>
      </c>
    </row>
    <row r="412" spans="12:19">
      <c r="L412" t="s">
        <v>26</v>
      </c>
      <c r="M412" t="s">
        <v>738</v>
      </c>
      <c r="N412" t="s">
        <v>1119</v>
      </c>
      <c r="O412">
        <v>3</v>
      </c>
      <c r="P412">
        <v>68</v>
      </c>
      <c r="Q412">
        <v>1344.4</v>
      </c>
      <c r="R412">
        <v>1</v>
      </c>
      <c r="S412">
        <v>1344.4</v>
      </c>
    </row>
    <row r="413" spans="12:19">
      <c r="L413" t="s">
        <v>26</v>
      </c>
      <c r="M413" t="s">
        <v>460</v>
      </c>
      <c r="N413" t="s">
        <v>1117</v>
      </c>
      <c r="O413">
        <v>3</v>
      </c>
      <c r="P413">
        <v>87</v>
      </c>
      <c r="Q413">
        <v>1301.7</v>
      </c>
      <c r="R413">
        <v>1</v>
      </c>
      <c r="S413">
        <v>1301.7</v>
      </c>
    </row>
    <row r="414" spans="12:19">
      <c r="L414" t="s">
        <v>26</v>
      </c>
      <c r="M414" t="s">
        <v>492</v>
      </c>
      <c r="N414" t="s">
        <v>1121</v>
      </c>
      <c r="O414">
        <v>3</v>
      </c>
      <c r="P414">
        <v>64</v>
      </c>
      <c r="Q414">
        <v>1059.2</v>
      </c>
      <c r="R414">
        <v>1</v>
      </c>
      <c r="S414">
        <v>1059.2</v>
      </c>
    </row>
    <row r="415" spans="12:19">
      <c r="L415" t="s">
        <v>26</v>
      </c>
      <c r="M415" t="s">
        <v>751</v>
      </c>
      <c r="N415" t="s">
        <v>1117</v>
      </c>
      <c r="O415">
        <v>3</v>
      </c>
      <c r="P415">
        <v>44</v>
      </c>
      <c r="Q415">
        <v>931.37</v>
      </c>
      <c r="R415">
        <v>1</v>
      </c>
      <c r="S415">
        <v>931.37</v>
      </c>
    </row>
    <row r="416" spans="12:19">
      <c r="L416" t="s">
        <v>26</v>
      </c>
      <c r="M416" t="s">
        <v>569</v>
      </c>
      <c r="N416" t="s">
        <v>1119</v>
      </c>
      <c r="O416">
        <v>3</v>
      </c>
      <c r="P416">
        <v>38</v>
      </c>
      <c r="Q416">
        <v>885</v>
      </c>
      <c r="R416">
        <v>2</v>
      </c>
      <c r="S416">
        <v>442.5</v>
      </c>
    </row>
    <row r="417" spans="12:19">
      <c r="L417" t="s">
        <v>26</v>
      </c>
      <c r="M417" t="s">
        <v>564</v>
      </c>
      <c r="N417" t="s">
        <v>1127</v>
      </c>
      <c r="O417">
        <v>1</v>
      </c>
      <c r="P417">
        <v>16</v>
      </c>
      <c r="Q417">
        <v>848</v>
      </c>
      <c r="R417">
        <v>1</v>
      </c>
      <c r="S417">
        <v>848</v>
      </c>
    </row>
    <row r="418" spans="12:19">
      <c r="L418" t="s">
        <v>26</v>
      </c>
      <c r="M418" t="s">
        <v>564</v>
      </c>
      <c r="N418" t="s">
        <v>1121</v>
      </c>
      <c r="O418">
        <v>3</v>
      </c>
      <c r="P418">
        <v>42</v>
      </c>
      <c r="Q418">
        <v>802.5</v>
      </c>
      <c r="R418">
        <v>1</v>
      </c>
      <c r="S418">
        <v>802.5</v>
      </c>
    </row>
    <row r="419" spans="12:19">
      <c r="L419" t="s">
        <v>26</v>
      </c>
      <c r="M419" t="s">
        <v>751</v>
      </c>
      <c r="N419" t="s">
        <v>1123</v>
      </c>
      <c r="O419">
        <v>1</v>
      </c>
      <c r="P419">
        <v>21</v>
      </c>
      <c r="Q419">
        <v>758.1</v>
      </c>
      <c r="R419">
        <v>1</v>
      </c>
      <c r="S419">
        <v>758.1</v>
      </c>
    </row>
    <row r="420" spans="12:19">
      <c r="L420" t="s">
        <v>26</v>
      </c>
      <c r="M420" t="s">
        <v>492</v>
      </c>
      <c r="N420" t="s">
        <v>1123</v>
      </c>
      <c r="O420">
        <v>2</v>
      </c>
      <c r="P420">
        <v>30</v>
      </c>
      <c r="Q420">
        <v>756.96</v>
      </c>
      <c r="R420">
        <v>1</v>
      </c>
      <c r="S420">
        <v>756.96</v>
      </c>
    </row>
    <row r="421" spans="12:19">
      <c r="L421" t="s">
        <v>26</v>
      </c>
      <c r="M421" t="s">
        <v>760</v>
      </c>
      <c r="N421" t="s">
        <v>1125</v>
      </c>
      <c r="O421">
        <v>1</v>
      </c>
      <c r="P421">
        <v>6</v>
      </c>
      <c r="Q421">
        <v>742.74</v>
      </c>
      <c r="R421">
        <v>1</v>
      </c>
      <c r="S421">
        <v>742.74</v>
      </c>
    </row>
    <row r="422" spans="12:19">
      <c r="L422" t="s">
        <v>26</v>
      </c>
      <c r="M422" t="s">
        <v>460</v>
      </c>
      <c r="N422" t="s">
        <v>1129</v>
      </c>
      <c r="O422">
        <v>3</v>
      </c>
      <c r="P422">
        <v>58</v>
      </c>
      <c r="Q422">
        <v>735.8</v>
      </c>
      <c r="R422">
        <v>1</v>
      </c>
      <c r="S422">
        <v>735.8</v>
      </c>
    </row>
    <row r="423" spans="12:19">
      <c r="L423" t="s">
        <v>26</v>
      </c>
      <c r="M423" t="s">
        <v>747</v>
      </c>
      <c r="N423" t="s">
        <v>1119</v>
      </c>
      <c r="O423">
        <v>2</v>
      </c>
      <c r="P423">
        <v>13</v>
      </c>
      <c r="Q423">
        <v>640.9</v>
      </c>
      <c r="R423">
        <v>1</v>
      </c>
      <c r="S423">
        <v>640.9</v>
      </c>
    </row>
    <row r="424" spans="12:19">
      <c r="L424" t="s">
        <v>26</v>
      </c>
      <c r="M424" t="s">
        <v>751</v>
      </c>
      <c r="N424" t="s">
        <v>1129</v>
      </c>
      <c r="O424">
        <v>1</v>
      </c>
      <c r="P424">
        <v>15</v>
      </c>
      <c r="Q424">
        <v>620.75</v>
      </c>
      <c r="R424">
        <v>1</v>
      </c>
      <c r="S424">
        <v>620.75</v>
      </c>
    </row>
    <row r="425" spans="12:19">
      <c r="L425" t="s">
        <v>26</v>
      </c>
      <c r="M425" t="s">
        <v>487</v>
      </c>
      <c r="N425" t="s">
        <v>1123</v>
      </c>
      <c r="O425">
        <v>2</v>
      </c>
      <c r="P425">
        <v>19</v>
      </c>
      <c r="Q425">
        <v>577.6</v>
      </c>
      <c r="R425">
        <v>1</v>
      </c>
      <c r="S425">
        <v>577.6</v>
      </c>
    </row>
    <row r="426" spans="12:19">
      <c r="L426" t="s">
        <v>26</v>
      </c>
      <c r="M426" t="s">
        <v>492</v>
      </c>
      <c r="N426" t="s">
        <v>1127</v>
      </c>
      <c r="O426">
        <v>2</v>
      </c>
      <c r="P426">
        <v>16</v>
      </c>
      <c r="Q426">
        <v>510</v>
      </c>
      <c r="R426">
        <v>1</v>
      </c>
      <c r="S426">
        <v>510</v>
      </c>
    </row>
    <row r="427" spans="12:19">
      <c r="L427" t="s">
        <v>26</v>
      </c>
      <c r="M427" t="s">
        <v>674</v>
      </c>
      <c r="N427" t="s">
        <v>1129</v>
      </c>
      <c r="O427">
        <v>2</v>
      </c>
      <c r="P427">
        <v>40</v>
      </c>
      <c r="Q427">
        <v>498</v>
      </c>
      <c r="R427">
        <v>1</v>
      </c>
      <c r="S427">
        <v>498</v>
      </c>
    </row>
    <row r="428" spans="12:19">
      <c r="L428" t="s">
        <v>26</v>
      </c>
      <c r="M428" t="s">
        <v>738</v>
      </c>
      <c r="N428" t="s">
        <v>1117</v>
      </c>
      <c r="O428">
        <v>1</v>
      </c>
      <c r="P428">
        <v>28</v>
      </c>
      <c r="Q428">
        <v>490.14</v>
      </c>
      <c r="R428">
        <v>1</v>
      </c>
      <c r="S428">
        <v>490.14</v>
      </c>
    </row>
    <row r="429" spans="12:19">
      <c r="L429" t="s">
        <v>26</v>
      </c>
      <c r="M429" t="s">
        <v>760</v>
      </c>
      <c r="N429" t="s">
        <v>1127</v>
      </c>
      <c r="O429">
        <v>1</v>
      </c>
      <c r="P429">
        <v>10</v>
      </c>
      <c r="Q429">
        <v>456</v>
      </c>
      <c r="R429">
        <v>1</v>
      </c>
      <c r="S429">
        <v>456</v>
      </c>
    </row>
    <row r="430" spans="12:19">
      <c r="L430" t="s">
        <v>26</v>
      </c>
      <c r="M430" t="s">
        <v>738</v>
      </c>
      <c r="N430" t="s">
        <v>1129</v>
      </c>
      <c r="O430">
        <v>1</v>
      </c>
      <c r="P430">
        <v>30</v>
      </c>
      <c r="Q430">
        <v>456</v>
      </c>
      <c r="R430">
        <v>1</v>
      </c>
      <c r="S430">
        <v>456</v>
      </c>
    </row>
    <row r="431" spans="12:19">
      <c r="L431" t="s">
        <v>26</v>
      </c>
      <c r="M431" t="s">
        <v>492</v>
      </c>
      <c r="N431" t="s">
        <v>1119</v>
      </c>
      <c r="O431">
        <v>4</v>
      </c>
      <c r="P431">
        <v>34</v>
      </c>
      <c r="Q431">
        <v>442.35</v>
      </c>
      <c r="R431">
        <v>1</v>
      </c>
      <c r="S431">
        <v>442.35</v>
      </c>
    </row>
    <row r="432" spans="12:19">
      <c r="L432" t="s">
        <v>26</v>
      </c>
      <c r="M432" t="s">
        <v>492</v>
      </c>
      <c r="N432" t="s">
        <v>1117</v>
      </c>
      <c r="O432">
        <v>1</v>
      </c>
      <c r="P432">
        <v>10</v>
      </c>
      <c r="Q432">
        <v>439</v>
      </c>
      <c r="R432">
        <v>1</v>
      </c>
      <c r="S432">
        <v>439</v>
      </c>
    </row>
    <row r="433" spans="12:19">
      <c r="L433" t="s">
        <v>26</v>
      </c>
      <c r="M433" t="s">
        <v>747</v>
      </c>
      <c r="N433" t="s">
        <v>1115</v>
      </c>
      <c r="O433">
        <v>2</v>
      </c>
      <c r="P433">
        <v>36</v>
      </c>
      <c r="Q433">
        <v>425</v>
      </c>
      <c r="R433">
        <v>1</v>
      </c>
      <c r="S433">
        <v>425</v>
      </c>
    </row>
    <row r="434" spans="12:19">
      <c r="L434" t="s">
        <v>26</v>
      </c>
      <c r="M434" t="s">
        <v>751</v>
      </c>
      <c r="N434" t="s">
        <v>1119</v>
      </c>
      <c r="O434">
        <v>1</v>
      </c>
      <c r="P434">
        <v>40</v>
      </c>
      <c r="Q434">
        <v>380</v>
      </c>
      <c r="R434">
        <v>1</v>
      </c>
      <c r="S434">
        <v>380</v>
      </c>
    </row>
    <row r="435" spans="12:19">
      <c r="L435" t="s">
        <v>26</v>
      </c>
      <c r="M435" t="s">
        <v>760</v>
      </c>
      <c r="N435" t="s">
        <v>1129</v>
      </c>
      <c r="O435">
        <v>2</v>
      </c>
      <c r="P435">
        <v>16</v>
      </c>
      <c r="Q435">
        <v>370</v>
      </c>
      <c r="R435">
        <v>1</v>
      </c>
      <c r="S435">
        <v>370</v>
      </c>
    </row>
    <row r="436" spans="12:19">
      <c r="L436" t="s">
        <v>26</v>
      </c>
      <c r="M436" t="s">
        <v>674</v>
      </c>
      <c r="N436" t="s">
        <v>1127</v>
      </c>
      <c r="O436">
        <v>1</v>
      </c>
      <c r="P436">
        <v>15</v>
      </c>
      <c r="Q436">
        <v>279</v>
      </c>
      <c r="R436">
        <v>1</v>
      </c>
      <c r="S436">
        <v>279</v>
      </c>
    </row>
    <row r="437" spans="12:19">
      <c r="L437" t="s">
        <v>26</v>
      </c>
      <c r="M437" t="s">
        <v>564</v>
      </c>
      <c r="N437" t="s">
        <v>1117</v>
      </c>
      <c r="O437">
        <v>1</v>
      </c>
      <c r="P437">
        <v>15</v>
      </c>
      <c r="Q437">
        <v>268.39</v>
      </c>
      <c r="R437">
        <v>1</v>
      </c>
      <c r="S437">
        <v>268.39</v>
      </c>
    </row>
    <row r="438" spans="12:19">
      <c r="L438" t="s">
        <v>26</v>
      </c>
      <c r="M438" t="s">
        <v>747</v>
      </c>
      <c r="N438" t="s">
        <v>1117</v>
      </c>
      <c r="O438">
        <v>1</v>
      </c>
      <c r="P438">
        <v>18</v>
      </c>
      <c r="Q438">
        <v>234</v>
      </c>
      <c r="R438">
        <v>1</v>
      </c>
      <c r="S438">
        <v>234</v>
      </c>
    </row>
    <row r="439" spans="12:19">
      <c r="L439" t="s">
        <v>26</v>
      </c>
      <c r="M439" t="s">
        <v>751</v>
      </c>
      <c r="N439" t="s">
        <v>1125</v>
      </c>
      <c r="O439">
        <v>1</v>
      </c>
      <c r="P439">
        <v>40</v>
      </c>
      <c r="Q439">
        <v>223.5</v>
      </c>
      <c r="R439">
        <v>1</v>
      </c>
      <c r="S439">
        <v>223.5</v>
      </c>
    </row>
    <row r="440" spans="12:19">
      <c r="L440" t="s">
        <v>26</v>
      </c>
      <c r="M440" t="s">
        <v>718</v>
      </c>
      <c r="N440" t="s">
        <v>1121</v>
      </c>
      <c r="O440">
        <v>1</v>
      </c>
      <c r="P440">
        <v>10</v>
      </c>
      <c r="Q440">
        <v>210</v>
      </c>
      <c r="R440">
        <v>1</v>
      </c>
      <c r="S440">
        <v>210</v>
      </c>
    </row>
    <row r="441" spans="12:19">
      <c r="L441" t="s">
        <v>26</v>
      </c>
      <c r="M441" t="s">
        <v>747</v>
      </c>
      <c r="N441" t="s">
        <v>1123</v>
      </c>
      <c r="O441">
        <v>1</v>
      </c>
      <c r="P441">
        <v>6</v>
      </c>
      <c r="Q441">
        <v>199.5</v>
      </c>
      <c r="R441">
        <v>1</v>
      </c>
      <c r="S441">
        <v>199.5</v>
      </c>
    </row>
    <row r="442" spans="12:19">
      <c r="L442" t="s">
        <v>26</v>
      </c>
      <c r="M442" t="s">
        <v>760</v>
      </c>
      <c r="N442" t="s">
        <v>1117</v>
      </c>
      <c r="O442">
        <v>1</v>
      </c>
      <c r="P442">
        <v>10</v>
      </c>
      <c r="Q442">
        <v>194.5</v>
      </c>
      <c r="R442">
        <v>1</v>
      </c>
      <c r="S442">
        <v>194.5</v>
      </c>
    </row>
    <row r="443" spans="12:19">
      <c r="L443" t="s">
        <v>26</v>
      </c>
      <c r="M443" t="s">
        <v>738</v>
      </c>
      <c r="N443" t="s">
        <v>1125</v>
      </c>
      <c r="O443">
        <v>1</v>
      </c>
      <c r="P443">
        <v>2</v>
      </c>
      <c r="Q443">
        <v>185.68</v>
      </c>
      <c r="R443">
        <v>1</v>
      </c>
      <c r="S443">
        <v>185.68</v>
      </c>
    </row>
    <row r="444" spans="12:19">
      <c r="L444" t="s">
        <v>26</v>
      </c>
      <c r="M444" t="s">
        <v>487</v>
      </c>
      <c r="N444" t="s">
        <v>1127</v>
      </c>
      <c r="O444">
        <v>1</v>
      </c>
      <c r="P444">
        <v>5</v>
      </c>
      <c r="Q444">
        <v>182.4</v>
      </c>
      <c r="R444">
        <v>1</v>
      </c>
      <c r="S444">
        <v>182.4</v>
      </c>
    </row>
    <row r="445" spans="12:19">
      <c r="L445" t="s">
        <v>26</v>
      </c>
      <c r="M445" t="s">
        <v>751</v>
      </c>
      <c r="N445" t="s">
        <v>1115</v>
      </c>
      <c r="O445">
        <v>1</v>
      </c>
      <c r="P445">
        <v>21</v>
      </c>
      <c r="Q445">
        <v>162.75</v>
      </c>
      <c r="R445">
        <v>1</v>
      </c>
      <c r="S445">
        <v>162.75</v>
      </c>
    </row>
    <row r="446" spans="12:19">
      <c r="L446" t="s">
        <v>26</v>
      </c>
      <c r="M446" t="s">
        <v>674</v>
      </c>
      <c r="N446" t="s">
        <v>1125</v>
      </c>
      <c r="O446">
        <v>3</v>
      </c>
      <c r="P446">
        <v>16</v>
      </c>
      <c r="Q446">
        <v>151.19999999999999</v>
      </c>
      <c r="R446">
        <v>1</v>
      </c>
      <c r="S446">
        <v>151.19999999999999</v>
      </c>
    </row>
    <row r="447" spans="12:19">
      <c r="L447" t="s">
        <v>26</v>
      </c>
      <c r="M447" t="s">
        <v>718</v>
      </c>
      <c r="N447" t="s">
        <v>1129</v>
      </c>
      <c r="O447">
        <v>1</v>
      </c>
      <c r="P447">
        <v>10</v>
      </c>
      <c r="Q447">
        <v>147</v>
      </c>
      <c r="R447">
        <v>1</v>
      </c>
      <c r="S447">
        <v>147</v>
      </c>
    </row>
    <row r="448" spans="12:19">
      <c r="L448" t="s">
        <v>26</v>
      </c>
      <c r="M448" t="s">
        <v>569</v>
      </c>
      <c r="N448" t="s">
        <v>1121</v>
      </c>
      <c r="O448">
        <v>2</v>
      </c>
      <c r="P448">
        <v>3</v>
      </c>
      <c r="Q448">
        <v>124.6</v>
      </c>
      <c r="R448">
        <v>2</v>
      </c>
      <c r="S448">
        <v>62.3</v>
      </c>
    </row>
    <row r="449" spans="12:19">
      <c r="L449" t="s">
        <v>26</v>
      </c>
      <c r="M449" t="s">
        <v>760</v>
      </c>
      <c r="N449" t="s">
        <v>1115</v>
      </c>
      <c r="O449">
        <v>2</v>
      </c>
      <c r="P449">
        <v>7</v>
      </c>
      <c r="Q449">
        <v>114</v>
      </c>
      <c r="R449">
        <v>1</v>
      </c>
      <c r="S449">
        <v>114</v>
      </c>
    </row>
    <row r="450" spans="12:19">
      <c r="L450" t="s">
        <v>26</v>
      </c>
      <c r="M450" t="s">
        <v>569</v>
      </c>
      <c r="N450" t="s">
        <v>1125</v>
      </c>
      <c r="O450">
        <v>1</v>
      </c>
      <c r="P450">
        <v>3</v>
      </c>
      <c r="Q450">
        <v>98.4</v>
      </c>
      <c r="R450">
        <v>1</v>
      </c>
      <c r="S450">
        <v>98.4</v>
      </c>
    </row>
    <row r="451" spans="12:19">
      <c r="L451" t="s">
        <v>26</v>
      </c>
      <c r="M451" t="s">
        <v>569</v>
      </c>
      <c r="N451" t="s">
        <v>1129</v>
      </c>
      <c r="O451">
        <v>1</v>
      </c>
      <c r="P451">
        <v>5</v>
      </c>
      <c r="Q451">
        <v>95</v>
      </c>
      <c r="R451">
        <v>1</v>
      </c>
      <c r="S451">
        <v>95</v>
      </c>
    </row>
    <row r="452" spans="12:19">
      <c r="L452" t="s">
        <v>26</v>
      </c>
      <c r="M452" t="s">
        <v>569</v>
      </c>
      <c r="N452" t="s">
        <v>1117</v>
      </c>
      <c r="O452">
        <v>1</v>
      </c>
      <c r="P452">
        <v>4</v>
      </c>
      <c r="Q452">
        <v>85.4</v>
      </c>
      <c r="R452">
        <v>1</v>
      </c>
      <c r="S452">
        <v>85.4</v>
      </c>
    </row>
    <row r="453" spans="12:19">
      <c r="L453" t="s">
        <v>26</v>
      </c>
      <c r="M453" t="s">
        <v>760</v>
      </c>
      <c r="N453" t="s">
        <v>1123</v>
      </c>
      <c r="O453">
        <v>1</v>
      </c>
      <c r="P453">
        <v>10</v>
      </c>
      <c r="Q453">
        <v>70</v>
      </c>
      <c r="R453">
        <v>1</v>
      </c>
      <c r="S453">
        <v>70</v>
      </c>
    </row>
    <row r="454" spans="12:19">
      <c r="L454" t="s">
        <v>26</v>
      </c>
      <c r="M454" t="s">
        <v>738</v>
      </c>
      <c r="N454" t="s">
        <v>1127</v>
      </c>
      <c r="O454">
        <v>1</v>
      </c>
      <c r="P454">
        <v>3</v>
      </c>
      <c r="Q454">
        <v>62.78</v>
      </c>
      <c r="R454">
        <v>1</v>
      </c>
      <c r="S454">
        <v>62.78</v>
      </c>
    </row>
    <row r="455" spans="12:19">
      <c r="L455" t="s">
        <v>26</v>
      </c>
      <c r="M455" t="s">
        <v>674</v>
      </c>
      <c r="N455" t="s">
        <v>1121</v>
      </c>
      <c r="O455">
        <v>1</v>
      </c>
      <c r="P455">
        <v>20</v>
      </c>
      <c r="Q455">
        <v>40</v>
      </c>
      <c r="R455">
        <v>1</v>
      </c>
      <c r="S455">
        <v>40</v>
      </c>
    </row>
    <row r="456" spans="12:19">
      <c r="L456" t="s">
        <v>26</v>
      </c>
      <c r="M456" t="s">
        <v>747</v>
      </c>
      <c r="N456" t="s">
        <v>1129</v>
      </c>
      <c r="O456">
        <v>1</v>
      </c>
      <c r="P456">
        <v>2</v>
      </c>
      <c r="Q456">
        <v>36.799999999999997</v>
      </c>
      <c r="R456">
        <v>1</v>
      </c>
      <c r="S456">
        <v>36.799999999999997</v>
      </c>
    </row>
    <row r="457" spans="12:19">
      <c r="L457" t="s">
        <v>26</v>
      </c>
      <c r="M457" t="s">
        <v>747</v>
      </c>
      <c r="N457" t="s">
        <v>1121</v>
      </c>
      <c r="O457">
        <v>1</v>
      </c>
      <c r="P457">
        <v>14</v>
      </c>
      <c r="Q457">
        <v>35</v>
      </c>
      <c r="R457">
        <v>1</v>
      </c>
      <c r="S457">
        <v>35</v>
      </c>
    </row>
    <row r="458" spans="12:19">
      <c r="L458" t="s">
        <v>438</v>
      </c>
      <c r="M458" t="s">
        <v>525</v>
      </c>
      <c r="N458" t="s">
        <v>1121</v>
      </c>
      <c r="O458">
        <v>7</v>
      </c>
      <c r="P458">
        <v>238</v>
      </c>
      <c r="Q458">
        <v>7360.83</v>
      </c>
      <c r="R458">
        <v>1</v>
      </c>
      <c r="S458">
        <v>7360.83</v>
      </c>
    </row>
    <row r="459" spans="12:19">
      <c r="L459" t="s">
        <v>438</v>
      </c>
      <c r="M459" t="s">
        <v>1153</v>
      </c>
      <c r="N459" t="s">
        <v>1121</v>
      </c>
      <c r="O459">
        <v>8</v>
      </c>
      <c r="P459">
        <v>204</v>
      </c>
      <c r="Q459">
        <v>7241.6</v>
      </c>
      <c r="R459">
        <v>1</v>
      </c>
      <c r="S459">
        <v>7241.6</v>
      </c>
    </row>
    <row r="460" spans="12:19">
      <c r="L460" t="s">
        <v>438</v>
      </c>
      <c r="M460" t="s">
        <v>688</v>
      </c>
      <c r="N460" t="s">
        <v>1129</v>
      </c>
      <c r="O460">
        <v>6</v>
      </c>
      <c r="P460">
        <v>205</v>
      </c>
      <c r="Q460">
        <v>3577.5</v>
      </c>
      <c r="R460">
        <v>1</v>
      </c>
      <c r="S460">
        <v>3577.5</v>
      </c>
    </row>
    <row r="461" spans="12:19">
      <c r="L461" t="s">
        <v>438</v>
      </c>
      <c r="M461" t="s">
        <v>1153</v>
      </c>
      <c r="N461" t="s">
        <v>1129</v>
      </c>
      <c r="O461">
        <v>9</v>
      </c>
      <c r="P461">
        <v>257</v>
      </c>
      <c r="Q461">
        <v>3274.07</v>
      </c>
      <c r="R461">
        <v>1</v>
      </c>
      <c r="S461">
        <v>3274.07</v>
      </c>
    </row>
    <row r="462" spans="12:19">
      <c r="L462" t="s">
        <v>438</v>
      </c>
      <c r="M462" t="s">
        <v>1153</v>
      </c>
      <c r="N462" t="s">
        <v>1115</v>
      </c>
      <c r="O462">
        <v>10</v>
      </c>
      <c r="P462">
        <v>258</v>
      </c>
      <c r="Q462">
        <v>3068.85</v>
      </c>
      <c r="R462">
        <v>1</v>
      </c>
      <c r="S462">
        <v>3068.85</v>
      </c>
    </row>
    <row r="463" spans="12:19">
      <c r="L463" t="s">
        <v>438</v>
      </c>
      <c r="M463" t="s">
        <v>688</v>
      </c>
      <c r="N463" t="s">
        <v>1121</v>
      </c>
      <c r="O463">
        <v>2</v>
      </c>
      <c r="P463">
        <v>109</v>
      </c>
      <c r="Q463">
        <v>3047.22</v>
      </c>
      <c r="R463">
        <v>1</v>
      </c>
      <c r="S463">
        <v>3047.22</v>
      </c>
    </row>
    <row r="464" spans="12:19">
      <c r="L464" t="s">
        <v>438</v>
      </c>
      <c r="M464" t="s">
        <v>525</v>
      </c>
      <c r="N464" t="s">
        <v>1119</v>
      </c>
      <c r="O464">
        <v>6</v>
      </c>
      <c r="P464">
        <v>179</v>
      </c>
      <c r="Q464">
        <v>2745.05</v>
      </c>
      <c r="R464">
        <v>1</v>
      </c>
      <c r="S464">
        <v>2745.05</v>
      </c>
    </row>
    <row r="465" spans="12:19">
      <c r="L465" t="s">
        <v>438</v>
      </c>
      <c r="M465" t="s">
        <v>688</v>
      </c>
      <c r="N465" t="s">
        <v>1115</v>
      </c>
      <c r="O465">
        <v>5</v>
      </c>
      <c r="P465">
        <v>183</v>
      </c>
      <c r="Q465">
        <v>2478.6</v>
      </c>
      <c r="R465">
        <v>1</v>
      </c>
      <c r="S465">
        <v>2478.6</v>
      </c>
    </row>
    <row r="466" spans="12:19">
      <c r="L466" t="s">
        <v>438</v>
      </c>
      <c r="M466" t="s">
        <v>688</v>
      </c>
      <c r="N466" t="s">
        <v>1119</v>
      </c>
      <c r="O466">
        <v>6</v>
      </c>
      <c r="P466">
        <v>174</v>
      </c>
      <c r="Q466">
        <v>2373.61</v>
      </c>
      <c r="R466">
        <v>1</v>
      </c>
      <c r="S466">
        <v>2373.61</v>
      </c>
    </row>
    <row r="467" spans="12:19">
      <c r="L467" t="s">
        <v>438</v>
      </c>
      <c r="M467" t="s">
        <v>1153</v>
      </c>
      <c r="N467" t="s">
        <v>1127</v>
      </c>
      <c r="O467">
        <v>2</v>
      </c>
      <c r="P467">
        <v>61</v>
      </c>
      <c r="Q467">
        <v>2100</v>
      </c>
      <c r="R467">
        <v>1</v>
      </c>
      <c r="S467">
        <v>2100</v>
      </c>
    </row>
    <row r="468" spans="12:19">
      <c r="L468" t="s">
        <v>438</v>
      </c>
      <c r="M468" t="s">
        <v>1153</v>
      </c>
      <c r="N468" t="s">
        <v>1119</v>
      </c>
      <c r="O468">
        <v>3</v>
      </c>
      <c r="P468">
        <v>76</v>
      </c>
      <c r="Q468">
        <v>1702.16</v>
      </c>
      <c r="R468">
        <v>1</v>
      </c>
      <c r="S468">
        <v>1702.16</v>
      </c>
    </row>
    <row r="469" spans="12:19">
      <c r="L469" t="s">
        <v>438</v>
      </c>
      <c r="M469" t="s">
        <v>1153</v>
      </c>
      <c r="N469" t="s">
        <v>1125</v>
      </c>
      <c r="O469">
        <v>2</v>
      </c>
      <c r="P469">
        <v>72</v>
      </c>
      <c r="Q469">
        <v>1687.08</v>
      </c>
      <c r="R469">
        <v>1</v>
      </c>
      <c r="S469">
        <v>1687.08</v>
      </c>
    </row>
    <row r="470" spans="12:19">
      <c r="L470" t="s">
        <v>438</v>
      </c>
      <c r="M470" t="s">
        <v>1153</v>
      </c>
      <c r="N470" t="s">
        <v>1123</v>
      </c>
      <c r="O470">
        <v>3</v>
      </c>
      <c r="P470">
        <v>73</v>
      </c>
      <c r="Q470">
        <v>1617</v>
      </c>
      <c r="R470">
        <v>1</v>
      </c>
      <c r="S470">
        <v>1617</v>
      </c>
    </row>
    <row r="471" spans="12:19">
      <c r="L471" t="s">
        <v>438</v>
      </c>
      <c r="M471" t="s">
        <v>525</v>
      </c>
      <c r="N471" t="s">
        <v>1129</v>
      </c>
      <c r="O471">
        <v>3</v>
      </c>
      <c r="P471">
        <v>78</v>
      </c>
      <c r="Q471">
        <v>1209.9000000000001</v>
      </c>
      <c r="R471">
        <v>1</v>
      </c>
      <c r="S471">
        <v>1209.9000000000001</v>
      </c>
    </row>
    <row r="472" spans="12:19">
      <c r="L472" t="s">
        <v>438</v>
      </c>
      <c r="M472" t="s">
        <v>525</v>
      </c>
      <c r="N472" t="s">
        <v>1127</v>
      </c>
      <c r="O472">
        <v>2</v>
      </c>
      <c r="P472">
        <v>34</v>
      </c>
      <c r="Q472">
        <v>1024</v>
      </c>
      <c r="R472">
        <v>1</v>
      </c>
      <c r="S472">
        <v>1024</v>
      </c>
    </row>
    <row r="473" spans="12:19">
      <c r="L473" t="s">
        <v>438</v>
      </c>
      <c r="M473" t="s">
        <v>482</v>
      </c>
      <c r="N473" t="s">
        <v>1125</v>
      </c>
      <c r="O473">
        <v>1</v>
      </c>
      <c r="P473">
        <v>10</v>
      </c>
      <c r="Q473">
        <v>990</v>
      </c>
      <c r="R473">
        <v>1</v>
      </c>
      <c r="S473">
        <v>990</v>
      </c>
    </row>
    <row r="474" spans="12:19">
      <c r="L474" t="s">
        <v>438</v>
      </c>
      <c r="M474" t="s">
        <v>688</v>
      </c>
      <c r="N474" t="s">
        <v>1117</v>
      </c>
      <c r="O474">
        <v>3</v>
      </c>
      <c r="P474">
        <v>91</v>
      </c>
      <c r="Q474">
        <v>986.05</v>
      </c>
      <c r="R474">
        <v>1</v>
      </c>
      <c r="S474">
        <v>986.05</v>
      </c>
    </row>
    <row r="475" spans="12:19">
      <c r="L475" t="s">
        <v>438</v>
      </c>
      <c r="M475" t="s">
        <v>525</v>
      </c>
      <c r="N475" t="s">
        <v>1123</v>
      </c>
      <c r="O475">
        <v>3</v>
      </c>
      <c r="P475">
        <v>105</v>
      </c>
      <c r="Q475">
        <v>933</v>
      </c>
      <c r="R475">
        <v>1</v>
      </c>
      <c r="S475">
        <v>933</v>
      </c>
    </row>
    <row r="476" spans="12:19">
      <c r="L476" t="s">
        <v>438</v>
      </c>
      <c r="M476" t="s">
        <v>525</v>
      </c>
      <c r="N476" t="s">
        <v>1125</v>
      </c>
      <c r="O476">
        <v>1</v>
      </c>
      <c r="P476">
        <v>60</v>
      </c>
      <c r="Q476">
        <v>864</v>
      </c>
      <c r="R476">
        <v>1</v>
      </c>
      <c r="S476">
        <v>864</v>
      </c>
    </row>
    <row r="477" spans="12:19">
      <c r="L477" t="s">
        <v>438</v>
      </c>
      <c r="M477" t="s">
        <v>525</v>
      </c>
      <c r="N477" t="s">
        <v>1115</v>
      </c>
      <c r="O477">
        <v>2</v>
      </c>
      <c r="P477">
        <v>43</v>
      </c>
      <c r="Q477">
        <v>647.4</v>
      </c>
      <c r="R477">
        <v>1</v>
      </c>
      <c r="S477">
        <v>647.4</v>
      </c>
    </row>
    <row r="478" spans="12:19">
      <c r="L478" t="s">
        <v>438</v>
      </c>
      <c r="M478" t="s">
        <v>525</v>
      </c>
      <c r="N478" t="s">
        <v>1117</v>
      </c>
      <c r="O478">
        <v>3</v>
      </c>
      <c r="P478">
        <v>50</v>
      </c>
      <c r="Q478">
        <v>618.5</v>
      </c>
      <c r="R478">
        <v>1</v>
      </c>
      <c r="S478">
        <v>618.5</v>
      </c>
    </row>
    <row r="479" spans="12:19">
      <c r="L479" t="s">
        <v>438</v>
      </c>
      <c r="M479" t="s">
        <v>688</v>
      </c>
      <c r="N479" t="s">
        <v>1125</v>
      </c>
      <c r="O479">
        <v>1</v>
      </c>
      <c r="P479">
        <v>30</v>
      </c>
      <c r="Q479">
        <v>518.4</v>
      </c>
      <c r="R479">
        <v>1</v>
      </c>
      <c r="S479">
        <v>518.4</v>
      </c>
    </row>
    <row r="480" spans="12:19">
      <c r="L480" t="s">
        <v>438</v>
      </c>
      <c r="M480" t="s">
        <v>1153</v>
      </c>
      <c r="N480" t="s">
        <v>1117</v>
      </c>
      <c r="O480">
        <v>2</v>
      </c>
      <c r="P480">
        <v>25</v>
      </c>
      <c r="Q480">
        <v>350.5</v>
      </c>
      <c r="R480">
        <v>1</v>
      </c>
      <c r="S480">
        <v>350.5</v>
      </c>
    </row>
    <row r="481" spans="12:19">
      <c r="L481" t="s">
        <v>438</v>
      </c>
      <c r="M481" t="s">
        <v>482</v>
      </c>
      <c r="N481" t="s">
        <v>1129</v>
      </c>
      <c r="O481">
        <v>1</v>
      </c>
      <c r="P481">
        <v>10</v>
      </c>
      <c r="Q481">
        <v>310</v>
      </c>
      <c r="R481">
        <v>1</v>
      </c>
      <c r="S481">
        <v>310</v>
      </c>
    </row>
    <row r="482" spans="12:19">
      <c r="L482" t="s">
        <v>438</v>
      </c>
      <c r="M482" t="s">
        <v>688</v>
      </c>
      <c r="N482" t="s">
        <v>1123</v>
      </c>
      <c r="O482">
        <v>1</v>
      </c>
      <c r="P482">
        <v>18</v>
      </c>
      <c r="Q482">
        <v>162</v>
      </c>
      <c r="R482">
        <v>1</v>
      </c>
      <c r="S482">
        <v>162</v>
      </c>
    </row>
    <row r="483" spans="12:19">
      <c r="L483" t="s">
        <v>438</v>
      </c>
      <c r="M483" t="s">
        <v>482</v>
      </c>
      <c r="N483" t="s">
        <v>1121</v>
      </c>
      <c r="O483">
        <v>1</v>
      </c>
      <c r="P483">
        <v>4</v>
      </c>
      <c r="Q483">
        <v>111.2</v>
      </c>
      <c r="R483">
        <v>1</v>
      </c>
      <c r="S483">
        <v>111.2</v>
      </c>
    </row>
    <row r="484" spans="12:19">
      <c r="L484" t="s">
        <v>438</v>
      </c>
      <c r="M484" t="s">
        <v>482</v>
      </c>
      <c r="N484" t="s">
        <v>1115</v>
      </c>
      <c r="O484">
        <v>1</v>
      </c>
      <c r="P484">
        <v>10</v>
      </c>
      <c r="Q484">
        <v>77.5</v>
      </c>
      <c r="R484">
        <v>1</v>
      </c>
      <c r="S484">
        <v>77.5</v>
      </c>
    </row>
  </sheetData>
  <mergeCells count="2">
    <mergeCell ref="A2:J21"/>
    <mergeCell ref="A1:J1"/>
  </mergeCells>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289E1-A9AA-483D-AD29-7B91F79E5C77}">
  <dimension ref="A1:H90"/>
  <sheetViews>
    <sheetView workbookViewId="0">
      <selection activeCell="J7" sqref="J7"/>
    </sheetView>
  </sheetViews>
  <sheetFormatPr baseColWidth="10" defaultColWidth="8.83203125" defaultRowHeight="13"/>
  <cols>
    <col min="1" max="1" width="13.6640625" bestFit="1" customWidth="1"/>
    <col min="2" max="2" width="31.5" bestFit="1" customWidth="1"/>
    <col min="3" max="3" width="10.5" bestFit="1" customWidth="1"/>
    <col min="4" max="4" width="14" bestFit="1" customWidth="1"/>
    <col min="5" max="5" width="27.83203125" bestFit="1" customWidth="1"/>
    <col min="6" max="6" width="16.5" bestFit="1" customWidth="1"/>
    <col min="7" max="7" width="17" bestFit="1" customWidth="1"/>
    <col min="8" max="8" width="24.5" bestFit="1" customWidth="1"/>
  </cols>
  <sheetData>
    <row r="1" spans="1:8">
      <c r="A1" t="s">
        <v>381</v>
      </c>
      <c r="B1" t="s">
        <v>1</v>
      </c>
      <c r="C1" t="s">
        <v>8</v>
      </c>
      <c r="D1" t="s">
        <v>1131</v>
      </c>
      <c r="E1" t="s">
        <v>1232</v>
      </c>
      <c r="F1" t="s">
        <v>1233</v>
      </c>
      <c r="G1" t="s">
        <v>1234</v>
      </c>
      <c r="H1" t="s">
        <v>1235</v>
      </c>
    </row>
    <row r="2" spans="1:8">
      <c r="A2" t="s">
        <v>444</v>
      </c>
      <c r="B2" t="s">
        <v>445</v>
      </c>
      <c r="C2" t="s">
        <v>448</v>
      </c>
      <c r="D2">
        <v>1</v>
      </c>
      <c r="E2" t="s">
        <v>1236</v>
      </c>
      <c r="F2" t="s">
        <v>1236</v>
      </c>
      <c r="G2" t="s">
        <v>1236</v>
      </c>
      <c r="H2" t="s">
        <v>1237</v>
      </c>
    </row>
    <row r="3" spans="1:8">
      <c r="A3" t="s">
        <v>772</v>
      </c>
      <c r="B3" t="s">
        <v>773</v>
      </c>
      <c r="C3" t="s">
        <v>140</v>
      </c>
      <c r="D3">
        <v>4</v>
      </c>
      <c r="E3" t="s">
        <v>1238</v>
      </c>
      <c r="F3" t="s">
        <v>1239</v>
      </c>
      <c r="G3" t="s">
        <v>1240</v>
      </c>
      <c r="H3" t="s">
        <v>1241</v>
      </c>
    </row>
    <row r="4" spans="1:8">
      <c r="A4" t="s">
        <v>593</v>
      </c>
      <c r="B4" t="s">
        <v>594</v>
      </c>
      <c r="C4" t="s">
        <v>26</v>
      </c>
      <c r="D4">
        <v>28</v>
      </c>
      <c r="E4" t="s">
        <v>1242</v>
      </c>
      <c r="F4" t="s">
        <v>1239</v>
      </c>
      <c r="G4" t="s">
        <v>1243</v>
      </c>
      <c r="H4" t="s">
        <v>1241</v>
      </c>
    </row>
    <row r="5" spans="1:8">
      <c r="A5" t="s">
        <v>494</v>
      </c>
      <c r="B5" t="s">
        <v>495</v>
      </c>
      <c r="C5" t="s">
        <v>93</v>
      </c>
      <c r="D5">
        <v>27</v>
      </c>
      <c r="E5" t="s">
        <v>1244</v>
      </c>
      <c r="F5" t="s">
        <v>1183</v>
      </c>
      <c r="G5" t="s">
        <v>1245</v>
      </c>
      <c r="H5" t="s">
        <v>1241</v>
      </c>
    </row>
    <row r="6" spans="1:8">
      <c r="A6" t="s">
        <v>439</v>
      </c>
      <c r="B6" t="s">
        <v>440</v>
      </c>
      <c r="C6" t="s">
        <v>443</v>
      </c>
      <c r="D6">
        <v>27</v>
      </c>
      <c r="E6" t="s">
        <v>1246</v>
      </c>
      <c r="F6" t="s">
        <v>1183</v>
      </c>
      <c r="G6" t="s">
        <v>1247</v>
      </c>
      <c r="H6" t="s">
        <v>1241</v>
      </c>
    </row>
    <row r="7" spans="1:8">
      <c r="A7" t="s">
        <v>610</v>
      </c>
      <c r="B7" t="s">
        <v>1142</v>
      </c>
      <c r="C7" t="s">
        <v>192</v>
      </c>
      <c r="D7">
        <v>13</v>
      </c>
      <c r="E7" t="s">
        <v>1248</v>
      </c>
      <c r="F7" t="s">
        <v>1249</v>
      </c>
      <c r="G7" t="s">
        <v>1250</v>
      </c>
      <c r="H7" t="s">
        <v>1251</v>
      </c>
    </row>
    <row r="8" spans="1:8">
      <c r="A8" t="s">
        <v>509</v>
      </c>
      <c r="B8" t="s">
        <v>1147</v>
      </c>
      <c r="C8" t="s">
        <v>79</v>
      </c>
      <c r="D8">
        <v>18</v>
      </c>
      <c r="E8" t="s">
        <v>1252</v>
      </c>
      <c r="F8" t="s">
        <v>1183</v>
      </c>
      <c r="G8" t="s">
        <v>1253</v>
      </c>
      <c r="H8" t="s">
        <v>1251</v>
      </c>
    </row>
    <row r="9" spans="1:8">
      <c r="A9" t="s">
        <v>547</v>
      </c>
      <c r="B9" t="s">
        <v>548</v>
      </c>
      <c r="C9" t="s">
        <v>552</v>
      </c>
      <c r="D9">
        <v>18</v>
      </c>
      <c r="E9" t="s">
        <v>1254</v>
      </c>
      <c r="F9" t="s">
        <v>1255</v>
      </c>
      <c r="G9" t="s">
        <v>1256</v>
      </c>
      <c r="H9" t="s">
        <v>1251</v>
      </c>
    </row>
    <row r="10" spans="1:8">
      <c r="A10" t="s">
        <v>606</v>
      </c>
      <c r="B10" t="s">
        <v>607</v>
      </c>
      <c r="C10" t="s">
        <v>140</v>
      </c>
      <c r="D10">
        <v>16</v>
      </c>
      <c r="E10" t="s">
        <v>1257</v>
      </c>
      <c r="F10" t="s">
        <v>1183</v>
      </c>
      <c r="G10" t="s">
        <v>1258</v>
      </c>
      <c r="H10" t="s">
        <v>1251</v>
      </c>
    </row>
    <row r="11" spans="1:8">
      <c r="A11" t="s">
        <v>462</v>
      </c>
      <c r="B11" t="s">
        <v>1144</v>
      </c>
      <c r="C11" t="s">
        <v>79</v>
      </c>
      <c r="D11">
        <v>18</v>
      </c>
      <c r="E11" t="s">
        <v>1259</v>
      </c>
      <c r="F11" t="s">
        <v>1183</v>
      </c>
      <c r="G11" t="s">
        <v>1260</v>
      </c>
      <c r="H11" t="s">
        <v>1251</v>
      </c>
    </row>
    <row r="12" spans="1:8">
      <c r="A12" t="s">
        <v>433</v>
      </c>
      <c r="B12" t="s">
        <v>1152</v>
      </c>
      <c r="C12" t="s">
        <v>438</v>
      </c>
      <c r="D12">
        <v>17</v>
      </c>
      <c r="E12" t="s">
        <v>1261</v>
      </c>
      <c r="F12" t="s">
        <v>1183</v>
      </c>
      <c r="G12" t="s">
        <v>1262</v>
      </c>
      <c r="H12" t="s">
        <v>1251</v>
      </c>
    </row>
    <row r="13" spans="1:8">
      <c r="A13" t="s">
        <v>457</v>
      </c>
      <c r="B13" t="s">
        <v>458</v>
      </c>
      <c r="C13" t="s">
        <v>26</v>
      </c>
      <c r="D13">
        <v>17</v>
      </c>
      <c r="E13">
        <v>38.9</v>
      </c>
      <c r="F13" t="s">
        <v>1263</v>
      </c>
      <c r="G13" t="s">
        <v>1264</v>
      </c>
      <c r="H13" t="s">
        <v>1251</v>
      </c>
    </row>
    <row r="14" spans="1:8">
      <c r="A14" t="s">
        <v>471</v>
      </c>
      <c r="B14" t="s">
        <v>472</v>
      </c>
      <c r="C14" t="s">
        <v>176</v>
      </c>
      <c r="D14">
        <v>14</v>
      </c>
      <c r="E14" t="s">
        <v>1265</v>
      </c>
      <c r="F14" t="s">
        <v>1249</v>
      </c>
      <c r="G14" t="s">
        <v>1266</v>
      </c>
      <c r="H14" t="s">
        <v>1251</v>
      </c>
    </row>
    <row r="15" spans="1:8">
      <c r="A15" t="s">
        <v>624</v>
      </c>
      <c r="B15" t="s">
        <v>625</v>
      </c>
      <c r="C15" t="s">
        <v>140</v>
      </c>
      <c r="D15">
        <v>13</v>
      </c>
      <c r="E15" t="s">
        <v>1267</v>
      </c>
      <c r="F15" t="s">
        <v>1255</v>
      </c>
      <c r="G15" t="s">
        <v>1268</v>
      </c>
      <c r="H15" t="s">
        <v>1251</v>
      </c>
    </row>
    <row r="16" spans="1:8">
      <c r="A16" t="s">
        <v>589</v>
      </c>
      <c r="B16" t="s">
        <v>1146</v>
      </c>
      <c r="C16" t="s">
        <v>93</v>
      </c>
      <c r="D16">
        <v>13</v>
      </c>
      <c r="E16" t="s">
        <v>1269</v>
      </c>
      <c r="F16" t="s">
        <v>1239</v>
      </c>
      <c r="G16" t="s">
        <v>1270</v>
      </c>
      <c r="H16" t="s">
        <v>1251</v>
      </c>
    </row>
    <row r="17" spans="1:8">
      <c r="A17" t="s">
        <v>753</v>
      </c>
      <c r="B17" t="s">
        <v>754</v>
      </c>
      <c r="C17" t="s">
        <v>176</v>
      </c>
      <c r="D17">
        <v>7</v>
      </c>
      <c r="E17" t="s">
        <v>1271</v>
      </c>
      <c r="F17" t="s">
        <v>1272</v>
      </c>
      <c r="G17" t="s">
        <v>1273</v>
      </c>
      <c r="H17" t="s">
        <v>1251</v>
      </c>
    </row>
    <row r="18" spans="1:8">
      <c r="A18" t="s">
        <v>735</v>
      </c>
      <c r="B18" t="s">
        <v>736</v>
      </c>
      <c r="C18" t="s">
        <v>26</v>
      </c>
      <c r="D18">
        <v>9</v>
      </c>
      <c r="E18" t="s">
        <v>1274</v>
      </c>
      <c r="F18" t="s">
        <v>1239</v>
      </c>
      <c r="G18" t="s">
        <v>1275</v>
      </c>
      <c r="H18" t="s">
        <v>1251</v>
      </c>
    </row>
    <row r="19" spans="1:8">
      <c r="A19" t="s">
        <v>661</v>
      </c>
      <c r="B19" t="s">
        <v>662</v>
      </c>
      <c r="C19" t="s">
        <v>86</v>
      </c>
      <c r="D19">
        <v>12</v>
      </c>
      <c r="E19" t="s">
        <v>1276</v>
      </c>
      <c r="F19" t="s">
        <v>1183</v>
      </c>
      <c r="G19" t="s">
        <v>1277</v>
      </c>
      <c r="H19" t="s">
        <v>1251</v>
      </c>
    </row>
    <row r="20" spans="1:8">
      <c r="A20" t="s">
        <v>514</v>
      </c>
      <c r="B20" t="s">
        <v>515</v>
      </c>
      <c r="C20" t="s">
        <v>93</v>
      </c>
      <c r="D20">
        <v>14</v>
      </c>
      <c r="E20" t="s">
        <v>1278</v>
      </c>
      <c r="F20" t="s">
        <v>1183</v>
      </c>
      <c r="G20" t="s">
        <v>1279</v>
      </c>
      <c r="H20" t="s">
        <v>1251</v>
      </c>
    </row>
    <row r="21" spans="1:8">
      <c r="A21" t="s">
        <v>632</v>
      </c>
      <c r="B21" t="s">
        <v>633</v>
      </c>
      <c r="C21" t="s">
        <v>18</v>
      </c>
      <c r="D21">
        <v>12</v>
      </c>
      <c r="E21" t="s">
        <v>1280</v>
      </c>
      <c r="F21" t="s">
        <v>1249</v>
      </c>
      <c r="G21" t="s">
        <v>1281</v>
      </c>
      <c r="H21" t="s">
        <v>1251</v>
      </c>
    </row>
    <row r="22" spans="1:8">
      <c r="A22" t="s">
        <v>475</v>
      </c>
      <c r="B22" t="s">
        <v>476</v>
      </c>
      <c r="C22" t="s">
        <v>93</v>
      </c>
      <c r="D22">
        <v>14</v>
      </c>
      <c r="E22" t="s">
        <v>1282</v>
      </c>
      <c r="F22" t="s">
        <v>1249</v>
      </c>
      <c r="G22" t="s">
        <v>1283</v>
      </c>
      <c r="H22" t="s">
        <v>1251</v>
      </c>
    </row>
    <row r="23" spans="1:8">
      <c r="A23" t="s">
        <v>679</v>
      </c>
      <c r="B23" t="s">
        <v>680</v>
      </c>
      <c r="C23" t="s">
        <v>192</v>
      </c>
      <c r="D23">
        <v>11</v>
      </c>
      <c r="E23" t="s">
        <v>1284</v>
      </c>
      <c r="F23" t="s">
        <v>1239</v>
      </c>
      <c r="G23" t="s">
        <v>1285</v>
      </c>
      <c r="H23" t="s">
        <v>1251</v>
      </c>
    </row>
    <row r="24" spans="1:8">
      <c r="A24" t="s">
        <v>553</v>
      </c>
      <c r="B24" t="s">
        <v>554</v>
      </c>
      <c r="C24" t="s">
        <v>93</v>
      </c>
      <c r="D24">
        <v>9</v>
      </c>
      <c r="E24" t="s">
        <v>1286</v>
      </c>
      <c r="F24" t="s">
        <v>1255</v>
      </c>
      <c r="G24" t="s">
        <v>1279</v>
      </c>
      <c r="H24" t="s">
        <v>1251</v>
      </c>
    </row>
    <row r="25" spans="1:8">
      <c r="A25" t="s">
        <v>685</v>
      </c>
      <c r="B25" t="s">
        <v>686</v>
      </c>
      <c r="C25" t="s">
        <v>438</v>
      </c>
      <c r="D25">
        <v>10</v>
      </c>
      <c r="E25" t="s">
        <v>1287</v>
      </c>
      <c r="F25" t="s">
        <v>1239</v>
      </c>
      <c r="G25" t="s">
        <v>1288</v>
      </c>
      <c r="H25" t="s">
        <v>1251</v>
      </c>
    </row>
    <row r="26" spans="1:8">
      <c r="A26" t="s">
        <v>657</v>
      </c>
      <c r="B26" t="s">
        <v>658</v>
      </c>
      <c r="C26" t="s">
        <v>161</v>
      </c>
      <c r="D26">
        <v>11</v>
      </c>
      <c r="E26" t="s">
        <v>1289</v>
      </c>
      <c r="F26" t="s">
        <v>1290</v>
      </c>
      <c r="G26" t="s">
        <v>1253</v>
      </c>
      <c r="H26" t="s">
        <v>1251</v>
      </c>
    </row>
    <row r="27" spans="1:8">
      <c r="A27" t="s">
        <v>762</v>
      </c>
      <c r="B27" t="s">
        <v>763</v>
      </c>
      <c r="C27" t="s">
        <v>93</v>
      </c>
      <c r="D27">
        <v>5</v>
      </c>
      <c r="E27" t="s">
        <v>1291</v>
      </c>
      <c r="F27" t="s">
        <v>1292</v>
      </c>
      <c r="G27" t="s">
        <v>1266</v>
      </c>
      <c r="H27" t="s">
        <v>1251</v>
      </c>
    </row>
    <row r="28" spans="1:8">
      <c r="A28" t="s">
        <v>484</v>
      </c>
      <c r="B28" t="s">
        <v>485</v>
      </c>
      <c r="C28" t="s">
        <v>26</v>
      </c>
      <c r="D28">
        <v>12</v>
      </c>
      <c r="E28" t="s">
        <v>1293</v>
      </c>
      <c r="F28" t="s">
        <v>1263</v>
      </c>
      <c r="G28" t="s">
        <v>1294</v>
      </c>
      <c r="H28" t="s">
        <v>1251</v>
      </c>
    </row>
    <row r="29" spans="1:8">
      <c r="A29" t="s">
        <v>467</v>
      </c>
      <c r="B29" t="s">
        <v>1154</v>
      </c>
      <c r="C29" t="s">
        <v>140</v>
      </c>
      <c r="D29">
        <v>11</v>
      </c>
      <c r="E29" t="s">
        <v>1295</v>
      </c>
      <c r="F29" t="s">
        <v>1255</v>
      </c>
      <c r="G29" t="s">
        <v>1247</v>
      </c>
      <c r="H29" t="s">
        <v>1251</v>
      </c>
    </row>
    <row r="30" spans="1:8">
      <c r="A30" t="s">
        <v>522</v>
      </c>
      <c r="B30" t="s">
        <v>523</v>
      </c>
      <c r="C30" t="s">
        <v>438</v>
      </c>
      <c r="D30">
        <v>12</v>
      </c>
      <c r="E30" t="s">
        <v>1296</v>
      </c>
      <c r="F30" t="s">
        <v>1297</v>
      </c>
      <c r="G30" t="s">
        <v>1298</v>
      </c>
      <c r="H30" t="s">
        <v>1251</v>
      </c>
    </row>
    <row r="31" spans="1:8">
      <c r="A31" t="s">
        <v>628</v>
      </c>
      <c r="B31" t="s">
        <v>629</v>
      </c>
      <c r="C31" t="s">
        <v>443</v>
      </c>
      <c r="D31">
        <v>9</v>
      </c>
      <c r="E31" t="s">
        <v>1299</v>
      </c>
      <c r="F31" t="s">
        <v>1300</v>
      </c>
      <c r="G31" t="s">
        <v>1301</v>
      </c>
      <c r="H31" t="s">
        <v>1251</v>
      </c>
    </row>
    <row r="32" spans="1:8">
      <c r="A32" t="s">
        <v>638</v>
      </c>
      <c r="B32" t="s">
        <v>639</v>
      </c>
      <c r="C32" t="s">
        <v>18</v>
      </c>
      <c r="D32">
        <v>9</v>
      </c>
      <c r="E32" t="s">
        <v>1302</v>
      </c>
      <c r="F32" t="s">
        <v>1272</v>
      </c>
      <c r="G32" t="s">
        <v>1303</v>
      </c>
      <c r="H32" t="s">
        <v>1251</v>
      </c>
    </row>
    <row r="33" spans="1:8">
      <c r="A33" t="s">
        <v>739</v>
      </c>
      <c r="B33" t="s">
        <v>740</v>
      </c>
      <c r="C33" t="s">
        <v>417</v>
      </c>
      <c r="D33">
        <v>7</v>
      </c>
      <c r="E33" t="s">
        <v>1304</v>
      </c>
      <c r="F33" t="s">
        <v>1263</v>
      </c>
      <c r="G33" t="s">
        <v>1305</v>
      </c>
      <c r="H33" t="s">
        <v>1251</v>
      </c>
    </row>
    <row r="34" spans="1:8">
      <c r="A34" t="s">
        <v>402</v>
      </c>
      <c r="B34" t="s">
        <v>403</v>
      </c>
      <c r="C34" t="s">
        <v>86</v>
      </c>
      <c r="D34">
        <v>12</v>
      </c>
      <c r="E34" t="s">
        <v>1306</v>
      </c>
      <c r="F34" t="s">
        <v>1183</v>
      </c>
      <c r="G34" t="s">
        <v>1307</v>
      </c>
      <c r="H34" t="s">
        <v>1251</v>
      </c>
    </row>
    <row r="35" spans="1:8">
      <c r="A35" t="s">
        <v>580</v>
      </c>
      <c r="B35" t="s">
        <v>581</v>
      </c>
      <c r="C35" t="s">
        <v>18</v>
      </c>
      <c r="D35">
        <v>10</v>
      </c>
      <c r="E35" t="s">
        <v>1308</v>
      </c>
      <c r="F35" t="s">
        <v>1263</v>
      </c>
      <c r="G35" t="s">
        <v>1309</v>
      </c>
      <c r="H35" t="s">
        <v>1251</v>
      </c>
    </row>
    <row r="36" spans="1:8">
      <c r="A36" t="s">
        <v>527</v>
      </c>
      <c r="B36" t="s">
        <v>528</v>
      </c>
      <c r="C36" t="s">
        <v>86</v>
      </c>
      <c r="D36">
        <v>10</v>
      </c>
      <c r="E36" t="s">
        <v>1310</v>
      </c>
      <c r="F36" t="s">
        <v>1311</v>
      </c>
      <c r="G36" t="s">
        <v>1309</v>
      </c>
      <c r="H36" t="s">
        <v>1251</v>
      </c>
    </row>
    <row r="37" spans="1:8">
      <c r="A37" t="s">
        <v>620</v>
      </c>
      <c r="B37" t="s">
        <v>621</v>
      </c>
      <c r="C37" t="s">
        <v>86</v>
      </c>
      <c r="D37">
        <v>7</v>
      </c>
      <c r="E37" t="s">
        <v>1312</v>
      </c>
      <c r="F37" t="s">
        <v>1313</v>
      </c>
      <c r="G37" t="s">
        <v>1314</v>
      </c>
      <c r="H37" t="s">
        <v>1251</v>
      </c>
    </row>
    <row r="38" spans="1:8">
      <c r="A38" t="s">
        <v>703</v>
      </c>
      <c r="B38" t="s">
        <v>704</v>
      </c>
      <c r="C38" t="s">
        <v>86</v>
      </c>
      <c r="D38">
        <v>8</v>
      </c>
      <c r="E38" t="s">
        <v>1315</v>
      </c>
      <c r="F38" t="s">
        <v>1255</v>
      </c>
      <c r="G38" t="s">
        <v>1316</v>
      </c>
      <c r="H38" t="s">
        <v>1251</v>
      </c>
    </row>
    <row r="39" spans="1:8">
      <c r="A39" t="s">
        <v>715</v>
      </c>
      <c r="B39" t="s">
        <v>716</v>
      </c>
      <c r="C39" t="s">
        <v>26</v>
      </c>
      <c r="D39">
        <v>2</v>
      </c>
      <c r="E39" t="s">
        <v>1317</v>
      </c>
      <c r="F39" t="s">
        <v>1318</v>
      </c>
      <c r="G39" t="s">
        <v>1318</v>
      </c>
      <c r="H39" t="s">
        <v>1251</v>
      </c>
    </row>
    <row r="40" spans="1:8">
      <c r="A40" t="s">
        <v>408</v>
      </c>
      <c r="B40" t="s">
        <v>409</v>
      </c>
      <c r="C40" t="s">
        <v>140</v>
      </c>
      <c r="D40">
        <v>10</v>
      </c>
      <c r="E40" t="s">
        <v>1319</v>
      </c>
      <c r="F40" t="s">
        <v>1263</v>
      </c>
      <c r="G40" t="s">
        <v>1320</v>
      </c>
      <c r="H40" t="s">
        <v>1251</v>
      </c>
    </row>
    <row r="41" spans="1:8">
      <c r="A41" t="s">
        <v>531</v>
      </c>
      <c r="B41" t="s">
        <v>532</v>
      </c>
      <c r="C41" t="s">
        <v>113</v>
      </c>
      <c r="D41">
        <v>10</v>
      </c>
      <c r="E41" t="s">
        <v>1321</v>
      </c>
      <c r="F41" t="s">
        <v>1322</v>
      </c>
      <c r="G41" t="s">
        <v>1323</v>
      </c>
      <c r="H41" t="s">
        <v>1251</v>
      </c>
    </row>
    <row r="42" spans="1:8">
      <c r="A42" t="s">
        <v>769</v>
      </c>
      <c r="B42" t="s">
        <v>1173</v>
      </c>
      <c r="C42" t="s">
        <v>140</v>
      </c>
      <c r="D42">
        <v>3</v>
      </c>
      <c r="E42" t="s">
        <v>1324</v>
      </c>
      <c r="F42" t="s">
        <v>1325</v>
      </c>
      <c r="G42" t="s">
        <v>1326</v>
      </c>
      <c r="H42" t="s">
        <v>1251</v>
      </c>
    </row>
    <row r="43" spans="1:8">
      <c r="A43" t="s">
        <v>498</v>
      </c>
      <c r="B43" t="s">
        <v>499</v>
      </c>
      <c r="C43" t="s">
        <v>113</v>
      </c>
      <c r="D43">
        <v>10</v>
      </c>
      <c r="E43" t="s">
        <v>1327</v>
      </c>
      <c r="F43" t="s">
        <v>1328</v>
      </c>
      <c r="G43" t="s">
        <v>1329</v>
      </c>
      <c r="H43" t="s">
        <v>1251</v>
      </c>
    </row>
    <row r="44" spans="1:8">
      <c r="A44" t="s">
        <v>412</v>
      </c>
      <c r="B44" t="s">
        <v>1151</v>
      </c>
      <c r="C44" t="s">
        <v>417</v>
      </c>
      <c r="D44">
        <v>10</v>
      </c>
      <c r="E44" t="s">
        <v>1330</v>
      </c>
      <c r="F44" t="s">
        <v>1263</v>
      </c>
      <c r="G44" t="s">
        <v>1331</v>
      </c>
      <c r="H44" t="s">
        <v>1251</v>
      </c>
    </row>
    <row r="45" spans="1:8">
      <c r="A45" t="s">
        <v>724</v>
      </c>
      <c r="B45" t="s">
        <v>725</v>
      </c>
      <c r="C45" t="s">
        <v>93</v>
      </c>
      <c r="D45">
        <v>6</v>
      </c>
      <c r="E45" t="s">
        <v>1332</v>
      </c>
      <c r="F45" t="s">
        <v>1333</v>
      </c>
      <c r="G45" t="s">
        <v>1334</v>
      </c>
      <c r="H45" t="s">
        <v>1251</v>
      </c>
    </row>
    <row r="46" spans="1:8">
      <c r="A46" t="s">
        <v>671</v>
      </c>
      <c r="B46" t="s">
        <v>672</v>
      </c>
      <c r="C46" t="s">
        <v>26</v>
      </c>
      <c r="D46">
        <v>5</v>
      </c>
      <c r="E46" t="s">
        <v>1335</v>
      </c>
      <c r="F46" t="s">
        <v>1336</v>
      </c>
      <c r="G46" t="s">
        <v>1334</v>
      </c>
      <c r="H46" t="s">
        <v>1251</v>
      </c>
    </row>
    <row r="47" spans="1:8">
      <c r="A47" t="s">
        <v>561</v>
      </c>
      <c r="B47" t="s">
        <v>562</v>
      </c>
      <c r="C47" t="s">
        <v>26</v>
      </c>
      <c r="D47">
        <v>9</v>
      </c>
      <c r="E47" t="s">
        <v>1337</v>
      </c>
      <c r="F47" t="s">
        <v>1338</v>
      </c>
      <c r="G47" t="s">
        <v>1339</v>
      </c>
      <c r="H47" t="s">
        <v>1251</v>
      </c>
    </row>
    <row r="48" spans="1:8">
      <c r="A48" t="s">
        <v>535</v>
      </c>
      <c r="B48" t="s">
        <v>536</v>
      </c>
      <c r="C48" t="s">
        <v>18</v>
      </c>
      <c r="D48">
        <v>9</v>
      </c>
      <c r="E48" t="s">
        <v>1340</v>
      </c>
      <c r="F48" t="s">
        <v>1183</v>
      </c>
      <c r="G48" t="s">
        <v>1341</v>
      </c>
      <c r="H48" t="s">
        <v>1251</v>
      </c>
    </row>
    <row r="49" spans="1:8">
      <c r="A49" t="s">
        <v>502</v>
      </c>
      <c r="B49" t="s">
        <v>503</v>
      </c>
      <c r="C49" t="s">
        <v>448</v>
      </c>
      <c r="D49">
        <v>9</v>
      </c>
      <c r="E49" t="s">
        <v>1342</v>
      </c>
      <c r="F49" t="s">
        <v>1311</v>
      </c>
      <c r="G49" t="s">
        <v>1343</v>
      </c>
      <c r="H49" t="s">
        <v>1251</v>
      </c>
    </row>
    <row r="50" spans="1:8">
      <c r="A50" t="s">
        <v>650</v>
      </c>
      <c r="B50" t="s">
        <v>1163</v>
      </c>
      <c r="C50" t="s">
        <v>448</v>
      </c>
      <c r="D50">
        <v>7</v>
      </c>
      <c r="E50" t="s">
        <v>1344</v>
      </c>
      <c r="F50" t="s">
        <v>1249</v>
      </c>
      <c r="G50" t="s">
        <v>1270</v>
      </c>
      <c r="H50" t="s">
        <v>1251</v>
      </c>
    </row>
    <row r="51" spans="1:8">
      <c r="A51" t="s">
        <v>601</v>
      </c>
      <c r="B51" t="s">
        <v>602</v>
      </c>
      <c r="C51" t="s">
        <v>605</v>
      </c>
      <c r="D51">
        <v>8</v>
      </c>
      <c r="E51" t="s">
        <v>1345</v>
      </c>
      <c r="F51" t="s">
        <v>1313</v>
      </c>
      <c r="G51" t="s">
        <v>1346</v>
      </c>
      <c r="H51" t="s">
        <v>1251</v>
      </c>
    </row>
    <row r="52" spans="1:8">
      <c r="A52" t="s">
        <v>489</v>
      </c>
      <c r="B52" t="s">
        <v>490</v>
      </c>
      <c r="C52" t="s">
        <v>26</v>
      </c>
      <c r="D52">
        <v>9</v>
      </c>
      <c r="E52" t="s">
        <v>1347</v>
      </c>
      <c r="F52" t="s">
        <v>1348</v>
      </c>
      <c r="G52" t="s">
        <v>1349</v>
      </c>
      <c r="H52" t="s">
        <v>1251</v>
      </c>
    </row>
    <row r="53" spans="1:8">
      <c r="A53" t="s">
        <v>427</v>
      </c>
      <c r="B53" t="s">
        <v>428</v>
      </c>
      <c r="C53" t="s">
        <v>86</v>
      </c>
      <c r="D53">
        <v>9</v>
      </c>
      <c r="E53" t="s">
        <v>1350</v>
      </c>
      <c r="F53" t="s">
        <v>1263</v>
      </c>
      <c r="G53" t="s">
        <v>1346</v>
      </c>
      <c r="H53" t="s">
        <v>1251</v>
      </c>
    </row>
    <row r="54" spans="1:8">
      <c r="A54" t="s">
        <v>748</v>
      </c>
      <c r="B54" t="s">
        <v>749</v>
      </c>
      <c r="C54" t="s">
        <v>26</v>
      </c>
      <c r="D54">
        <v>4</v>
      </c>
      <c r="E54" t="s">
        <v>1351</v>
      </c>
      <c r="F54" t="s">
        <v>1311</v>
      </c>
      <c r="G54" t="s">
        <v>1253</v>
      </c>
      <c r="H54" t="s">
        <v>1251</v>
      </c>
    </row>
    <row r="55" spans="1:8">
      <c r="A55" t="s">
        <v>453</v>
      </c>
      <c r="B55" t="s">
        <v>1165</v>
      </c>
      <c r="C55" t="s">
        <v>86</v>
      </c>
      <c r="D55">
        <v>9</v>
      </c>
      <c r="E55" t="s">
        <v>1352</v>
      </c>
      <c r="F55" t="s">
        <v>1353</v>
      </c>
      <c r="G55" t="s">
        <v>1354</v>
      </c>
      <c r="H55" t="s">
        <v>1251</v>
      </c>
    </row>
    <row r="56" spans="1:8">
      <c r="A56" t="s">
        <v>449</v>
      </c>
      <c r="B56" t="s">
        <v>1159</v>
      </c>
      <c r="C56" t="s">
        <v>93</v>
      </c>
      <c r="D56">
        <v>9</v>
      </c>
      <c r="E56" t="s">
        <v>1355</v>
      </c>
      <c r="F56" t="s">
        <v>1313</v>
      </c>
      <c r="G56" t="s">
        <v>1356</v>
      </c>
      <c r="H56" t="s">
        <v>1251</v>
      </c>
    </row>
    <row r="57" spans="1:8">
      <c r="A57" t="s">
        <v>557</v>
      </c>
      <c r="B57" t="s">
        <v>1161</v>
      </c>
      <c r="C57" t="s">
        <v>50</v>
      </c>
      <c r="D57">
        <v>8</v>
      </c>
      <c r="E57" t="s">
        <v>1357</v>
      </c>
      <c r="F57" t="s">
        <v>1183</v>
      </c>
      <c r="G57" t="s">
        <v>1358</v>
      </c>
      <c r="H57" t="s">
        <v>1251</v>
      </c>
    </row>
    <row r="58" spans="1:8">
      <c r="A58" t="s">
        <v>732</v>
      </c>
      <c r="B58" t="s">
        <v>733</v>
      </c>
      <c r="C58" t="s">
        <v>698</v>
      </c>
      <c r="D58">
        <v>5</v>
      </c>
      <c r="E58" t="s">
        <v>1359</v>
      </c>
      <c r="F58" t="s">
        <v>1360</v>
      </c>
      <c r="G58" t="s">
        <v>1361</v>
      </c>
      <c r="H58" t="s">
        <v>1251</v>
      </c>
    </row>
    <row r="59" spans="1:8">
      <c r="A59" t="s">
        <v>616</v>
      </c>
      <c r="B59" t="s">
        <v>617</v>
      </c>
      <c r="C59" t="s">
        <v>161</v>
      </c>
      <c r="D59">
        <v>6</v>
      </c>
      <c r="E59" t="s">
        <v>1362</v>
      </c>
      <c r="F59" t="s">
        <v>1363</v>
      </c>
      <c r="G59" t="s">
        <v>1364</v>
      </c>
      <c r="H59" t="s">
        <v>1251</v>
      </c>
    </row>
    <row r="60" spans="1:8">
      <c r="A60" t="s">
        <v>566</v>
      </c>
      <c r="B60" t="s">
        <v>567</v>
      </c>
      <c r="C60" t="s">
        <v>26</v>
      </c>
      <c r="D60">
        <v>7</v>
      </c>
      <c r="E60" t="s">
        <v>1365</v>
      </c>
      <c r="F60" t="s">
        <v>1263</v>
      </c>
      <c r="G60" t="s">
        <v>1366</v>
      </c>
      <c r="H60" t="s">
        <v>1251</v>
      </c>
    </row>
    <row r="61" spans="1:8">
      <c r="A61" t="s">
        <v>690</v>
      </c>
      <c r="B61" t="s">
        <v>691</v>
      </c>
      <c r="C61" t="s">
        <v>140</v>
      </c>
      <c r="D61">
        <v>5</v>
      </c>
      <c r="E61" t="s">
        <v>1367</v>
      </c>
      <c r="F61" t="s">
        <v>1336</v>
      </c>
      <c r="G61" t="s">
        <v>1288</v>
      </c>
      <c r="H61" t="s">
        <v>1251</v>
      </c>
    </row>
    <row r="62" spans="1:8">
      <c r="A62" t="s">
        <v>423</v>
      </c>
      <c r="B62" t="s">
        <v>424</v>
      </c>
      <c r="C62" t="s">
        <v>422</v>
      </c>
      <c r="D62">
        <v>8</v>
      </c>
      <c r="E62" t="s">
        <v>1368</v>
      </c>
      <c r="F62" t="s">
        <v>1272</v>
      </c>
      <c r="G62" t="s">
        <v>1369</v>
      </c>
      <c r="H62" t="s">
        <v>1251</v>
      </c>
    </row>
    <row r="63" spans="1:8">
      <c r="A63" t="s">
        <v>765</v>
      </c>
      <c r="B63" t="s">
        <v>766</v>
      </c>
      <c r="C63" t="s">
        <v>140</v>
      </c>
      <c r="D63">
        <v>3</v>
      </c>
      <c r="E63" t="s">
        <v>1370</v>
      </c>
      <c r="F63" t="s">
        <v>1371</v>
      </c>
      <c r="G63" t="s">
        <v>1281</v>
      </c>
      <c r="H63" t="s">
        <v>1372</v>
      </c>
    </row>
    <row r="64" spans="1:8">
      <c r="A64" t="s">
        <v>665</v>
      </c>
      <c r="B64" t="s">
        <v>1110</v>
      </c>
      <c r="C64" t="s">
        <v>670</v>
      </c>
      <c r="D64">
        <v>6</v>
      </c>
      <c r="E64" t="s">
        <v>1373</v>
      </c>
      <c r="F64" t="s">
        <v>1360</v>
      </c>
      <c r="G64" t="s">
        <v>1361</v>
      </c>
      <c r="H64" t="s">
        <v>1372</v>
      </c>
    </row>
    <row r="65" spans="1:8">
      <c r="A65" t="s">
        <v>744</v>
      </c>
      <c r="B65" t="s">
        <v>745</v>
      </c>
      <c r="C65" t="s">
        <v>26</v>
      </c>
      <c r="D65">
        <v>3</v>
      </c>
      <c r="E65" t="s">
        <v>1374</v>
      </c>
      <c r="F65" t="s">
        <v>1272</v>
      </c>
      <c r="G65" t="s">
        <v>1375</v>
      </c>
      <c r="H65" t="s">
        <v>1372</v>
      </c>
    </row>
    <row r="66" spans="1:8">
      <c r="A66" t="s">
        <v>543</v>
      </c>
      <c r="B66" t="s">
        <v>1164</v>
      </c>
      <c r="C66" t="s">
        <v>86</v>
      </c>
      <c r="D66">
        <v>6</v>
      </c>
      <c r="E66" t="s">
        <v>1376</v>
      </c>
      <c r="F66" t="s">
        <v>1263</v>
      </c>
      <c r="G66" t="s">
        <v>1377</v>
      </c>
      <c r="H66" t="s">
        <v>1372</v>
      </c>
    </row>
    <row r="67" spans="1:8">
      <c r="A67" t="s">
        <v>675</v>
      </c>
      <c r="B67" t="s">
        <v>1166</v>
      </c>
      <c r="C67" t="s">
        <v>121</v>
      </c>
      <c r="D67">
        <v>5</v>
      </c>
      <c r="E67" t="s">
        <v>1378</v>
      </c>
      <c r="F67" t="s">
        <v>1379</v>
      </c>
      <c r="G67" t="s">
        <v>1380</v>
      </c>
      <c r="H67" t="s">
        <v>1372</v>
      </c>
    </row>
    <row r="68" spans="1:8">
      <c r="A68" t="s">
        <v>694</v>
      </c>
      <c r="B68" t="s">
        <v>1171</v>
      </c>
      <c r="C68" t="s">
        <v>698</v>
      </c>
      <c r="D68">
        <v>5</v>
      </c>
      <c r="E68" t="s">
        <v>1381</v>
      </c>
      <c r="F68" t="s">
        <v>1382</v>
      </c>
      <c r="G68" t="s">
        <v>1383</v>
      </c>
      <c r="H68" t="s">
        <v>1372</v>
      </c>
    </row>
    <row r="69" spans="1:8">
      <c r="A69" t="s">
        <v>699</v>
      </c>
      <c r="B69" t="s">
        <v>700</v>
      </c>
      <c r="C69" t="s">
        <v>113</v>
      </c>
      <c r="D69">
        <v>4</v>
      </c>
      <c r="E69" t="s">
        <v>1384</v>
      </c>
      <c r="F69" t="s">
        <v>1385</v>
      </c>
      <c r="G69" t="s">
        <v>1386</v>
      </c>
      <c r="H69" t="s">
        <v>1372</v>
      </c>
    </row>
    <row r="70" spans="1:8">
      <c r="A70" t="s">
        <v>653</v>
      </c>
      <c r="B70" t="s">
        <v>1174</v>
      </c>
      <c r="C70" t="s">
        <v>50</v>
      </c>
      <c r="D70">
        <v>5</v>
      </c>
      <c r="E70" t="s">
        <v>1387</v>
      </c>
      <c r="F70" t="s">
        <v>1388</v>
      </c>
      <c r="G70" t="s">
        <v>1389</v>
      </c>
      <c r="H70" t="s">
        <v>1372</v>
      </c>
    </row>
    <row r="71" spans="1:8">
      <c r="A71" t="s">
        <v>757</v>
      </c>
      <c r="B71" t="s">
        <v>758</v>
      </c>
      <c r="C71" t="s">
        <v>26</v>
      </c>
      <c r="D71">
        <v>3</v>
      </c>
      <c r="E71" t="s">
        <v>1390</v>
      </c>
      <c r="F71" t="s">
        <v>1391</v>
      </c>
      <c r="G71" t="s">
        <v>1268</v>
      </c>
      <c r="H71" t="s">
        <v>1372</v>
      </c>
    </row>
    <row r="72" spans="1:8">
      <c r="A72" t="s">
        <v>646</v>
      </c>
      <c r="B72" t="s">
        <v>647</v>
      </c>
      <c r="C72" t="s">
        <v>18</v>
      </c>
      <c r="D72">
        <v>5</v>
      </c>
      <c r="E72" t="s">
        <v>1392</v>
      </c>
      <c r="F72" t="s">
        <v>1385</v>
      </c>
      <c r="G72" t="s">
        <v>1393</v>
      </c>
      <c r="H72" t="s">
        <v>1372</v>
      </c>
    </row>
    <row r="73" spans="1:8">
      <c r="A73" t="s">
        <v>418</v>
      </c>
      <c r="B73" t="s">
        <v>419</v>
      </c>
      <c r="C73" t="s">
        <v>422</v>
      </c>
      <c r="D73">
        <v>6</v>
      </c>
      <c r="E73" t="s">
        <v>1394</v>
      </c>
      <c r="F73" t="s">
        <v>1322</v>
      </c>
      <c r="G73" t="s">
        <v>1369</v>
      </c>
      <c r="H73" t="s">
        <v>1372</v>
      </c>
    </row>
    <row r="74" spans="1:8">
      <c r="A74" t="s">
        <v>394</v>
      </c>
      <c r="B74" t="s">
        <v>395</v>
      </c>
      <c r="C74" t="s">
        <v>140</v>
      </c>
      <c r="D74">
        <v>5</v>
      </c>
      <c r="E74" t="s">
        <v>1395</v>
      </c>
      <c r="F74" t="s">
        <v>1183</v>
      </c>
      <c r="G74" t="s">
        <v>1396</v>
      </c>
      <c r="H74" t="s">
        <v>1372</v>
      </c>
    </row>
    <row r="75" spans="1:8">
      <c r="A75" t="s">
        <v>712</v>
      </c>
      <c r="B75" t="s">
        <v>713</v>
      </c>
      <c r="C75" t="s">
        <v>698</v>
      </c>
      <c r="D75">
        <v>4</v>
      </c>
      <c r="E75" t="s">
        <v>1397</v>
      </c>
      <c r="F75" t="s">
        <v>1398</v>
      </c>
      <c r="G75" t="s">
        <v>1399</v>
      </c>
      <c r="H75" t="s">
        <v>1372</v>
      </c>
    </row>
    <row r="76" spans="1:8">
      <c r="A76" t="s">
        <v>398</v>
      </c>
      <c r="B76" t="s">
        <v>1167</v>
      </c>
      <c r="C76" t="s">
        <v>93</v>
      </c>
      <c r="D76">
        <v>6</v>
      </c>
      <c r="E76" t="s">
        <v>1400</v>
      </c>
      <c r="F76" t="s">
        <v>1333</v>
      </c>
      <c r="G76" t="s">
        <v>1401</v>
      </c>
      <c r="H76" t="s">
        <v>1372</v>
      </c>
    </row>
    <row r="77" spans="1:8">
      <c r="A77" t="s">
        <v>613</v>
      </c>
      <c r="B77" t="s">
        <v>614</v>
      </c>
      <c r="C77" t="s">
        <v>605</v>
      </c>
      <c r="D77">
        <v>5</v>
      </c>
      <c r="E77" t="s">
        <v>1402</v>
      </c>
      <c r="F77" t="s">
        <v>1403</v>
      </c>
      <c r="G77" t="s">
        <v>1404</v>
      </c>
      <c r="H77" t="s">
        <v>1372</v>
      </c>
    </row>
    <row r="78" spans="1:8">
      <c r="A78" t="s">
        <v>642</v>
      </c>
      <c r="B78" t="s">
        <v>643</v>
      </c>
      <c r="C78" t="s">
        <v>93</v>
      </c>
      <c r="D78">
        <v>4</v>
      </c>
      <c r="E78" t="s">
        <v>1405</v>
      </c>
      <c r="F78" t="s">
        <v>1348</v>
      </c>
      <c r="G78" t="s">
        <v>1406</v>
      </c>
      <c r="H78" t="s">
        <v>1372</v>
      </c>
    </row>
    <row r="79" spans="1:8">
      <c r="A79" t="s">
        <v>586</v>
      </c>
      <c r="B79" t="s">
        <v>1170</v>
      </c>
      <c r="C79" t="s">
        <v>448</v>
      </c>
      <c r="D79">
        <v>5</v>
      </c>
      <c r="E79" t="s">
        <v>1405</v>
      </c>
      <c r="F79" t="s">
        <v>1407</v>
      </c>
      <c r="G79" t="s">
        <v>1408</v>
      </c>
      <c r="H79" t="s">
        <v>1372</v>
      </c>
    </row>
    <row r="80" spans="1:8">
      <c r="A80" t="s">
        <v>719</v>
      </c>
      <c r="B80" t="s">
        <v>720</v>
      </c>
      <c r="C80" t="s">
        <v>192</v>
      </c>
      <c r="D80">
        <v>3</v>
      </c>
      <c r="E80" t="s">
        <v>1409</v>
      </c>
      <c r="F80" t="s">
        <v>1253</v>
      </c>
      <c r="G80" t="s">
        <v>1339</v>
      </c>
      <c r="H80" t="s">
        <v>1372</v>
      </c>
    </row>
    <row r="81" spans="1:8">
      <c r="A81" t="s">
        <v>505</v>
      </c>
      <c r="B81" t="s">
        <v>506</v>
      </c>
      <c r="C81" t="s">
        <v>93</v>
      </c>
      <c r="D81">
        <v>5</v>
      </c>
      <c r="E81" t="s">
        <v>1410</v>
      </c>
      <c r="F81" t="s">
        <v>1411</v>
      </c>
      <c r="G81" t="s">
        <v>1412</v>
      </c>
      <c r="H81" t="s">
        <v>1372</v>
      </c>
    </row>
    <row r="82" spans="1:8">
      <c r="A82" t="s">
        <v>576</v>
      </c>
      <c r="B82" t="s">
        <v>577</v>
      </c>
      <c r="C82" t="s">
        <v>140</v>
      </c>
      <c r="D82">
        <v>4</v>
      </c>
      <c r="E82" t="s">
        <v>1413</v>
      </c>
      <c r="F82" t="s">
        <v>1245</v>
      </c>
      <c r="G82" t="s">
        <v>1414</v>
      </c>
      <c r="H82" t="s">
        <v>1372</v>
      </c>
    </row>
    <row r="83" spans="1:8">
      <c r="A83" t="s">
        <v>708</v>
      </c>
      <c r="B83" t="s">
        <v>709</v>
      </c>
      <c r="C83" t="s">
        <v>18</v>
      </c>
      <c r="D83">
        <v>3</v>
      </c>
      <c r="E83" t="s">
        <v>1415</v>
      </c>
      <c r="F83" t="s">
        <v>1313</v>
      </c>
      <c r="G83" t="s">
        <v>1416</v>
      </c>
      <c r="H83" t="s">
        <v>1372</v>
      </c>
    </row>
    <row r="84" spans="1:8">
      <c r="A84" t="s">
        <v>570</v>
      </c>
      <c r="B84" t="s">
        <v>571</v>
      </c>
      <c r="C84" t="s">
        <v>448</v>
      </c>
      <c r="D84">
        <v>4</v>
      </c>
      <c r="E84" t="s">
        <v>1417</v>
      </c>
      <c r="F84" t="s">
        <v>1418</v>
      </c>
      <c r="G84" t="s">
        <v>1419</v>
      </c>
      <c r="H84" t="s">
        <v>1372</v>
      </c>
    </row>
    <row r="85" spans="1:8">
      <c r="A85" t="s">
        <v>573</v>
      </c>
      <c r="B85" t="s">
        <v>574</v>
      </c>
      <c r="C85" t="s">
        <v>26</v>
      </c>
      <c r="D85">
        <v>4</v>
      </c>
      <c r="E85" t="s">
        <v>1420</v>
      </c>
      <c r="F85" t="s">
        <v>1421</v>
      </c>
      <c r="G85" t="s">
        <v>1422</v>
      </c>
      <c r="H85" t="s">
        <v>1237</v>
      </c>
    </row>
    <row r="86" spans="1:8">
      <c r="A86" t="s">
        <v>518</v>
      </c>
      <c r="B86" t="s">
        <v>519</v>
      </c>
      <c r="C86" t="s">
        <v>50</v>
      </c>
      <c r="D86">
        <v>4</v>
      </c>
      <c r="E86" t="s">
        <v>1423</v>
      </c>
      <c r="F86" t="s">
        <v>1183</v>
      </c>
      <c r="G86" t="s">
        <v>1424</v>
      </c>
      <c r="H86" t="s">
        <v>1237</v>
      </c>
    </row>
    <row r="87" spans="1:8">
      <c r="A87" t="s">
        <v>539</v>
      </c>
      <c r="B87" t="s">
        <v>1172</v>
      </c>
      <c r="C87" t="s">
        <v>86</v>
      </c>
      <c r="D87">
        <v>4</v>
      </c>
      <c r="E87" t="s">
        <v>1425</v>
      </c>
      <c r="F87" t="s">
        <v>1313</v>
      </c>
      <c r="G87" t="s">
        <v>1426</v>
      </c>
      <c r="H87" t="s">
        <v>1237</v>
      </c>
    </row>
    <row r="88" spans="1:8">
      <c r="A88" t="s">
        <v>728</v>
      </c>
      <c r="B88" t="s">
        <v>729</v>
      </c>
      <c r="C88" t="s">
        <v>18</v>
      </c>
      <c r="D88">
        <v>2</v>
      </c>
      <c r="E88" t="s">
        <v>1427</v>
      </c>
      <c r="F88" t="s">
        <v>1428</v>
      </c>
      <c r="G88" t="s">
        <v>1428</v>
      </c>
      <c r="H88" t="s">
        <v>1237</v>
      </c>
    </row>
    <row r="89" spans="1:8">
      <c r="A89" t="s">
        <v>598</v>
      </c>
      <c r="B89" t="s">
        <v>1169</v>
      </c>
      <c r="C89" t="s">
        <v>50</v>
      </c>
      <c r="D89">
        <v>3</v>
      </c>
      <c r="E89" t="s">
        <v>1429</v>
      </c>
      <c r="F89" t="s">
        <v>1430</v>
      </c>
      <c r="G89" t="s">
        <v>1431</v>
      </c>
      <c r="H89" t="s">
        <v>1237</v>
      </c>
    </row>
    <row r="90" spans="1:8">
      <c r="A90" t="s">
        <v>479</v>
      </c>
      <c r="B90" t="s">
        <v>480</v>
      </c>
      <c r="C90" t="s">
        <v>438</v>
      </c>
      <c r="D90">
        <v>2</v>
      </c>
      <c r="E90" t="s">
        <v>1432</v>
      </c>
      <c r="F90" t="s">
        <v>1433</v>
      </c>
      <c r="G90" t="s">
        <v>1433</v>
      </c>
      <c r="H90" t="s">
        <v>1237</v>
      </c>
    </row>
  </sheetData>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3C07F-093B-DF44-925D-5011E4087770}">
  <dimension ref="A1:K41"/>
  <sheetViews>
    <sheetView showGridLines="0" zoomScale="75" workbookViewId="0">
      <selection activeCell="D61" sqref="D61"/>
    </sheetView>
  </sheetViews>
  <sheetFormatPr baseColWidth="10" defaultRowHeight="13"/>
  <cols>
    <col min="2" max="2" width="12.5" bestFit="1" customWidth="1"/>
    <col min="3" max="3" width="13.33203125" customWidth="1"/>
  </cols>
  <sheetData>
    <row r="1" spans="1:11" ht="22" thickBot="1">
      <c r="A1" s="19" t="s">
        <v>1609</v>
      </c>
      <c r="B1" s="20" t="s">
        <v>1606</v>
      </c>
      <c r="C1" s="21"/>
      <c r="D1" s="21"/>
      <c r="E1" s="21"/>
      <c r="F1" s="21"/>
      <c r="G1" s="21"/>
      <c r="H1" s="21"/>
      <c r="I1" s="21"/>
      <c r="J1" s="36"/>
      <c r="K1" s="22"/>
    </row>
    <row r="3" spans="1:11">
      <c r="B3" s="9" t="s">
        <v>8</v>
      </c>
      <c r="C3" t="s">
        <v>1621</v>
      </c>
    </row>
    <row r="4" spans="1:11">
      <c r="B4" t="s">
        <v>121</v>
      </c>
      <c r="C4">
        <v>6</v>
      </c>
    </row>
    <row r="5" spans="1:11">
      <c r="B5" t="s">
        <v>698</v>
      </c>
      <c r="C5">
        <v>7</v>
      </c>
    </row>
    <row r="6" spans="1:11">
      <c r="B6" t="s">
        <v>670</v>
      </c>
      <c r="C6">
        <v>7</v>
      </c>
    </row>
    <row r="7" spans="1:11">
      <c r="B7" t="s">
        <v>552</v>
      </c>
      <c r="C7">
        <v>8</v>
      </c>
    </row>
    <row r="8" spans="1:11">
      <c r="B8" t="s">
        <v>448</v>
      </c>
      <c r="C8">
        <v>8</v>
      </c>
    </row>
    <row r="9" spans="1:11">
      <c r="B9" t="s">
        <v>605</v>
      </c>
      <c r="C9">
        <v>8</v>
      </c>
    </row>
    <row r="10" spans="1:11">
      <c r="B10" t="s">
        <v>161</v>
      </c>
      <c r="C10">
        <v>15</v>
      </c>
    </row>
    <row r="11" spans="1:11">
      <c r="B11" t="s">
        <v>422</v>
      </c>
      <c r="C11">
        <v>15</v>
      </c>
    </row>
    <row r="12" spans="1:11">
      <c r="B12" t="s">
        <v>18</v>
      </c>
      <c r="C12">
        <v>15</v>
      </c>
    </row>
    <row r="13" spans="1:11">
      <c r="B13" t="s">
        <v>443</v>
      </c>
      <c r="C13">
        <v>16</v>
      </c>
    </row>
    <row r="14" spans="1:11">
      <c r="B14" t="s">
        <v>417</v>
      </c>
      <c r="C14">
        <v>16</v>
      </c>
    </row>
    <row r="15" spans="1:11">
      <c r="B15" t="s">
        <v>176</v>
      </c>
      <c r="C15">
        <v>16</v>
      </c>
    </row>
    <row r="16" spans="1:11">
      <c r="B16" t="s">
        <v>113</v>
      </c>
      <c r="C16">
        <v>16</v>
      </c>
    </row>
    <row r="17" spans="2:3">
      <c r="B17" t="s">
        <v>79</v>
      </c>
      <c r="C17">
        <v>16</v>
      </c>
    </row>
    <row r="18" spans="2:3">
      <c r="B18" t="s">
        <v>50</v>
      </c>
      <c r="C18">
        <v>19</v>
      </c>
    </row>
    <row r="19" spans="2:3">
      <c r="B19" t="s">
        <v>192</v>
      </c>
      <c r="C19">
        <v>21</v>
      </c>
    </row>
    <row r="20" spans="2:3">
      <c r="B20" t="s">
        <v>438</v>
      </c>
      <c r="C20">
        <v>27</v>
      </c>
    </row>
    <row r="21" spans="2:3">
      <c r="B21" t="s">
        <v>86</v>
      </c>
      <c r="C21">
        <v>30</v>
      </c>
    </row>
    <row r="22" spans="2:3">
      <c r="B22" t="s">
        <v>140</v>
      </c>
      <c r="C22">
        <v>61</v>
      </c>
    </row>
    <row r="23" spans="2:3">
      <c r="B23" t="s">
        <v>93</v>
      </c>
      <c r="C23">
        <v>75</v>
      </c>
    </row>
    <row r="24" spans="2:3">
      <c r="B24" t="s">
        <v>26</v>
      </c>
      <c r="C24">
        <v>80</v>
      </c>
    </row>
    <row r="33" spans="2:3">
      <c r="B33" t="s">
        <v>1627</v>
      </c>
      <c r="C33" t="s">
        <v>1621</v>
      </c>
    </row>
    <row r="34" spans="2:3">
      <c r="B34" t="s">
        <v>1115</v>
      </c>
      <c r="C34">
        <v>320</v>
      </c>
    </row>
    <row r="35" spans="2:3">
      <c r="B35" t="s">
        <v>1117</v>
      </c>
      <c r="C35">
        <v>178</v>
      </c>
    </row>
    <row r="36" spans="2:3">
      <c r="B36" t="s">
        <v>1119</v>
      </c>
      <c r="C36">
        <v>274</v>
      </c>
    </row>
    <row r="37" spans="2:3">
      <c r="B37" t="s">
        <v>1121</v>
      </c>
      <c r="C37">
        <v>272</v>
      </c>
    </row>
    <row r="38" spans="2:3">
      <c r="B38" t="s">
        <v>1123</v>
      </c>
      <c r="C38">
        <v>171</v>
      </c>
    </row>
    <row r="39" spans="2:3">
      <c r="B39" t="s">
        <v>1125</v>
      </c>
      <c r="C39">
        <v>151</v>
      </c>
    </row>
    <row r="40" spans="2:3">
      <c r="B40" t="s">
        <v>1127</v>
      </c>
      <c r="C40">
        <v>116</v>
      </c>
    </row>
    <row r="41" spans="2:3">
      <c r="B41" t="s">
        <v>1129</v>
      </c>
      <c r="C41">
        <v>266</v>
      </c>
    </row>
  </sheetData>
  <pageMargins left="0.7" right="0.7" top="0.75" bottom="0.75" header="0.3" footer="0.3"/>
  <drawing r:id="rId1"/>
  <tableParts count="2">
    <tablePart r:id="rId2"/>
    <tablePart r:id="rId3"/>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993B1C-A212-4D93-9C97-83F2895A5EC0}">
  <dimension ref="A1:U91"/>
  <sheetViews>
    <sheetView showGridLines="0" workbookViewId="0">
      <selection activeCell="A43" sqref="A43"/>
    </sheetView>
  </sheetViews>
  <sheetFormatPr baseColWidth="10" defaultColWidth="8.83203125" defaultRowHeight="13"/>
  <cols>
    <col min="14" max="14" width="13.6640625" bestFit="1" customWidth="1"/>
    <col min="15" max="15" width="31.5" bestFit="1" customWidth="1"/>
    <col min="16" max="16" width="10.5" bestFit="1" customWidth="1"/>
    <col min="17" max="17" width="14" bestFit="1" customWidth="1"/>
    <col min="18" max="18" width="27.83203125" bestFit="1" customWidth="1"/>
    <col min="19" max="19" width="16.5" bestFit="1" customWidth="1"/>
    <col min="20" max="20" width="17" bestFit="1" customWidth="1"/>
    <col min="21" max="21" width="24.5" bestFit="1" customWidth="1"/>
  </cols>
  <sheetData>
    <row r="1" spans="1:21" ht="14" thickBot="1">
      <c r="A1" s="43" t="s">
        <v>1434</v>
      </c>
      <c r="B1" s="44"/>
      <c r="C1" s="44"/>
      <c r="D1" s="44"/>
      <c r="E1" s="44"/>
      <c r="F1" s="44"/>
      <c r="G1" s="44"/>
      <c r="H1" s="44"/>
      <c r="I1" s="44"/>
      <c r="J1" s="44"/>
      <c r="K1" s="44"/>
      <c r="L1" s="45"/>
    </row>
    <row r="2" spans="1:21" ht="12.75" customHeight="1">
      <c r="A2" s="46" t="s">
        <v>1435</v>
      </c>
      <c r="B2" s="47"/>
      <c r="C2" s="47"/>
      <c r="D2" s="47"/>
      <c r="E2" s="47"/>
      <c r="F2" s="47"/>
      <c r="G2" s="47"/>
      <c r="H2" s="47"/>
      <c r="I2" s="47"/>
      <c r="J2" s="47"/>
      <c r="K2" s="47"/>
      <c r="L2" s="48"/>
      <c r="N2" t="s">
        <v>381</v>
      </c>
      <c r="O2" t="s">
        <v>1</v>
      </c>
      <c r="P2" t="s">
        <v>8</v>
      </c>
      <c r="Q2" t="s">
        <v>1131</v>
      </c>
      <c r="R2" t="s">
        <v>1232</v>
      </c>
      <c r="S2" t="s">
        <v>1233</v>
      </c>
      <c r="T2" t="s">
        <v>1234</v>
      </c>
      <c r="U2" t="s">
        <v>1235</v>
      </c>
    </row>
    <row r="3" spans="1:21">
      <c r="A3" s="46"/>
      <c r="B3" s="47"/>
      <c r="C3" s="47"/>
      <c r="D3" s="47"/>
      <c r="E3" s="47"/>
      <c r="F3" s="47"/>
      <c r="G3" s="47"/>
      <c r="H3" s="47"/>
      <c r="I3" s="47"/>
      <c r="J3" s="47"/>
      <c r="K3" s="47"/>
      <c r="L3" s="48"/>
      <c r="N3" t="s">
        <v>444</v>
      </c>
      <c r="O3" t="s">
        <v>445</v>
      </c>
      <c r="P3" t="s">
        <v>448</v>
      </c>
      <c r="Q3">
        <v>1</v>
      </c>
      <c r="R3" t="s">
        <v>1236</v>
      </c>
      <c r="S3" t="s">
        <v>1236</v>
      </c>
      <c r="T3" t="s">
        <v>1236</v>
      </c>
      <c r="U3" t="s">
        <v>1237</v>
      </c>
    </row>
    <row r="4" spans="1:21">
      <c r="A4" s="46"/>
      <c r="B4" s="47"/>
      <c r="C4" s="47"/>
      <c r="D4" s="47"/>
      <c r="E4" s="47"/>
      <c r="F4" s="47"/>
      <c r="G4" s="47"/>
      <c r="H4" s="47"/>
      <c r="I4" s="47"/>
      <c r="J4" s="47"/>
      <c r="K4" s="47"/>
      <c r="L4" s="48"/>
      <c r="N4" t="s">
        <v>772</v>
      </c>
      <c r="O4" t="s">
        <v>773</v>
      </c>
      <c r="P4" t="s">
        <v>140</v>
      </c>
      <c r="Q4">
        <v>4</v>
      </c>
      <c r="R4" t="s">
        <v>1238</v>
      </c>
      <c r="S4" t="s">
        <v>1239</v>
      </c>
      <c r="T4" t="s">
        <v>1240</v>
      </c>
      <c r="U4" t="s">
        <v>1241</v>
      </c>
    </row>
    <row r="5" spans="1:21">
      <c r="A5" s="46"/>
      <c r="B5" s="47"/>
      <c r="C5" s="47"/>
      <c r="D5" s="47"/>
      <c r="E5" s="47"/>
      <c r="F5" s="47"/>
      <c r="G5" s="47"/>
      <c r="H5" s="47"/>
      <c r="I5" s="47"/>
      <c r="J5" s="47"/>
      <c r="K5" s="47"/>
      <c r="L5" s="48"/>
      <c r="N5" t="s">
        <v>593</v>
      </c>
      <c r="O5" t="s">
        <v>594</v>
      </c>
      <c r="P5" t="s">
        <v>26</v>
      </c>
      <c r="Q5">
        <v>28</v>
      </c>
      <c r="R5" t="s">
        <v>1242</v>
      </c>
      <c r="S5" t="s">
        <v>1239</v>
      </c>
      <c r="T5" t="s">
        <v>1243</v>
      </c>
      <c r="U5" t="s">
        <v>1241</v>
      </c>
    </row>
    <row r="6" spans="1:21">
      <c r="A6" s="46"/>
      <c r="B6" s="47"/>
      <c r="C6" s="47"/>
      <c r="D6" s="47"/>
      <c r="E6" s="47"/>
      <c r="F6" s="47"/>
      <c r="G6" s="47"/>
      <c r="H6" s="47"/>
      <c r="I6" s="47"/>
      <c r="J6" s="47"/>
      <c r="K6" s="47"/>
      <c r="L6" s="48"/>
      <c r="N6" t="s">
        <v>494</v>
      </c>
      <c r="O6" t="s">
        <v>495</v>
      </c>
      <c r="P6" t="s">
        <v>93</v>
      </c>
      <c r="Q6">
        <v>27</v>
      </c>
      <c r="R6" t="s">
        <v>1244</v>
      </c>
      <c r="S6" t="s">
        <v>1183</v>
      </c>
      <c r="T6" t="s">
        <v>1245</v>
      </c>
      <c r="U6" t="s">
        <v>1241</v>
      </c>
    </row>
    <row r="7" spans="1:21">
      <c r="A7" s="46"/>
      <c r="B7" s="47"/>
      <c r="C7" s="47"/>
      <c r="D7" s="47"/>
      <c r="E7" s="47"/>
      <c r="F7" s="47"/>
      <c r="G7" s="47"/>
      <c r="H7" s="47"/>
      <c r="I7" s="47"/>
      <c r="J7" s="47"/>
      <c r="K7" s="47"/>
      <c r="L7" s="48"/>
      <c r="N7" t="s">
        <v>439</v>
      </c>
      <c r="O7" t="s">
        <v>440</v>
      </c>
      <c r="P7" t="s">
        <v>443</v>
      </c>
      <c r="Q7">
        <v>27</v>
      </c>
      <c r="R7" t="s">
        <v>1246</v>
      </c>
      <c r="S7" t="s">
        <v>1183</v>
      </c>
      <c r="T7" t="s">
        <v>1247</v>
      </c>
      <c r="U7" t="s">
        <v>1241</v>
      </c>
    </row>
    <row r="8" spans="1:21">
      <c r="A8" s="46"/>
      <c r="B8" s="47"/>
      <c r="C8" s="47"/>
      <c r="D8" s="47"/>
      <c r="E8" s="47"/>
      <c r="F8" s="47"/>
      <c r="G8" s="47"/>
      <c r="H8" s="47"/>
      <c r="I8" s="47"/>
      <c r="J8" s="47"/>
      <c r="K8" s="47"/>
      <c r="L8" s="48"/>
      <c r="N8" t="s">
        <v>610</v>
      </c>
      <c r="O8" t="s">
        <v>1142</v>
      </c>
      <c r="P8" t="s">
        <v>192</v>
      </c>
      <c r="Q8">
        <v>13</v>
      </c>
      <c r="R8" t="s">
        <v>1248</v>
      </c>
      <c r="S8" t="s">
        <v>1249</v>
      </c>
      <c r="T8" t="s">
        <v>1250</v>
      </c>
      <c r="U8" t="s">
        <v>1251</v>
      </c>
    </row>
    <row r="9" spans="1:21">
      <c r="A9" s="46"/>
      <c r="B9" s="47"/>
      <c r="C9" s="47"/>
      <c r="D9" s="47"/>
      <c r="E9" s="47"/>
      <c r="F9" s="47"/>
      <c r="G9" s="47"/>
      <c r="H9" s="47"/>
      <c r="I9" s="47"/>
      <c r="J9" s="47"/>
      <c r="K9" s="47"/>
      <c r="L9" s="48"/>
      <c r="N9" t="s">
        <v>509</v>
      </c>
      <c r="O9" t="s">
        <v>1147</v>
      </c>
      <c r="P9" t="s">
        <v>79</v>
      </c>
      <c r="Q9">
        <v>18</v>
      </c>
      <c r="R9" t="s">
        <v>1252</v>
      </c>
      <c r="S9" t="s">
        <v>1183</v>
      </c>
      <c r="T9" t="s">
        <v>1253</v>
      </c>
      <c r="U9" t="s">
        <v>1251</v>
      </c>
    </row>
    <row r="10" spans="1:21">
      <c r="A10" s="46"/>
      <c r="B10" s="47"/>
      <c r="C10" s="47"/>
      <c r="D10" s="47"/>
      <c r="E10" s="47"/>
      <c r="F10" s="47"/>
      <c r="G10" s="47"/>
      <c r="H10" s="47"/>
      <c r="I10" s="47"/>
      <c r="J10" s="47"/>
      <c r="K10" s="47"/>
      <c r="L10" s="48"/>
      <c r="N10" t="s">
        <v>547</v>
      </c>
      <c r="O10" t="s">
        <v>548</v>
      </c>
      <c r="P10" t="s">
        <v>552</v>
      </c>
      <c r="Q10">
        <v>18</v>
      </c>
      <c r="R10" t="s">
        <v>1254</v>
      </c>
      <c r="S10" t="s">
        <v>1255</v>
      </c>
      <c r="T10" t="s">
        <v>1256</v>
      </c>
      <c r="U10" t="s">
        <v>1251</v>
      </c>
    </row>
    <row r="11" spans="1:21">
      <c r="A11" s="46"/>
      <c r="B11" s="47"/>
      <c r="C11" s="47"/>
      <c r="D11" s="47"/>
      <c r="E11" s="47"/>
      <c r="F11" s="47"/>
      <c r="G11" s="47"/>
      <c r="H11" s="47"/>
      <c r="I11" s="47"/>
      <c r="J11" s="47"/>
      <c r="K11" s="47"/>
      <c r="L11" s="48"/>
      <c r="N11" t="s">
        <v>606</v>
      </c>
      <c r="O11" t="s">
        <v>607</v>
      </c>
      <c r="P11" t="s">
        <v>140</v>
      </c>
      <c r="Q11">
        <v>16</v>
      </c>
      <c r="R11" t="s">
        <v>1257</v>
      </c>
      <c r="S11" t="s">
        <v>1183</v>
      </c>
      <c r="T11" t="s">
        <v>1258</v>
      </c>
      <c r="U11" t="s">
        <v>1251</v>
      </c>
    </row>
    <row r="12" spans="1:21">
      <c r="A12" s="46"/>
      <c r="B12" s="47"/>
      <c r="C12" s="47"/>
      <c r="D12" s="47"/>
      <c r="E12" s="47"/>
      <c r="F12" s="47"/>
      <c r="G12" s="47"/>
      <c r="H12" s="47"/>
      <c r="I12" s="47"/>
      <c r="J12" s="47"/>
      <c r="K12" s="47"/>
      <c r="L12" s="48"/>
      <c r="N12" t="s">
        <v>462</v>
      </c>
      <c r="O12" t="s">
        <v>1144</v>
      </c>
      <c r="P12" t="s">
        <v>79</v>
      </c>
      <c r="Q12">
        <v>18</v>
      </c>
      <c r="R12" t="s">
        <v>1259</v>
      </c>
      <c r="S12" t="s">
        <v>1183</v>
      </c>
      <c r="T12" t="s">
        <v>1260</v>
      </c>
      <c r="U12" t="s">
        <v>1251</v>
      </c>
    </row>
    <row r="13" spans="1:21">
      <c r="A13" s="46"/>
      <c r="B13" s="47"/>
      <c r="C13" s="47"/>
      <c r="D13" s="47"/>
      <c r="E13" s="47"/>
      <c r="F13" s="47"/>
      <c r="G13" s="47"/>
      <c r="H13" s="47"/>
      <c r="I13" s="47"/>
      <c r="J13" s="47"/>
      <c r="K13" s="47"/>
      <c r="L13" s="48"/>
      <c r="N13" t="s">
        <v>433</v>
      </c>
      <c r="O13" t="s">
        <v>1152</v>
      </c>
      <c r="P13" t="s">
        <v>438</v>
      </c>
      <c r="Q13">
        <v>17</v>
      </c>
      <c r="R13" t="s">
        <v>1261</v>
      </c>
      <c r="S13" t="s">
        <v>1183</v>
      </c>
      <c r="T13" t="s">
        <v>1262</v>
      </c>
      <c r="U13" t="s">
        <v>1251</v>
      </c>
    </row>
    <row r="14" spans="1:21">
      <c r="A14" s="46"/>
      <c r="B14" s="47"/>
      <c r="C14" s="47"/>
      <c r="D14" s="47"/>
      <c r="E14" s="47"/>
      <c r="F14" s="47"/>
      <c r="G14" s="47"/>
      <c r="H14" s="47"/>
      <c r="I14" s="47"/>
      <c r="J14" s="47"/>
      <c r="K14" s="47"/>
      <c r="L14" s="48"/>
      <c r="N14" t="s">
        <v>457</v>
      </c>
      <c r="O14" t="s">
        <v>458</v>
      </c>
      <c r="P14" t="s">
        <v>26</v>
      </c>
      <c r="Q14">
        <v>17</v>
      </c>
      <c r="R14" t="s">
        <v>1436</v>
      </c>
      <c r="S14" t="s">
        <v>1263</v>
      </c>
      <c r="T14" t="s">
        <v>1264</v>
      </c>
      <c r="U14" t="s">
        <v>1251</v>
      </c>
    </row>
    <row r="15" spans="1:21">
      <c r="A15" s="46"/>
      <c r="B15" s="47"/>
      <c r="C15" s="47"/>
      <c r="D15" s="47"/>
      <c r="E15" s="47"/>
      <c r="F15" s="47"/>
      <c r="G15" s="47"/>
      <c r="H15" s="47"/>
      <c r="I15" s="47"/>
      <c r="J15" s="47"/>
      <c r="K15" s="47"/>
      <c r="L15" s="48"/>
      <c r="N15" t="s">
        <v>471</v>
      </c>
      <c r="O15" t="s">
        <v>472</v>
      </c>
      <c r="P15" t="s">
        <v>176</v>
      </c>
      <c r="Q15">
        <v>14</v>
      </c>
      <c r="R15" t="s">
        <v>1265</v>
      </c>
      <c r="S15" t="s">
        <v>1249</v>
      </c>
      <c r="T15" t="s">
        <v>1266</v>
      </c>
      <c r="U15" t="s">
        <v>1251</v>
      </c>
    </row>
    <row r="16" spans="1:21">
      <c r="A16" s="46"/>
      <c r="B16" s="47"/>
      <c r="C16" s="47"/>
      <c r="D16" s="47"/>
      <c r="E16" s="47"/>
      <c r="F16" s="47"/>
      <c r="G16" s="47"/>
      <c r="H16" s="47"/>
      <c r="I16" s="47"/>
      <c r="J16" s="47"/>
      <c r="K16" s="47"/>
      <c r="L16" s="48"/>
      <c r="N16" t="s">
        <v>624</v>
      </c>
      <c r="O16" t="s">
        <v>625</v>
      </c>
      <c r="P16" t="s">
        <v>140</v>
      </c>
      <c r="Q16">
        <v>13</v>
      </c>
      <c r="R16" t="s">
        <v>1267</v>
      </c>
      <c r="S16" t="s">
        <v>1255</v>
      </c>
      <c r="T16" t="s">
        <v>1268</v>
      </c>
      <c r="U16" t="s">
        <v>1251</v>
      </c>
    </row>
    <row r="17" spans="1:21">
      <c r="A17" s="46"/>
      <c r="B17" s="47"/>
      <c r="C17" s="47"/>
      <c r="D17" s="47"/>
      <c r="E17" s="47"/>
      <c r="F17" s="47"/>
      <c r="G17" s="47"/>
      <c r="H17" s="47"/>
      <c r="I17" s="47"/>
      <c r="J17" s="47"/>
      <c r="K17" s="47"/>
      <c r="L17" s="48"/>
      <c r="N17" t="s">
        <v>589</v>
      </c>
      <c r="O17" t="s">
        <v>1146</v>
      </c>
      <c r="P17" t="s">
        <v>93</v>
      </c>
      <c r="Q17">
        <v>13</v>
      </c>
      <c r="R17" t="s">
        <v>1269</v>
      </c>
      <c r="S17" t="s">
        <v>1239</v>
      </c>
      <c r="T17" t="s">
        <v>1270</v>
      </c>
      <c r="U17" t="s">
        <v>1251</v>
      </c>
    </row>
    <row r="18" spans="1:21">
      <c r="A18" s="46"/>
      <c r="B18" s="47"/>
      <c r="C18" s="47"/>
      <c r="D18" s="47"/>
      <c r="E18" s="47"/>
      <c r="F18" s="47"/>
      <c r="G18" s="47"/>
      <c r="H18" s="47"/>
      <c r="I18" s="47"/>
      <c r="J18" s="47"/>
      <c r="K18" s="47"/>
      <c r="L18" s="48"/>
      <c r="N18" t="s">
        <v>753</v>
      </c>
      <c r="O18" t="s">
        <v>754</v>
      </c>
      <c r="P18" t="s">
        <v>176</v>
      </c>
      <c r="Q18">
        <v>7</v>
      </c>
      <c r="R18" t="s">
        <v>1271</v>
      </c>
      <c r="S18" t="s">
        <v>1272</v>
      </c>
      <c r="T18" t="s">
        <v>1273</v>
      </c>
      <c r="U18" t="s">
        <v>1251</v>
      </c>
    </row>
    <row r="19" spans="1:21">
      <c r="A19" s="46"/>
      <c r="B19" s="47"/>
      <c r="C19" s="47"/>
      <c r="D19" s="47"/>
      <c r="E19" s="47"/>
      <c r="F19" s="47"/>
      <c r="G19" s="47"/>
      <c r="H19" s="47"/>
      <c r="I19" s="47"/>
      <c r="J19" s="47"/>
      <c r="K19" s="47"/>
      <c r="L19" s="48"/>
      <c r="N19" t="s">
        <v>735</v>
      </c>
      <c r="O19" t="s">
        <v>736</v>
      </c>
      <c r="P19" t="s">
        <v>26</v>
      </c>
      <c r="Q19">
        <v>9</v>
      </c>
      <c r="R19" t="s">
        <v>1274</v>
      </c>
      <c r="S19" t="s">
        <v>1239</v>
      </c>
      <c r="T19" t="s">
        <v>1275</v>
      </c>
      <c r="U19" t="s">
        <v>1251</v>
      </c>
    </row>
    <row r="20" spans="1:21">
      <c r="A20" s="46"/>
      <c r="B20" s="47"/>
      <c r="C20" s="47"/>
      <c r="D20" s="47"/>
      <c r="E20" s="47"/>
      <c r="F20" s="47"/>
      <c r="G20" s="47"/>
      <c r="H20" s="47"/>
      <c r="I20" s="47"/>
      <c r="J20" s="47"/>
      <c r="K20" s="47"/>
      <c r="L20" s="48"/>
      <c r="N20" t="s">
        <v>661</v>
      </c>
      <c r="O20" t="s">
        <v>662</v>
      </c>
      <c r="P20" t="s">
        <v>86</v>
      </c>
      <c r="Q20">
        <v>12</v>
      </c>
      <c r="R20" t="s">
        <v>1276</v>
      </c>
      <c r="S20" t="s">
        <v>1183</v>
      </c>
      <c r="T20" t="s">
        <v>1277</v>
      </c>
      <c r="U20" t="s">
        <v>1251</v>
      </c>
    </row>
    <row r="21" spans="1:21">
      <c r="A21" s="46"/>
      <c r="B21" s="47"/>
      <c r="C21" s="47"/>
      <c r="D21" s="47"/>
      <c r="E21" s="47"/>
      <c r="F21" s="47"/>
      <c r="G21" s="47"/>
      <c r="H21" s="47"/>
      <c r="I21" s="47"/>
      <c r="J21" s="47"/>
      <c r="K21" s="47"/>
      <c r="L21" s="48"/>
      <c r="N21" t="s">
        <v>514</v>
      </c>
      <c r="O21" t="s">
        <v>515</v>
      </c>
      <c r="P21" t="s">
        <v>93</v>
      </c>
      <c r="Q21">
        <v>14</v>
      </c>
      <c r="R21" t="s">
        <v>1278</v>
      </c>
      <c r="S21" t="s">
        <v>1183</v>
      </c>
      <c r="T21" t="s">
        <v>1279</v>
      </c>
      <c r="U21" t="s">
        <v>1251</v>
      </c>
    </row>
    <row r="22" spans="1:21">
      <c r="A22" s="46"/>
      <c r="B22" s="47"/>
      <c r="C22" s="47"/>
      <c r="D22" s="47"/>
      <c r="E22" s="47"/>
      <c r="F22" s="47"/>
      <c r="G22" s="47"/>
      <c r="H22" s="47"/>
      <c r="I22" s="47"/>
      <c r="J22" s="47"/>
      <c r="K22" s="47"/>
      <c r="L22" s="48"/>
      <c r="N22" t="s">
        <v>632</v>
      </c>
      <c r="O22" t="s">
        <v>633</v>
      </c>
      <c r="P22" t="s">
        <v>18</v>
      </c>
      <c r="Q22">
        <v>12</v>
      </c>
      <c r="R22" t="s">
        <v>1280</v>
      </c>
      <c r="S22" t="s">
        <v>1249</v>
      </c>
      <c r="T22" t="s">
        <v>1281</v>
      </c>
      <c r="U22" t="s">
        <v>1251</v>
      </c>
    </row>
    <row r="23" spans="1:21">
      <c r="A23" s="46"/>
      <c r="B23" s="47"/>
      <c r="C23" s="47"/>
      <c r="D23" s="47"/>
      <c r="E23" s="47"/>
      <c r="F23" s="47"/>
      <c r="G23" s="47"/>
      <c r="H23" s="47"/>
      <c r="I23" s="47"/>
      <c r="J23" s="47"/>
      <c r="K23" s="47"/>
      <c r="L23" s="48"/>
      <c r="N23" t="s">
        <v>475</v>
      </c>
      <c r="O23" t="s">
        <v>476</v>
      </c>
      <c r="P23" t="s">
        <v>93</v>
      </c>
      <c r="Q23">
        <v>14</v>
      </c>
      <c r="R23" t="s">
        <v>1282</v>
      </c>
      <c r="S23" t="s">
        <v>1249</v>
      </c>
      <c r="T23" t="s">
        <v>1283</v>
      </c>
      <c r="U23" t="s">
        <v>1251</v>
      </c>
    </row>
    <row r="24" spans="1:21">
      <c r="A24" s="46"/>
      <c r="B24" s="47"/>
      <c r="C24" s="47"/>
      <c r="D24" s="47"/>
      <c r="E24" s="47"/>
      <c r="F24" s="47"/>
      <c r="G24" s="47"/>
      <c r="H24" s="47"/>
      <c r="I24" s="47"/>
      <c r="J24" s="47"/>
      <c r="K24" s="47"/>
      <c r="L24" s="48"/>
      <c r="N24" t="s">
        <v>679</v>
      </c>
      <c r="O24" t="s">
        <v>680</v>
      </c>
      <c r="P24" t="s">
        <v>192</v>
      </c>
      <c r="Q24">
        <v>11</v>
      </c>
      <c r="R24" t="s">
        <v>1284</v>
      </c>
      <c r="S24" t="s">
        <v>1239</v>
      </c>
      <c r="T24" t="s">
        <v>1285</v>
      </c>
      <c r="U24" t="s">
        <v>1251</v>
      </c>
    </row>
    <row r="25" spans="1:21">
      <c r="A25" s="46"/>
      <c r="B25" s="47"/>
      <c r="C25" s="47"/>
      <c r="D25" s="47"/>
      <c r="E25" s="47"/>
      <c r="F25" s="47"/>
      <c r="G25" s="47"/>
      <c r="H25" s="47"/>
      <c r="I25" s="47"/>
      <c r="J25" s="47"/>
      <c r="K25" s="47"/>
      <c r="L25" s="48"/>
      <c r="N25" t="s">
        <v>553</v>
      </c>
      <c r="O25" t="s">
        <v>554</v>
      </c>
      <c r="P25" t="s">
        <v>93</v>
      </c>
      <c r="Q25">
        <v>9</v>
      </c>
      <c r="R25" t="s">
        <v>1286</v>
      </c>
      <c r="S25" t="s">
        <v>1255</v>
      </c>
      <c r="T25" t="s">
        <v>1279</v>
      </c>
      <c r="U25" t="s">
        <v>1251</v>
      </c>
    </row>
    <row r="26" spans="1:21">
      <c r="A26" s="46"/>
      <c r="B26" s="47"/>
      <c r="C26" s="47"/>
      <c r="D26" s="47"/>
      <c r="E26" s="47"/>
      <c r="F26" s="47"/>
      <c r="G26" s="47"/>
      <c r="H26" s="47"/>
      <c r="I26" s="47"/>
      <c r="J26" s="47"/>
      <c r="K26" s="47"/>
      <c r="L26" s="48"/>
      <c r="N26" t="s">
        <v>685</v>
      </c>
      <c r="O26" t="s">
        <v>686</v>
      </c>
      <c r="P26" t="s">
        <v>438</v>
      </c>
      <c r="Q26">
        <v>10</v>
      </c>
      <c r="R26" t="s">
        <v>1287</v>
      </c>
      <c r="S26" t="s">
        <v>1239</v>
      </c>
      <c r="T26" t="s">
        <v>1288</v>
      </c>
      <c r="U26" t="s">
        <v>1251</v>
      </c>
    </row>
    <row r="27" spans="1:21">
      <c r="A27" s="46"/>
      <c r="B27" s="47"/>
      <c r="C27" s="47"/>
      <c r="D27" s="47"/>
      <c r="E27" s="47"/>
      <c r="F27" s="47"/>
      <c r="G27" s="47"/>
      <c r="H27" s="47"/>
      <c r="I27" s="47"/>
      <c r="J27" s="47"/>
      <c r="K27" s="47"/>
      <c r="L27" s="48"/>
      <c r="N27" t="s">
        <v>657</v>
      </c>
      <c r="O27" t="s">
        <v>658</v>
      </c>
      <c r="P27" t="s">
        <v>161</v>
      </c>
      <c r="Q27">
        <v>11</v>
      </c>
      <c r="R27" t="s">
        <v>1289</v>
      </c>
      <c r="S27" t="s">
        <v>1290</v>
      </c>
      <c r="T27" t="s">
        <v>1253</v>
      </c>
      <c r="U27" t="s">
        <v>1251</v>
      </c>
    </row>
    <row r="28" spans="1:21">
      <c r="A28" s="46"/>
      <c r="B28" s="47"/>
      <c r="C28" s="47"/>
      <c r="D28" s="47"/>
      <c r="E28" s="47"/>
      <c r="F28" s="47"/>
      <c r="G28" s="47"/>
      <c r="H28" s="47"/>
      <c r="I28" s="47"/>
      <c r="J28" s="47"/>
      <c r="K28" s="47"/>
      <c r="L28" s="48"/>
      <c r="N28" t="s">
        <v>762</v>
      </c>
      <c r="O28" t="s">
        <v>763</v>
      </c>
      <c r="P28" t="s">
        <v>93</v>
      </c>
      <c r="Q28">
        <v>5</v>
      </c>
      <c r="R28" t="s">
        <v>1291</v>
      </c>
      <c r="S28" t="s">
        <v>1292</v>
      </c>
      <c r="T28" t="s">
        <v>1266</v>
      </c>
      <c r="U28" t="s">
        <v>1251</v>
      </c>
    </row>
    <row r="29" spans="1:21">
      <c r="A29" s="46"/>
      <c r="B29" s="47"/>
      <c r="C29" s="47"/>
      <c r="D29" s="47"/>
      <c r="E29" s="47"/>
      <c r="F29" s="47"/>
      <c r="G29" s="47"/>
      <c r="H29" s="47"/>
      <c r="I29" s="47"/>
      <c r="J29" s="47"/>
      <c r="K29" s="47"/>
      <c r="L29" s="48"/>
      <c r="N29" t="s">
        <v>484</v>
      </c>
      <c r="O29" t="s">
        <v>485</v>
      </c>
      <c r="P29" t="s">
        <v>26</v>
      </c>
      <c r="Q29">
        <v>12</v>
      </c>
      <c r="R29" t="s">
        <v>1293</v>
      </c>
      <c r="S29" t="s">
        <v>1263</v>
      </c>
      <c r="T29" t="s">
        <v>1294</v>
      </c>
      <c r="U29" t="s">
        <v>1251</v>
      </c>
    </row>
    <row r="30" spans="1:21">
      <c r="A30" s="46"/>
      <c r="B30" s="47"/>
      <c r="C30" s="47"/>
      <c r="D30" s="47"/>
      <c r="E30" s="47"/>
      <c r="F30" s="47"/>
      <c r="G30" s="47"/>
      <c r="H30" s="47"/>
      <c r="I30" s="47"/>
      <c r="J30" s="47"/>
      <c r="K30" s="47"/>
      <c r="L30" s="48"/>
      <c r="N30" t="s">
        <v>467</v>
      </c>
      <c r="O30" t="s">
        <v>1154</v>
      </c>
      <c r="P30" t="s">
        <v>140</v>
      </c>
      <c r="Q30">
        <v>11</v>
      </c>
      <c r="R30" t="s">
        <v>1295</v>
      </c>
      <c r="S30" t="s">
        <v>1255</v>
      </c>
      <c r="T30" t="s">
        <v>1247</v>
      </c>
      <c r="U30" t="s">
        <v>1251</v>
      </c>
    </row>
    <row r="31" spans="1:21">
      <c r="A31" s="46"/>
      <c r="B31" s="47"/>
      <c r="C31" s="47"/>
      <c r="D31" s="47"/>
      <c r="E31" s="47"/>
      <c r="F31" s="47"/>
      <c r="G31" s="47"/>
      <c r="H31" s="47"/>
      <c r="I31" s="47"/>
      <c r="J31" s="47"/>
      <c r="K31" s="47"/>
      <c r="L31" s="48"/>
      <c r="N31" t="s">
        <v>522</v>
      </c>
      <c r="O31" t="s">
        <v>523</v>
      </c>
      <c r="P31" t="s">
        <v>438</v>
      </c>
      <c r="Q31">
        <v>12</v>
      </c>
      <c r="R31" t="s">
        <v>1296</v>
      </c>
      <c r="S31" t="s">
        <v>1297</v>
      </c>
      <c r="T31" t="s">
        <v>1298</v>
      </c>
      <c r="U31" t="s">
        <v>1251</v>
      </c>
    </row>
    <row r="32" spans="1:21">
      <c r="A32" s="46"/>
      <c r="B32" s="47"/>
      <c r="C32" s="47"/>
      <c r="D32" s="47"/>
      <c r="E32" s="47"/>
      <c r="F32" s="47"/>
      <c r="G32" s="47"/>
      <c r="H32" s="47"/>
      <c r="I32" s="47"/>
      <c r="J32" s="47"/>
      <c r="K32" s="47"/>
      <c r="L32" s="48"/>
      <c r="N32" t="s">
        <v>628</v>
      </c>
      <c r="O32" t="s">
        <v>629</v>
      </c>
      <c r="P32" t="s">
        <v>443</v>
      </c>
      <c r="Q32">
        <v>9</v>
      </c>
      <c r="R32" t="s">
        <v>1299</v>
      </c>
      <c r="S32" t="s">
        <v>1300</v>
      </c>
      <c r="T32" t="s">
        <v>1301</v>
      </c>
      <c r="U32" t="s">
        <v>1251</v>
      </c>
    </row>
    <row r="33" spans="1:21">
      <c r="A33" s="46"/>
      <c r="B33" s="47"/>
      <c r="C33" s="47"/>
      <c r="D33" s="47"/>
      <c r="E33" s="47"/>
      <c r="F33" s="47"/>
      <c r="G33" s="47"/>
      <c r="H33" s="47"/>
      <c r="I33" s="47"/>
      <c r="J33" s="47"/>
      <c r="K33" s="47"/>
      <c r="L33" s="48"/>
      <c r="N33" t="s">
        <v>638</v>
      </c>
      <c r="O33" t="s">
        <v>639</v>
      </c>
      <c r="P33" t="s">
        <v>18</v>
      </c>
      <c r="Q33">
        <v>9</v>
      </c>
      <c r="R33" t="s">
        <v>1302</v>
      </c>
      <c r="S33" t="s">
        <v>1272</v>
      </c>
      <c r="T33" t="s">
        <v>1303</v>
      </c>
      <c r="U33" t="s">
        <v>1251</v>
      </c>
    </row>
    <row r="34" spans="1:21">
      <c r="A34" s="46"/>
      <c r="B34" s="47"/>
      <c r="C34" s="47"/>
      <c r="D34" s="47"/>
      <c r="E34" s="47"/>
      <c r="F34" s="47"/>
      <c r="G34" s="47"/>
      <c r="H34" s="47"/>
      <c r="I34" s="47"/>
      <c r="J34" s="47"/>
      <c r="K34" s="47"/>
      <c r="L34" s="48"/>
      <c r="N34" t="s">
        <v>739</v>
      </c>
      <c r="O34" t="s">
        <v>740</v>
      </c>
      <c r="P34" t="s">
        <v>417</v>
      </c>
      <c r="Q34">
        <v>7</v>
      </c>
      <c r="R34" t="s">
        <v>1304</v>
      </c>
      <c r="S34" t="s">
        <v>1263</v>
      </c>
      <c r="T34" t="s">
        <v>1305</v>
      </c>
      <c r="U34" t="s">
        <v>1251</v>
      </c>
    </row>
    <row r="35" spans="1:21">
      <c r="A35" s="46"/>
      <c r="B35" s="47"/>
      <c r="C35" s="47"/>
      <c r="D35" s="47"/>
      <c r="E35" s="47"/>
      <c r="F35" s="47"/>
      <c r="G35" s="47"/>
      <c r="H35" s="47"/>
      <c r="I35" s="47"/>
      <c r="J35" s="47"/>
      <c r="K35" s="47"/>
      <c r="L35" s="48"/>
      <c r="N35" t="s">
        <v>402</v>
      </c>
      <c r="O35" t="s">
        <v>403</v>
      </c>
      <c r="P35" t="s">
        <v>86</v>
      </c>
      <c r="Q35">
        <v>12</v>
      </c>
      <c r="R35" t="s">
        <v>1306</v>
      </c>
      <c r="S35" t="s">
        <v>1183</v>
      </c>
      <c r="T35" t="s">
        <v>1307</v>
      </c>
      <c r="U35" t="s">
        <v>1251</v>
      </c>
    </row>
    <row r="36" spans="1:21">
      <c r="A36" s="46"/>
      <c r="B36" s="47"/>
      <c r="C36" s="47"/>
      <c r="D36" s="47"/>
      <c r="E36" s="47"/>
      <c r="F36" s="47"/>
      <c r="G36" s="47"/>
      <c r="H36" s="47"/>
      <c r="I36" s="47"/>
      <c r="J36" s="47"/>
      <c r="K36" s="47"/>
      <c r="L36" s="48"/>
      <c r="N36" t="s">
        <v>580</v>
      </c>
      <c r="O36" t="s">
        <v>581</v>
      </c>
      <c r="P36" t="s">
        <v>18</v>
      </c>
      <c r="Q36">
        <v>10</v>
      </c>
      <c r="R36" t="s">
        <v>1308</v>
      </c>
      <c r="S36" t="s">
        <v>1263</v>
      </c>
      <c r="T36" t="s">
        <v>1309</v>
      </c>
      <c r="U36" t="s">
        <v>1251</v>
      </c>
    </row>
    <row r="37" spans="1:21">
      <c r="A37" s="46"/>
      <c r="B37" s="47"/>
      <c r="C37" s="47"/>
      <c r="D37" s="47"/>
      <c r="E37" s="47"/>
      <c r="F37" s="47"/>
      <c r="G37" s="47"/>
      <c r="H37" s="47"/>
      <c r="I37" s="47"/>
      <c r="J37" s="47"/>
      <c r="K37" s="47"/>
      <c r="L37" s="48"/>
      <c r="N37" t="s">
        <v>527</v>
      </c>
      <c r="O37" t="s">
        <v>528</v>
      </c>
      <c r="P37" t="s">
        <v>86</v>
      </c>
      <c r="Q37">
        <v>10</v>
      </c>
      <c r="R37" t="s">
        <v>1310</v>
      </c>
      <c r="S37" t="s">
        <v>1311</v>
      </c>
      <c r="T37" t="s">
        <v>1309</v>
      </c>
      <c r="U37" t="s">
        <v>1251</v>
      </c>
    </row>
    <row r="38" spans="1:21">
      <c r="A38" s="46"/>
      <c r="B38" s="47"/>
      <c r="C38" s="47"/>
      <c r="D38" s="47"/>
      <c r="E38" s="47"/>
      <c r="F38" s="47"/>
      <c r="G38" s="47"/>
      <c r="H38" s="47"/>
      <c r="I38" s="47"/>
      <c r="J38" s="47"/>
      <c r="K38" s="47"/>
      <c r="L38" s="48"/>
      <c r="N38" t="s">
        <v>620</v>
      </c>
      <c r="O38" t="s">
        <v>621</v>
      </c>
      <c r="P38" t="s">
        <v>86</v>
      </c>
      <c r="Q38">
        <v>7</v>
      </c>
      <c r="R38" t="s">
        <v>1312</v>
      </c>
      <c r="S38" t="s">
        <v>1313</v>
      </c>
      <c r="T38" t="s">
        <v>1314</v>
      </c>
      <c r="U38" t="s">
        <v>1251</v>
      </c>
    </row>
    <row r="39" spans="1:21">
      <c r="A39" s="46"/>
      <c r="B39" s="47"/>
      <c r="C39" s="47"/>
      <c r="D39" s="47"/>
      <c r="E39" s="47"/>
      <c r="F39" s="47"/>
      <c r="G39" s="47"/>
      <c r="H39" s="47"/>
      <c r="I39" s="47"/>
      <c r="J39" s="47"/>
      <c r="K39" s="47"/>
      <c r="L39" s="48"/>
      <c r="N39" t="s">
        <v>703</v>
      </c>
      <c r="O39" t="s">
        <v>704</v>
      </c>
      <c r="P39" t="s">
        <v>86</v>
      </c>
      <c r="Q39">
        <v>8</v>
      </c>
      <c r="R39" t="s">
        <v>1315</v>
      </c>
      <c r="S39" t="s">
        <v>1255</v>
      </c>
      <c r="T39" t="s">
        <v>1316</v>
      </c>
      <c r="U39" t="s">
        <v>1251</v>
      </c>
    </row>
    <row r="40" spans="1:21">
      <c r="A40" s="46"/>
      <c r="B40" s="47"/>
      <c r="C40" s="47"/>
      <c r="D40" s="47"/>
      <c r="E40" s="47"/>
      <c r="F40" s="47"/>
      <c r="G40" s="47"/>
      <c r="H40" s="47"/>
      <c r="I40" s="47"/>
      <c r="J40" s="47"/>
      <c r="K40" s="47"/>
      <c r="L40" s="48"/>
      <c r="N40" t="s">
        <v>715</v>
      </c>
      <c r="O40" t="s">
        <v>716</v>
      </c>
      <c r="P40" t="s">
        <v>26</v>
      </c>
      <c r="Q40">
        <v>2</v>
      </c>
      <c r="R40" t="s">
        <v>1317</v>
      </c>
      <c r="S40" t="s">
        <v>1318</v>
      </c>
      <c r="T40" t="s">
        <v>1318</v>
      </c>
      <c r="U40" t="s">
        <v>1251</v>
      </c>
    </row>
    <row r="41" spans="1:21" ht="14" thickBot="1">
      <c r="A41" s="49"/>
      <c r="B41" s="50"/>
      <c r="C41" s="50"/>
      <c r="D41" s="50"/>
      <c r="E41" s="50"/>
      <c r="F41" s="50"/>
      <c r="G41" s="50"/>
      <c r="H41" s="50"/>
      <c r="I41" s="50"/>
      <c r="J41" s="50"/>
      <c r="K41" s="50"/>
      <c r="L41" s="51"/>
      <c r="N41" t="s">
        <v>408</v>
      </c>
      <c r="O41" t="s">
        <v>409</v>
      </c>
      <c r="P41" t="s">
        <v>140</v>
      </c>
      <c r="Q41">
        <v>10</v>
      </c>
      <c r="R41" t="s">
        <v>1319</v>
      </c>
      <c r="S41" t="s">
        <v>1263</v>
      </c>
      <c r="T41" t="s">
        <v>1320</v>
      </c>
      <c r="U41" t="s">
        <v>1251</v>
      </c>
    </row>
    <row r="42" spans="1:21">
      <c r="N42" t="s">
        <v>531</v>
      </c>
      <c r="O42" t="s">
        <v>532</v>
      </c>
      <c r="P42" t="s">
        <v>113</v>
      </c>
      <c r="Q42">
        <v>10</v>
      </c>
      <c r="R42" t="s">
        <v>1321</v>
      </c>
      <c r="S42" t="s">
        <v>1322</v>
      </c>
      <c r="T42" t="s">
        <v>1323</v>
      </c>
      <c r="U42" t="s">
        <v>1251</v>
      </c>
    </row>
    <row r="43" spans="1:21">
      <c r="N43" t="s">
        <v>769</v>
      </c>
      <c r="O43" t="s">
        <v>1173</v>
      </c>
      <c r="P43" t="s">
        <v>140</v>
      </c>
      <c r="Q43">
        <v>3</v>
      </c>
      <c r="R43" t="s">
        <v>1324</v>
      </c>
      <c r="S43" t="s">
        <v>1325</v>
      </c>
      <c r="T43" t="s">
        <v>1326</v>
      </c>
      <c r="U43" t="s">
        <v>1251</v>
      </c>
    </row>
    <row r="44" spans="1:21">
      <c r="N44" t="s">
        <v>498</v>
      </c>
      <c r="O44" t="s">
        <v>499</v>
      </c>
      <c r="P44" t="s">
        <v>113</v>
      </c>
      <c r="Q44">
        <v>10</v>
      </c>
      <c r="R44" t="s">
        <v>1327</v>
      </c>
      <c r="S44" t="s">
        <v>1328</v>
      </c>
      <c r="T44" t="s">
        <v>1329</v>
      </c>
      <c r="U44" t="s">
        <v>1251</v>
      </c>
    </row>
    <row r="45" spans="1:21">
      <c r="N45" t="s">
        <v>412</v>
      </c>
      <c r="O45" t="s">
        <v>1151</v>
      </c>
      <c r="P45" t="s">
        <v>417</v>
      </c>
      <c r="Q45">
        <v>10</v>
      </c>
      <c r="R45" t="s">
        <v>1330</v>
      </c>
      <c r="S45" t="s">
        <v>1263</v>
      </c>
      <c r="T45" t="s">
        <v>1331</v>
      </c>
      <c r="U45" t="s">
        <v>1251</v>
      </c>
    </row>
    <row r="46" spans="1:21">
      <c r="N46" t="s">
        <v>724</v>
      </c>
      <c r="O46" t="s">
        <v>725</v>
      </c>
      <c r="P46" t="s">
        <v>93</v>
      </c>
      <c r="Q46">
        <v>6</v>
      </c>
      <c r="R46" t="s">
        <v>1332</v>
      </c>
      <c r="S46" t="s">
        <v>1333</v>
      </c>
      <c r="T46" t="s">
        <v>1334</v>
      </c>
      <c r="U46" t="s">
        <v>1251</v>
      </c>
    </row>
    <row r="47" spans="1:21">
      <c r="N47" t="s">
        <v>671</v>
      </c>
      <c r="O47" t="s">
        <v>672</v>
      </c>
      <c r="P47" t="s">
        <v>26</v>
      </c>
      <c r="Q47">
        <v>5</v>
      </c>
      <c r="R47" t="s">
        <v>1335</v>
      </c>
      <c r="S47" t="s">
        <v>1336</v>
      </c>
      <c r="T47" t="s">
        <v>1334</v>
      </c>
      <c r="U47" t="s">
        <v>1251</v>
      </c>
    </row>
    <row r="48" spans="1:21">
      <c r="N48" t="s">
        <v>561</v>
      </c>
      <c r="O48" t="s">
        <v>562</v>
      </c>
      <c r="P48" t="s">
        <v>26</v>
      </c>
      <c r="Q48">
        <v>9</v>
      </c>
      <c r="R48" t="s">
        <v>1337</v>
      </c>
      <c r="S48" t="s">
        <v>1338</v>
      </c>
      <c r="T48" t="s">
        <v>1339</v>
      </c>
      <c r="U48" t="s">
        <v>1251</v>
      </c>
    </row>
    <row r="49" spans="14:21">
      <c r="N49" t="s">
        <v>535</v>
      </c>
      <c r="O49" t="s">
        <v>536</v>
      </c>
      <c r="P49" t="s">
        <v>18</v>
      </c>
      <c r="Q49">
        <v>9</v>
      </c>
      <c r="R49" t="s">
        <v>1340</v>
      </c>
      <c r="S49" t="s">
        <v>1183</v>
      </c>
      <c r="T49" t="s">
        <v>1341</v>
      </c>
      <c r="U49" t="s">
        <v>1251</v>
      </c>
    </row>
    <row r="50" spans="14:21">
      <c r="N50" t="s">
        <v>502</v>
      </c>
      <c r="O50" t="s">
        <v>503</v>
      </c>
      <c r="P50" t="s">
        <v>448</v>
      </c>
      <c r="Q50">
        <v>9</v>
      </c>
      <c r="R50" t="s">
        <v>1342</v>
      </c>
      <c r="S50" t="s">
        <v>1311</v>
      </c>
      <c r="T50" t="s">
        <v>1343</v>
      </c>
      <c r="U50" t="s">
        <v>1251</v>
      </c>
    </row>
    <row r="51" spans="14:21">
      <c r="N51" t="s">
        <v>650</v>
      </c>
      <c r="O51" t="s">
        <v>1163</v>
      </c>
      <c r="P51" t="s">
        <v>448</v>
      </c>
      <c r="Q51">
        <v>7</v>
      </c>
      <c r="R51" t="s">
        <v>1344</v>
      </c>
      <c r="S51" t="s">
        <v>1249</v>
      </c>
      <c r="T51" t="s">
        <v>1270</v>
      </c>
      <c r="U51" t="s">
        <v>1251</v>
      </c>
    </row>
    <row r="52" spans="14:21">
      <c r="N52" t="s">
        <v>601</v>
      </c>
      <c r="O52" t="s">
        <v>602</v>
      </c>
      <c r="P52" t="s">
        <v>605</v>
      </c>
      <c r="Q52">
        <v>8</v>
      </c>
      <c r="R52" t="s">
        <v>1345</v>
      </c>
      <c r="S52" t="s">
        <v>1313</v>
      </c>
      <c r="T52" t="s">
        <v>1346</v>
      </c>
      <c r="U52" t="s">
        <v>1251</v>
      </c>
    </row>
    <row r="53" spans="14:21">
      <c r="N53" t="s">
        <v>489</v>
      </c>
      <c r="O53" t="s">
        <v>490</v>
      </c>
      <c r="P53" t="s">
        <v>26</v>
      </c>
      <c r="Q53">
        <v>9</v>
      </c>
      <c r="R53" t="s">
        <v>1347</v>
      </c>
      <c r="S53" t="s">
        <v>1348</v>
      </c>
      <c r="T53" t="s">
        <v>1349</v>
      </c>
      <c r="U53" t="s">
        <v>1251</v>
      </c>
    </row>
    <row r="54" spans="14:21">
      <c r="N54" t="s">
        <v>427</v>
      </c>
      <c r="O54" t="s">
        <v>428</v>
      </c>
      <c r="P54" t="s">
        <v>86</v>
      </c>
      <c r="Q54">
        <v>9</v>
      </c>
      <c r="R54" t="s">
        <v>1350</v>
      </c>
      <c r="S54" t="s">
        <v>1263</v>
      </c>
      <c r="T54" t="s">
        <v>1346</v>
      </c>
      <c r="U54" t="s">
        <v>1251</v>
      </c>
    </row>
    <row r="55" spans="14:21">
      <c r="N55" t="s">
        <v>748</v>
      </c>
      <c r="O55" t="s">
        <v>749</v>
      </c>
      <c r="P55" t="s">
        <v>26</v>
      </c>
      <c r="Q55">
        <v>4</v>
      </c>
      <c r="R55" t="s">
        <v>1351</v>
      </c>
      <c r="S55" t="s">
        <v>1311</v>
      </c>
      <c r="T55" t="s">
        <v>1253</v>
      </c>
      <c r="U55" t="s">
        <v>1251</v>
      </c>
    </row>
    <row r="56" spans="14:21">
      <c r="N56" t="s">
        <v>453</v>
      </c>
      <c r="O56" t="s">
        <v>1165</v>
      </c>
      <c r="P56" t="s">
        <v>86</v>
      </c>
      <c r="Q56">
        <v>9</v>
      </c>
      <c r="R56" t="s">
        <v>1352</v>
      </c>
      <c r="S56" t="s">
        <v>1353</v>
      </c>
      <c r="T56" t="s">
        <v>1354</v>
      </c>
      <c r="U56" t="s">
        <v>1251</v>
      </c>
    </row>
    <row r="57" spans="14:21">
      <c r="N57" t="s">
        <v>449</v>
      </c>
      <c r="O57" t="s">
        <v>1159</v>
      </c>
      <c r="P57" t="s">
        <v>93</v>
      </c>
      <c r="Q57">
        <v>9</v>
      </c>
      <c r="R57" t="s">
        <v>1355</v>
      </c>
      <c r="S57" t="s">
        <v>1313</v>
      </c>
      <c r="T57" t="s">
        <v>1356</v>
      </c>
      <c r="U57" t="s">
        <v>1251</v>
      </c>
    </row>
    <row r="58" spans="14:21">
      <c r="N58" t="s">
        <v>557</v>
      </c>
      <c r="O58" t="s">
        <v>1161</v>
      </c>
      <c r="P58" t="s">
        <v>50</v>
      </c>
      <c r="Q58">
        <v>8</v>
      </c>
      <c r="R58" t="s">
        <v>1357</v>
      </c>
      <c r="S58" t="s">
        <v>1183</v>
      </c>
      <c r="T58" t="s">
        <v>1358</v>
      </c>
      <c r="U58" t="s">
        <v>1251</v>
      </c>
    </row>
    <row r="59" spans="14:21">
      <c r="N59" t="s">
        <v>732</v>
      </c>
      <c r="O59" t="s">
        <v>733</v>
      </c>
      <c r="P59" t="s">
        <v>698</v>
      </c>
      <c r="Q59">
        <v>5</v>
      </c>
      <c r="R59" t="s">
        <v>1359</v>
      </c>
      <c r="S59" t="s">
        <v>1360</v>
      </c>
      <c r="T59" t="s">
        <v>1361</v>
      </c>
      <c r="U59" t="s">
        <v>1251</v>
      </c>
    </row>
    <row r="60" spans="14:21">
      <c r="N60" t="s">
        <v>616</v>
      </c>
      <c r="O60" t="s">
        <v>617</v>
      </c>
      <c r="P60" t="s">
        <v>161</v>
      </c>
      <c r="Q60">
        <v>6</v>
      </c>
      <c r="R60" t="s">
        <v>1362</v>
      </c>
      <c r="S60" t="s">
        <v>1363</v>
      </c>
      <c r="T60" t="s">
        <v>1364</v>
      </c>
      <c r="U60" t="s">
        <v>1251</v>
      </c>
    </row>
    <row r="61" spans="14:21">
      <c r="N61" t="s">
        <v>566</v>
      </c>
      <c r="O61" t="s">
        <v>567</v>
      </c>
      <c r="P61" t="s">
        <v>26</v>
      </c>
      <c r="Q61">
        <v>7</v>
      </c>
      <c r="R61" t="s">
        <v>1365</v>
      </c>
      <c r="S61" t="s">
        <v>1263</v>
      </c>
      <c r="T61" t="s">
        <v>1366</v>
      </c>
      <c r="U61" t="s">
        <v>1251</v>
      </c>
    </row>
    <row r="62" spans="14:21">
      <c r="N62" t="s">
        <v>690</v>
      </c>
      <c r="O62" t="s">
        <v>691</v>
      </c>
      <c r="P62" t="s">
        <v>140</v>
      </c>
      <c r="Q62">
        <v>5</v>
      </c>
      <c r="R62" t="s">
        <v>1367</v>
      </c>
      <c r="S62" t="s">
        <v>1336</v>
      </c>
      <c r="T62" t="s">
        <v>1288</v>
      </c>
      <c r="U62" t="s">
        <v>1251</v>
      </c>
    </row>
    <row r="63" spans="14:21">
      <c r="N63" t="s">
        <v>423</v>
      </c>
      <c r="O63" t="s">
        <v>424</v>
      </c>
      <c r="P63" t="s">
        <v>422</v>
      </c>
      <c r="Q63">
        <v>8</v>
      </c>
      <c r="R63" t="s">
        <v>1368</v>
      </c>
      <c r="S63" t="s">
        <v>1272</v>
      </c>
      <c r="T63" t="s">
        <v>1369</v>
      </c>
      <c r="U63" t="s">
        <v>1251</v>
      </c>
    </row>
    <row r="64" spans="14:21">
      <c r="N64" t="s">
        <v>765</v>
      </c>
      <c r="O64" t="s">
        <v>766</v>
      </c>
      <c r="P64" t="s">
        <v>140</v>
      </c>
      <c r="Q64">
        <v>3</v>
      </c>
      <c r="R64" t="s">
        <v>1370</v>
      </c>
      <c r="S64" t="s">
        <v>1371</v>
      </c>
      <c r="T64" t="s">
        <v>1281</v>
      </c>
      <c r="U64" t="s">
        <v>1372</v>
      </c>
    </row>
    <row r="65" spans="14:21">
      <c r="N65" t="s">
        <v>665</v>
      </c>
      <c r="O65" t="s">
        <v>1110</v>
      </c>
      <c r="P65" t="s">
        <v>670</v>
      </c>
      <c r="Q65">
        <v>6</v>
      </c>
      <c r="R65" t="s">
        <v>1373</v>
      </c>
      <c r="S65" t="s">
        <v>1360</v>
      </c>
      <c r="T65" t="s">
        <v>1361</v>
      </c>
      <c r="U65" t="s">
        <v>1372</v>
      </c>
    </row>
    <row r="66" spans="14:21">
      <c r="N66" t="s">
        <v>744</v>
      </c>
      <c r="O66" t="s">
        <v>745</v>
      </c>
      <c r="P66" t="s">
        <v>26</v>
      </c>
      <c r="Q66">
        <v>3</v>
      </c>
      <c r="R66" t="s">
        <v>1374</v>
      </c>
      <c r="S66" t="s">
        <v>1272</v>
      </c>
      <c r="T66" t="s">
        <v>1375</v>
      </c>
      <c r="U66" t="s">
        <v>1372</v>
      </c>
    </row>
    <row r="67" spans="14:21">
      <c r="N67" t="s">
        <v>543</v>
      </c>
      <c r="O67" t="s">
        <v>1164</v>
      </c>
      <c r="P67" t="s">
        <v>86</v>
      </c>
      <c r="Q67">
        <v>6</v>
      </c>
      <c r="R67" t="s">
        <v>1376</v>
      </c>
      <c r="S67" t="s">
        <v>1263</v>
      </c>
      <c r="T67" t="s">
        <v>1377</v>
      </c>
      <c r="U67" t="s">
        <v>1372</v>
      </c>
    </row>
    <row r="68" spans="14:21">
      <c r="N68" t="s">
        <v>675</v>
      </c>
      <c r="O68" t="s">
        <v>1166</v>
      </c>
      <c r="P68" t="s">
        <v>121</v>
      </c>
      <c r="Q68">
        <v>5</v>
      </c>
      <c r="R68" t="s">
        <v>1378</v>
      </c>
      <c r="S68" t="s">
        <v>1379</v>
      </c>
      <c r="T68" t="s">
        <v>1380</v>
      </c>
      <c r="U68" t="s">
        <v>1372</v>
      </c>
    </row>
    <row r="69" spans="14:21">
      <c r="N69" t="s">
        <v>694</v>
      </c>
      <c r="O69" t="s">
        <v>1171</v>
      </c>
      <c r="P69" t="s">
        <v>698</v>
      </c>
      <c r="Q69">
        <v>5</v>
      </c>
      <c r="R69" t="s">
        <v>1381</v>
      </c>
      <c r="S69" t="s">
        <v>1382</v>
      </c>
      <c r="T69" t="s">
        <v>1383</v>
      </c>
      <c r="U69" t="s">
        <v>1372</v>
      </c>
    </row>
    <row r="70" spans="14:21">
      <c r="N70" t="s">
        <v>699</v>
      </c>
      <c r="O70" t="s">
        <v>700</v>
      </c>
      <c r="P70" t="s">
        <v>113</v>
      </c>
      <c r="Q70">
        <v>4</v>
      </c>
      <c r="R70" t="s">
        <v>1384</v>
      </c>
      <c r="S70" t="s">
        <v>1385</v>
      </c>
      <c r="T70" t="s">
        <v>1386</v>
      </c>
      <c r="U70" t="s">
        <v>1372</v>
      </c>
    </row>
    <row r="71" spans="14:21">
      <c r="N71" t="s">
        <v>653</v>
      </c>
      <c r="O71" t="s">
        <v>1174</v>
      </c>
      <c r="P71" t="s">
        <v>50</v>
      </c>
      <c r="Q71">
        <v>5</v>
      </c>
      <c r="R71" t="s">
        <v>1387</v>
      </c>
      <c r="S71" t="s">
        <v>1388</v>
      </c>
      <c r="T71" t="s">
        <v>1389</v>
      </c>
      <c r="U71" t="s">
        <v>1372</v>
      </c>
    </row>
    <row r="72" spans="14:21">
      <c r="N72" t="s">
        <v>757</v>
      </c>
      <c r="O72" t="s">
        <v>758</v>
      </c>
      <c r="P72" t="s">
        <v>26</v>
      </c>
      <c r="Q72">
        <v>3</v>
      </c>
      <c r="R72" t="s">
        <v>1390</v>
      </c>
      <c r="S72" t="s">
        <v>1391</v>
      </c>
      <c r="T72" t="s">
        <v>1268</v>
      </c>
      <c r="U72" t="s">
        <v>1372</v>
      </c>
    </row>
    <row r="73" spans="14:21">
      <c r="N73" t="s">
        <v>646</v>
      </c>
      <c r="O73" t="s">
        <v>647</v>
      </c>
      <c r="P73" t="s">
        <v>18</v>
      </c>
      <c r="Q73">
        <v>5</v>
      </c>
      <c r="R73" t="s">
        <v>1392</v>
      </c>
      <c r="S73" t="s">
        <v>1385</v>
      </c>
      <c r="T73" t="s">
        <v>1393</v>
      </c>
      <c r="U73" t="s">
        <v>1372</v>
      </c>
    </row>
    <row r="74" spans="14:21">
      <c r="N74" t="s">
        <v>418</v>
      </c>
      <c r="O74" t="s">
        <v>419</v>
      </c>
      <c r="P74" t="s">
        <v>422</v>
      </c>
      <c r="Q74">
        <v>6</v>
      </c>
      <c r="R74" t="s">
        <v>1394</v>
      </c>
      <c r="S74" t="s">
        <v>1322</v>
      </c>
      <c r="T74" t="s">
        <v>1369</v>
      </c>
      <c r="U74" t="s">
        <v>1372</v>
      </c>
    </row>
    <row r="75" spans="14:21">
      <c r="N75" t="s">
        <v>394</v>
      </c>
      <c r="O75" t="s">
        <v>395</v>
      </c>
      <c r="P75" t="s">
        <v>140</v>
      </c>
      <c r="Q75">
        <v>5</v>
      </c>
      <c r="R75" t="s">
        <v>1395</v>
      </c>
      <c r="S75" t="s">
        <v>1183</v>
      </c>
      <c r="T75" t="s">
        <v>1396</v>
      </c>
      <c r="U75" t="s">
        <v>1372</v>
      </c>
    </row>
    <row r="76" spans="14:21">
      <c r="N76" t="s">
        <v>712</v>
      </c>
      <c r="O76" t="s">
        <v>713</v>
      </c>
      <c r="P76" t="s">
        <v>698</v>
      </c>
      <c r="Q76">
        <v>4</v>
      </c>
      <c r="R76" t="s">
        <v>1397</v>
      </c>
      <c r="S76" t="s">
        <v>1398</v>
      </c>
      <c r="T76" t="s">
        <v>1399</v>
      </c>
      <c r="U76" t="s">
        <v>1372</v>
      </c>
    </row>
    <row r="77" spans="14:21">
      <c r="N77" t="s">
        <v>398</v>
      </c>
      <c r="O77" t="s">
        <v>1167</v>
      </c>
      <c r="P77" t="s">
        <v>93</v>
      </c>
      <c r="Q77">
        <v>6</v>
      </c>
      <c r="R77" t="s">
        <v>1400</v>
      </c>
      <c r="S77" t="s">
        <v>1333</v>
      </c>
      <c r="T77" t="s">
        <v>1401</v>
      </c>
      <c r="U77" t="s">
        <v>1372</v>
      </c>
    </row>
    <row r="78" spans="14:21">
      <c r="N78" t="s">
        <v>613</v>
      </c>
      <c r="O78" t="s">
        <v>614</v>
      </c>
      <c r="P78" t="s">
        <v>605</v>
      </c>
      <c r="Q78">
        <v>5</v>
      </c>
      <c r="R78" t="s">
        <v>1402</v>
      </c>
      <c r="S78" t="s">
        <v>1403</v>
      </c>
      <c r="T78" t="s">
        <v>1404</v>
      </c>
      <c r="U78" t="s">
        <v>1372</v>
      </c>
    </row>
    <row r="79" spans="14:21">
      <c r="N79" t="s">
        <v>642</v>
      </c>
      <c r="O79" t="s">
        <v>643</v>
      </c>
      <c r="P79" t="s">
        <v>93</v>
      </c>
      <c r="Q79">
        <v>4</v>
      </c>
      <c r="R79" t="s">
        <v>1405</v>
      </c>
      <c r="S79" t="s">
        <v>1348</v>
      </c>
      <c r="T79" t="s">
        <v>1406</v>
      </c>
      <c r="U79" t="s">
        <v>1372</v>
      </c>
    </row>
    <row r="80" spans="14:21">
      <c r="N80" t="s">
        <v>586</v>
      </c>
      <c r="O80" t="s">
        <v>1170</v>
      </c>
      <c r="P80" t="s">
        <v>448</v>
      </c>
      <c r="Q80">
        <v>5</v>
      </c>
      <c r="R80" t="s">
        <v>1405</v>
      </c>
      <c r="S80" t="s">
        <v>1407</v>
      </c>
      <c r="T80" t="s">
        <v>1408</v>
      </c>
      <c r="U80" t="s">
        <v>1372</v>
      </c>
    </row>
    <row r="81" spans="14:21">
      <c r="N81" t="s">
        <v>719</v>
      </c>
      <c r="O81" t="s">
        <v>720</v>
      </c>
      <c r="P81" t="s">
        <v>192</v>
      </c>
      <c r="Q81">
        <v>3</v>
      </c>
      <c r="R81" t="s">
        <v>1409</v>
      </c>
      <c r="S81" t="s">
        <v>1253</v>
      </c>
      <c r="T81" t="s">
        <v>1339</v>
      </c>
      <c r="U81" t="s">
        <v>1372</v>
      </c>
    </row>
    <row r="82" spans="14:21">
      <c r="N82" t="s">
        <v>505</v>
      </c>
      <c r="O82" t="s">
        <v>506</v>
      </c>
      <c r="P82" t="s">
        <v>93</v>
      </c>
      <c r="Q82">
        <v>5</v>
      </c>
      <c r="R82" t="s">
        <v>1410</v>
      </c>
      <c r="S82" t="s">
        <v>1411</v>
      </c>
      <c r="T82" t="s">
        <v>1412</v>
      </c>
      <c r="U82" t="s">
        <v>1372</v>
      </c>
    </row>
    <row r="83" spans="14:21">
      <c r="N83" t="s">
        <v>576</v>
      </c>
      <c r="O83" t="s">
        <v>577</v>
      </c>
      <c r="P83" t="s">
        <v>140</v>
      </c>
      <c r="Q83">
        <v>4</v>
      </c>
      <c r="R83" t="s">
        <v>1413</v>
      </c>
      <c r="S83" t="s">
        <v>1245</v>
      </c>
      <c r="T83" t="s">
        <v>1414</v>
      </c>
      <c r="U83" t="s">
        <v>1372</v>
      </c>
    </row>
    <row r="84" spans="14:21">
      <c r="N84" t="s">
        <v>708</v>
      </c>
      <c r="O84" t="s">
        <v>709</v>
      </c>
      <c r="P84" t="s">
        <v>18</v>
      </c>
      <c r="Q84">
        <v>3</v>
      </c>
      <c r="R84" t="s">
        <v>1415</v>
      </c>
      <c r="S84" t="s">
        <v>1313</v>
      </c>
      <c r="T84" t="s">
        <v>1416</v>
      </c>
      <c r="U84" t="s">
        <v>1372</v>
      </c>
    </row>
    <row r="85" spans="14:21">
      <c r="N85" t="s">
        <v>570</v>
      </c>
      <c r="O85" t="s">
        <v>571</v>
      </c>
      <c r="P85" t="s">
        <v>448</v>
      </c>
      <c r="Q85">
        <v>4</v>
      </c>
      <c r="R85" t="s">
        <v>1417</v>
      </c>
      <c r="S85" t="s">
        <v>1418</v>
      </c>
      <c r="T85" t="s">
        <v>1419</v>
      </c>
      <c r="U85" t="s">
        <v>1372</v>
      </c>
    </row>
    <row r="86" spans="14:21">
      <c r="N86" t="s">
        <v>573</v>
      </c>
      <c r="O86" t="s">
        <v>574</v>
      </c>
      <c r="P86" t="s">
        <v>26</v>
      </c>
      <c r="Q86">
        <v>4</v>
      </c>
      <c r="R86" t="s">
        <v>1420</v>
      </c>
      <c r="S86" t="s">
        <v>1421</v>
      </c>
      <c r="T86" t="s">
        <v>1422</v>
      </c>
      <c r="U86" t="s">
        <v>1237</v>
      </c>
    </row>
    <row r="87" spans="14:21">
      <c r="N87" t="s">
        <v>518</v>
      </c>
      <c r="O87" t="s">
        <v>519</v>
      </c>
      <c r="P87" t="s">
        <v>50</v>
      </c>
      <c r="Q87">
        <v>4</v>
      </c>
      <c r="R87" t="s">
        <v>1423</v>
      </c>
      <c r="S87" t="s">
        <v>1183</v>
      </c>
      <c r="T87" t="s">
        <v>1424</v>
      </c>
      <c r="U87" t="s">
        <v>1237</v>
      </c>
    </row>
    <row r="88" spans="14:21">
      <c r="N88" t="s">
        <v>539</v>
      </c>
      <c r="O88" t="s">
        <v>1172</v>
      </c>
      <c r="P88" t="s">
        <v>86</v>
      </c>
      <c r="Q88">
        <v>4</v>
      </c>
      <c r="R88" t="s">
        <v>1425</v>
      </c>
      <c r="S88" t="s">
        <v>1313</v>
      </c>
      <c r="T88" t="s">
        <v>1426</v>
      </c>
      <c r="U88" t="s">
        <v>1237</v>
      </c>
    </row>
    <row r="89" spans="14:21">
      <c r="N89" t="s">
        <v>728</v>
      </c>
      <c r="O89" t="s">
        <v>729</v>
      </c>
      <c r="P89" t="s">
        <v>18</v>
      </c>
      <c r="Q89">
        <v>2</v>
      </c>
      <c r="R89" t="s">
        <v>1427</v>
      </c>
      <c r="S89" t="s">
        <v>1428</v>
      </c>
      <c r="T89" t="s">
        <v>1428</v>
      </c>
      <c r="U89" t="s">
        <v>1237</v>
      </c>
    </row>
    <row r="90" spans="14:21">
      <c r="N90" t="s">
        <v>598</v>
      </c>
      <c r="O90" t="s">
        <v>1169</v>
      </c>
      <c r="P90" t="s">
        <v>50</v>
      </c>
      <c r="Q90">
        <v>3</v>
      </c>
      <c r="R90" t="s">
        <v>1429</v>
      </c>
      <c r="S90" t="s">
        <v>1430</v>
      </c>
      <c r="T90" t="s">
        <v>1431</v>
      </c>
      <c r="U90" t="s">
        <v>1237</v>
      </c>
    </row>
    <row r="91" spans="14:21">
      <c r="N91" t="s">
        <v>479</v>
      </c>
      <c r="O91" t="s">
        <v>480</v>
      </c>
      <c r="P91" t="s">
        <v>438</v>
      </c>
      <c r="Q91">
        <v>2</v>
      </c>
      <c r="R91" t="s">
        <v>1432</v>
      </c>
      <c r="S91" t="s">
        <v>1433</v>
      </c>
      <c r="T91" t="s">
        <v>1433</v>
      </c>
      <c r="U91" t="s">
        <v>1237</v>
      </c>
    </row>
  </sheetData>
  <mergeCells count="2">
    <mergeCell ref="A2:L41"/>
    <mergeCell ref="A1:L1"/>
  </mergeCells>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C6D75-5D36-497C-BC5D-B2D2E9A7C7EB}">
  <dimension ref="A1:D5"/>
  <sheetViews>
    <sheetView workbookViewId="0">
      <selection activeCell="C4" sqref="A1:D5"/>
    </sheetView>
  </sheetViews>
  <sheetFormatPr baseColWidth="10" defaultColWidth="8.83203125" defaultRowHeight="13"/>
  <cols>
    <col min="1" max="1" width="10.33203125" bestFit="1" customWidth="1"/>
    <col min="2" max="2" width="8.83203125" bestFit="1" customWidth="1"/>
    <col min="3" max="3" width="18.5" bestFit="1" customWidth="1"/>
    <col min="4" max="4" width="40.6640625" bestFit="1" customWidth="1"/>
  </cols>
  <sheetData>
    <row r="1" spans="1:4">
      <c r="A1" t="s">
        <v>8</v>
      </c>
      <c r="B1" t="s">
        <v>5</v>
      </c>
      <c r="C1" t="s">
        <v>1437</v>
      </c>
      <c r="D1" t="s">
        <v>1438</v>
      </c>
    </row>
    <row r="2" spans="1:4">
      <c r="A2" t="s">
        <v>18</v>
      </c>
      <c r="B2" t="s">
        <v>16</v>
      </c>
      <c r="C2">
        <v>4</v>
      </c>
      <c r="D2" t="s">
        <v>1439</v>
      </c>
    </row>
    <row r="3" spans="1:4">
      <c r="A3" t="s">
        <v>26</v>
      </c>
      <c r="B3" t="s">
        <v>487</v>
      </c>
      <c r="C3">
        <v>2</v>
      </c>
      <c r="D3" t="s">
        <v>1440</v>
      </c>
    </row>
    <row r="4" spans="1:4">
      <c r="A4" t="s">
        <v>26</v>
      </c>
      <c r="B4" t="s">
        <v>747</v>
      </c>
      <c r="C4">
        <v>1</v>
      </c>
      <c r="D4" t="s">
        <v>31</v>
      </c>
    </row>
    <row r="5" spans="1:4">
      <c r="A5" t="s">
        <v>26</v>
      </c>
      <c r="B5" t="s">
        <v>809</v>
      </c>
      <c r="C5">
        <v>1</v>
      </c>
      <c r="D5" t="s">
        <v>31</v>
      </c>
    </row>
  </sheetData>
  <pageMargins left="0.7" right="0.7" top="0.75" bottom="0.75" header="0.3" footer="0.3"/>
  <tableParts count="1">
    <tablePart r:id="rId1"/>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95B64F-E1A7-4331-B80D-8E0D5278BB5D}">
  <dimension ref="A1:D4"/>
  <sheetViews>
    <sheetView workbookViewId="0">
      <selection activeCell="C11" sqref="C11"/>
    </sheetView>
  </sheetViews>
  <sheetFormatPr baseColWidth="10" defaultColWidth="8.83203125" defaultRowHeight="13"/>
  <cols>
    <col min="1" max="1" width="21.5" bestFit="1" customWidth="1"/>
    <col min="2" max="2" width="12.83203125" bestFit="1" customWidth="1"/>
    <col min="3" max="3" width="81.1640625" bestFit="1" customWidth="1"/>
    <col min="4" max="4" width="20.1640625" bestFit="1" customWidth="1"/>
  </cols>
  <sheetData>
    <row r="1" spans="1:4">
      <c r="A1" t="s">
        <v>778</v>
      </c>
      <c r="B1" t="s">
        <v>1441</v>
      </c>
      <c r="C1" t="s">
        <v>1442</v>
      </c>
      <c r="D1" t="s">
        <v>1443</v>
      </c>
    </row>
    <row r="2" spans="1:4">
      <c r="A2" t="s">
        <v>31</v>
      </c>
      <c r="B2">
        <v>6</v>
      </c>
      <c r="C2" t="s">
        <v>1444</v>
      </c>
      <c r="D2" t="s">
        <v>1445</v>
      </c>
    </row>
    <row r="3" spans="1:4">
      <c r="A3" t="s">
        <v>833</v>
      </c>
      <c r="B3">
        <v>1</v>
      </c>
      <c r="C3" t="s">
        <v>1446</v>
      </c>
      <c r="D3" t="s">
        <v>26</v>
      </c>
    </row>
    <row r="4" spans="1:4">
      <c r="A4" t="s">
        <v>90</v>
      </c>
      <c r="B4">
        <v>1</v>
      </c>
      <c r="C4" t="s">
        <v>1447</v>
      </c>
      <c r="D4" t="s">
        <v>18</v>
      </c>
    </row>
  </sheetData>
  <pageMargins left="0.7" right="0.7" top="0.75" bottom="0.75" header="0.3" footer="0.3"/>
  <tableParts count="1">
    <tablePart r:id="rId1"/>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88F8B4-0EEE-E242-AE3A-D327864C80FC}">
  <dimension ref="A1:F8"/>
  <sheetViews>
    <sheetView showGridLines="0" workbookViewId="0">
      <selection activeCell="B41" sqref="B41"/>
    </sheetView>
  </sheetViews>
  <sheetFormatPr baseColWidth="10" defaultRowHeight="13"/>
  <cols>
    <col min="2" max="2" width="23.1640625" bestFit="1" customWidth="1"/>
    <col min="3" max="3" width="16.6640625" bestFit="1" customWidth="1"/>
    <col min="4" max="4" width="10.6640625" bestFit="1" customWidth="1"/>
    <col min="5" max="5" width="21" bestFit="1" customWidth="1"/>
  </cols>
  <sheetData>
    <row r="1" spans="1:6" ht="22" thickBot="1">
      <c r="A1" s="19" t="s">
        <v>1608</v>
      </c>
      <c r="B1" s="20" t="s">
        <v>1593</v>
      </c>
      <c r="C1" s="21"/>
      <c r="D1" s="21"/>
      <c r="E1" s="21"/>
      <c r="F1" s="22"/>
    </row>
    <row r="3" spans="1:6">
      <c r="B3" s="12" t="s">
        <v>1628</v>
      </c>
      <c r="C3" t="s">
        <v>1618</v>
      </c>
      <c r="D3" t="s">
        <v>1587</v>
      </c>
    </row>
    <row r="4" spans="1:6">
      <c r="B4" s="13" t="s">
        <v>1241</v>
      </c>
      <c r="C4">
        <v>4</v>
      </c>
      <c r="D4">
        <v>86</v>
      </c>
    </row>
    <row r="5" spans="1:6">
      <c r="B5" s="13" t="s">
        <v>1237</v>
      </c>
      <c r="C5">
        <v>7</v>
      </c>
      <c r="D5">
        <v>20</v>
      </c>
    </row>
    <row r="6" spans="1:6">
      <c r="B6" s="13" t="s">
        <v>1372</v>
      </c>
      <c r="C6">
        <v>22</v>
      </c>
      <c r="D6">
        <v>99</v>
      </c>
    </row>
    <row r="7" spans="1:6">
      <c r="B7" s="13" t="s">
        <v>1251</v>
      </c>
      <c r="C7">
        <v>56</v>
      </c>
      <c r="D7">
        <v>555</v>
      </c>
    </row>
    <row r="8" spans="1:6">
      <c r="B8" s="13" t="s">
        <v>1184</v>
      </c>
      <c r="C8">
        <v>89</v>
      </c>
      <c r="D8">
        <v>760</v>
      </c>
    </row>
  </sheetData>
  <pageMargins left="0.7" right="0.7" top="0.75" bottom="0.75" header="0.3" footer="0.3"/>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A68700-A333-434D-9542-561505854DCD}">
  <dimension ref="A1:K30"/>
  <sheetViews>
    <sheetView showGridLines="0" workbookViewId="0">
      <selection activeCell="A32" sqref="A32"/>
    </sheetView>
  </sheetViews>
  <sheetFormatPr baseColWidth="10" defaultColWidth="8.83203125" defaultRowHeight="13"/>
  <cols>
    <col min="8" max="8" width="21.5" bestFit="1" customWidth="1"/>
    <col min="9" max="9" width="12.83203125" bestFit="1" customWidth="1"/>
    <col min="10" max="10" width="85.5" bestFit="1" customWidth="1"/>
    <col min="11" max="11" width="40.6640625" bestFit="1" customWidth="1"/>
  </cols>
  <sheetData>
    <row r="1" spans="1:11" ht="14" thickBot="1">
      <c r="A1" s="43" t="s">
        <v>1448</v>
      </c>
      <c r="B1" s="44"/>
      <c r="C1" s="44"/>
      <c r="D1" s="44"/>
      <c r="E1" s="44"/>
      <c r="F1" s="45"/>
    </row>
    <row r="2" spans="1:11" ht="16.5" customHeight="1">
      <c r="A2" s="46" t="s">
        <v>1449</v>
      </c>
      <c r="B2" s="47"/>
      <c r="C2" s="47"/>
      <c r="D2" s="47"/>
      <c r="E2" s="47"/>
      <c r="F2" s="48"/>
      <c r="H2" t="s">
        <v>8</v>
      </c>
      <c r="I2" t="s">
        <v>5</v>
      </c>
      <c r="J2" t="s">
        <v>1437</v>
      </c>
      <c r="K2" t="s">
        <v>1438</v>
      </c>
    </row>
    <row r="3" spans="1:11">
      <c r="A3" s="46"/>
      <c r="B3" s="47"/>
      <c r="C3" s="47"/>
      <c r="D3" s="47"/>
      <c r="E3" s="47"/>
      <c r="F3" s="48"/>
      <c r="H3" t="s">
        <v>18</v>
      </c>
      <c r="I3" t="s">
        <v>16</v>
      </c>
      <c r="J3">
        <v>4</v>
      </c>
      <c r="K3" t="s">
        <v>1439</v>
      </c>
    </row>
    <row r="4" spans="1:11">
      <c r="A4" s="46"/>
      <c r="B4" s="47"/>
      <c r="C4" s="47"/>
      <c r="D4" s="47"/>
      <c r="E4" s="47"/>
      <c r="F4" s="48"/>
      <c r="H4" t="s">
        <v>26</v>
      </c>
      <c r="I4" t="s">
        <v>487</v>
      </c>
      <c r="J4">
        <v>2</v>
      </c>
      <c r="K4" t="s">
        <v>1440</v>
      </c>
    </row>
    <row r="5" spans="1:11">
      <c r="A5" s="46"/>
      <c r="B5" s="47"/>
      <c r="C5" s="47"/>
      <c r="D5" s="47"/>
      <c r="E5" s="47"/>
      <c r="F5" s="48"/>
      <c r="H5" t="s">
        <v>26</v>
      </c>
      <c r="I5" t="s">
        <v>747</v>
      </c>
      <c r="J5">
        <v>1</v>
      </c>
      <c r="K5" t="s">
        <v>31</v>
      </c>
    </row>
    <row r="6" spans="1:11">
      <c r="A6" s="46"/>
      <c r="B6" s="47"/>
      <c r="C6" s="47"/>
      <c r="D6" s="47"/>
      <c r="E6" s="47"/>
      <c r="F6" s="48"/>
      <c r="H6" t="s">
        <v>26</v>
      </c>
      <c r="I6" t="s">
        <v>809</v>
      </c>
      <c r="J6">
        <v>1</v>
      </c>
      <c r="K6" t="s">
        <v>31</v>
      </c>
    </row>
    <row r="7" spans="1:11">
      <c r="A7" s="46"/>
      <c r="B7" s="47"/>
      <c r="C7" s="47"/>
      <c r="D7" s="47"/>
      <c r="E7" s="47"/>
      <c r="F7" s="48"/>
    </row>
    <row r="8" spans="1:11">
      <c r="A8" s="46"/>
      <c r="B8" s="47"/>
      <c r="C8" s="47"/>
      <c r="D8" s="47"/>
      <c r="E8" s="47"/>
      <c r="F8" s="48"/>
    </row>
    <row r="9" spans="1:11">
      <c r="A9" s="46"/>
      <c r="B9" s="47"/>
      <c r="C9" s="47"/>
      <c r="D9" s="47"/>
      <c r="E9" s="47"/>
      <c r="F9" s="48"/>
    </row>
    <row r="10" spans="1:11">
      <c r="A10" s="46"/>
      <c r="B10" s="47"/>
      <c r="C10" s="47"/>
      <c r="D10" s="47"/>
      <c r="E10" s="47"/>
      <c r="F10" s="48"/>
    </row>
    <row r="11" spans="1:11">
      <c r="A11" s="46"/>
      <c r="B11" s="47"/>
      <c r="C11" s="47"/>
      <c r="D11" s="47"/>
      <c r="E11" s="47"/>
      <c r="F11" s="48"/>
    </row>
    <row r="12" spans="1:11" ht="14" thickBot="1">
      <c r="A12" s="49"/>
      <c r="B12" s="50"/>
      <c r="C12" s="50"/>
      <c r="D12" s="50"/>
      <c r="E12" s="50"/>
      <c r="F12" s="51"/>
    </row>
    <row r="13" spans="1:11">
      <c r="I13" s="6"/>
    </row>
    <row r="17" spans="1:11" ht="14" thickBot="1"/>
    <row r="18" spans="1:11" ht="14" thickBot="1">
      <c r="A18" s="43" t="s">
        <v>1450</v>
      </c>
      <c r="B18" s="44"/>
      <c r="C18" s="44"/>
      <c r="D18" s="44"/>
      <c r="E18" s="44"/>
      <c r="F18" s="45"/>
    </row>
    <row r="19" spans="1:11" ht="14.25" customHeight="1">
      <c r="A19" s="46" t="s">
        <v>1451</v>
      </c>
      <c r="B19" s="47"/>
      <c r="C19" s="47"/>
      <c r="D19" s="47"/>
      <c r="E19" s="47"/>
      <c r="F19" s="48"/>
      <c r="H19" t="s">
        <v>778</v>
      </c>
      <c r="I19" t="s">
        <v>1441</v>
      </c>
      <c r="J19" t="s">
        <v>1442</v>
      </c>
      <c r="K19" t="s">
        <v>1443</v>
      </c>
    </row>
    <row r="20" spans="1:11">
      <c r="A20" s="46"/>
      <c r="B20" s="47"/>
      <c r="C20" s="47"/>
      <c r="D20" s="47"/>
      <c r="E20" s="47"/>
      <c r="F20" s="48"/>
      <c r="H20" t="s">
        <v>31</v>
      </c>
      <c r="I20">
        <v>6</v>
      </c>
      <c r="J20" t="s">
        <v>1444</v>
      </c>
      <c r="K20" t="s">
        <v>1445</v>
      </c>
    </row>
    <row r="21" spans="1:11">
      <c r="A21" s="46"/>
      <c r="B21" s="47"/>
      <c r="C21" s="47"/>
      <c r="D21" s="47"/>
      <c r="E21" s="47"/>
      <c r="F21" s="48"/>
      <c r="H21" t="s">
        <v>833</v>
      </c>
      <c r="I21">
        <v>1</v>
      </c>
      <c r="J21" t="s">
        <v>1446</v>
      </c>
      <c r="K21" t="s">
        <v>26</v>
      </c>
    </row>
    <row r="22" spans="1:11">
      <c r="A22" s="46"/>
      <c r="B22" s="47"/>
      <c r="C22" s="47"/>
      <c r="D22" s="47"/>
      <c r="E22" s="47"/>
      <c r="F22" s="48"/>
      <c r="H22" t="s">
        <v>90</v>
      </c>
      <c r="I22">
        <v>1</v>
      </c>
      <c r="J22" t="s">
        <v>1447</v>
      </c>
      <c r="K22" t="s">
        <v>18</v>
      </c>
    </row>
    <row r="23" spans="1:11">
      <c r="A23" s="46"/>
      <c r="B23" s="47"/>
      <c r="C23" s="47"/>
      <c r="D23" s="47"/>
      <c r="E23" s="47"/>
      <c r="F23" s="48"/>
    </row>
    <row r="24" spans="1:11">
      <c r="A24" s="46"/>
      <c r="B24" s="47"/>
      <c r="C24" s="47"/>
      <c r="D24" s="47"/>
      <c r="E24" s="47"/>
      <c r="F24" s="48"/>
    </row>
    <row r="25" spans="1:11">
      <c r="A25" s="46"/>
      <c r="B25" s="47"/>
      <c r="C25" s="47"/>
      <c r="D25" s="47"/>
      <c r="E25" s="47"/>
      <c r="F25" s="48"/>
    </row>
    <row r="26" spans="1:11">
      <c r="A26" s="46"/>
      <c r="B26" s="47"/>
      <c r="C26" s="47"/>
      <c r="D26" s="47"/>
      <c r="E26" s="47"/>
      <c r="F26" s="48"/>
    </row>
    <row r="27" spans="1:11">
      <c r="A27" s="46"/>
      <c r="B27" s="47"/>
      <c r="C27" s="47"/>
      <c r="D27" s="47"/>
      <c r="E27" s="47"/>
      <c r="F27" s="48"/>
    </row>
    <row r="28" spans="1:11">
      <c r="A28" s="46"/>
      <c r="B28" s="47"/>
      <c r="C28" s="47"/>
      <c r="D28" s="47"/>
      <c r="E28" s="47"/>
      <c r="F28" s="48"/>
    </row>
    <row r="29" spans="1:11">
      <c r="A29" s="46"/>
      <c r="B29" s="47"/>
      <c r="C29" s="47"/>
      <c r="D29" s="47"/>
      <c r="E29" s="47"/>
      <c r="F29" s="48"/>
    </row>
    <row r="30" spans="1:11" ht="14" thickBot="1">
      <c r="A30" s="49"/>
      <c r="B30" s="50"/>
      <c r="C30" s="50"/>
      <c r="D30" s="50"/>
      <c r="E30" s="50"/>
      <c r="F30" s="51"/>
    </row>
  </sheetData>
  <mergeCells count="4">
    <mergeCell ref="A2:F12"/>
    <mergeCell ref="A19:F30"/>
    <mergeCell ref="A1:F1"/>
    <mergeCell ref="A18:F18"/>
  </mergeCells>
  <pageMargins left="0.7" right="0.7" top="0.75" bottom="0.75" header="0.3" footer="0.3"/>
  <tableParts count="2">
    <tablePart r:id="rId1"/>
    <tablePart r:id="rId2"/>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084003-BC1D-4FA9-851D-35CA960A00FD}">
  <dimension ref="A1:G8"/>
  <sheetViews>
    <sheetView workbookViewId="0">
      <selection activeCell="D15" sqref="D15"/>
    </sheetView>
  </sheetViews>
  <sheetFormatPr baseColWidth="10" defaultColWidth="8.83203125" defaultRowHeight="13"/>
  <cols>
    <col min="1" max="1" width="21.5" bestFit="1" customWidth="1"/>
    <col min="2" max="2" width="11.83203125" bestFit="1" customWidth="1"/>
    <col min="3" max="3" width="14.5" bestFit="1" customWidth="1"/>
    <col min="4" max="4" width="17.5" bestFit="1" customWidth="1"/>
    <col min="5" max="6" width="14.5" bestFit="1" customWidth="1"/>
    <col min="7" max="7" width="18.5" bestFit="1" customWidth="1"/>
  </cols>
  <sheetData>
    <row r="1" spans="1:7">
      <c r="A1" t="s">
        <v>778</v>
      </c>
      <c r="B1" t="s">
        <v>1452</v>
      </c>
      <c r="C1" t="s">
        <v>1453</v>
      </c>
      <c r="D1" t="s">
        <v>1454</v>
      </c>
      <c r="E1" t="s">
        <v>1455</v>
      </c>
      <c r="F1" t="s">
        <v>1456</v>
      </c>
      <c r="G1" t="s">
        <v>1457</v>
      </c>
    </row>
    <row r="2" spans="1:7">
      <c r="A2" t="s">
        <v>31</v>
      </c>
      <c r="B2">
        <v>1992</v>
      </c>
      <c r="C2">
        <v>2</v>
      </c>
      <c r="D2">
        <v>2</v>
      </c>
      <c r="E2" s="10">
        <v>33695</v>
      </c>
      <c r="F2" s="10">
        <v>33725</v>
      </c>
      <c r="G2">
        <v>35.5</v>
      </c>
    </row>
    <row r="3" spans="1:7">
      <c r="A3" t="s">
        <v>31</v>
      </c>
      <c r="B3">
        <v>1993</v>
      </c>
      <c r="C3">
        <v>2</v>
      </c>
      <c r="D3">
        <v>1</v>
      </c>
      <c r="E3" s="10">
        <v>34092</v>
      </c>
      <c r="F3" s="10">
        <v>34092</v>
      </c>
      <c r="G3">
        <v>55</v>
      </c>
    </row>
    <row r="4" spans="1:7">
      <c r="A4" t="s">
        <v>90</v>
      </c>
      <c r="B4">
        <v>1993</v>
      </c>
      <c r="C4">
        <v>4</v>
      </c>
      <c r="D4">
        <v>1</v>
      </c>
      <c r="E4" s="10">
        <v>34259</v>
      </c>
      <c r="F4" s="10">
        <v>34259</v>
      </c>
      <c r="G4">
        <v>38</v>
      </c>
    </row>
    <row r="5" spans="1:7">
      <c r="A5" t="s">
        <v>31</v>
      </c>
      <c r="B5">
        <v>1993</v>
      </c>
      <c r="C5">
        <v>4</v>
      </c>
      <c r="D5">
        <v>1</v>
      </c>
      <c r="E5" s="10">
        <v>34259</v>
      </c>
      <c r="F5" s="10">
        <v>34259</v>
      </c>
      <c r="G5">
        <v>30</v>
      </c>
    </row>
    <row r="6" spans="1:7">
      <c r="A6" t="s">
        <v>833</v>
      </c>
      <c r="B6">
        <v>1994</v>
      </c>
      <c r="C6">
        <v>1</v>
      </c>
      <c r="D6">
        <v>1</v>
      </c>
      <c r="E6" s="10">
        <v>34398</v>
      </c>
      <c r="F6" s="10">
        <v>34398</v>
      </c>
      <c r="G6">
        <v>36</v>
      </c>
    </row>
    <row r="7" spans="1:7">
      <c r="A7" t="s">
        <v>31</v>
      </c>
      <c r="B7">
        <v>1994</v>
      </c>
      <c r="C7">
        <v>1</v>
      </c>
      <c r="D7">
        <v>1</v>
      </c>
      <c r="E7" s="10">
        <v>34336</v>
      </c>
      <c r="F7" s="10">
        <v>34336</v>
      </c>
      <c r="G7">
        <v>33</v>
      </c>
    </row>
    <row r="8" spans="1:7">
      <c r="A8" t="s">
        <v>31</v>
      </c>
      <c r="B8">
        <v>1994</v>
      </c>
      <c r="C8">
        <v>4</v>
      </c>
      <c r="D8">
        <v>1</v>
      </c>
      <c r="E8" s="10">
        <v>34653</v>
      </c>
      <c r="F8" s="10">
        <v>34653</v>
      </c>
      <c r="G8">
        <v>28</v>
      </c>
    </row>
  </sheetData>
  <pageMargins left="0.7" right="0.7" top="0.75" bottom="0.75" header="0.3" footer="0.3"/>
  <tableParts count="1">
    <tablePart r:id="rId1"/>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734F8-38DD-4F8D-B2F4-18FC240924CD}">
  <dimension ref="A1:E9"/>
  <sheetViews>
    <sheetView workbookViewId="0">
      <selection activeCell="E16" sqref="E16"/>
    </sheetView>
  </sheetViews>
  <sheetFormatPr baseColWidth="10" defaultColWidth="8.83203125" defaultRowHeight="13"/>
  <cols>
    <col min="1" max="1" width="18.5" bestFit="1" customWidth="1"/>
    <col min="2" max="2" width="21.5" bestFit="1" customWidth="1"/>
    <col min="3" max="3" width="14.5" bestFit="1" customWidth="1"/>
    <col min="4" max="4" width="15" bestFit="1" customWidth="1"/>
    <col min="5" max="5" width="14.1640625" bestFit="1" customWidth="1"/>
  </cols>
  <sheetData>
    <row r="1" spans="1:5">
      <c r="A1" t="s">
        <v>1458</v>
      </c>
      <c r="B1" t="s">
        <v>778</v>
      </c>
      <c r="C1" t="s">
        <v>781</v>
      </c>
      <c r="D1" t="s">
        <v>1459</v>
      </c>
      <c r="E1" t="s">
        <v>1460</v>
      </c>
    </row>
    <row r="2" spans="1:5">
      <c r="A2" t="s">
        <v>1461</v>
      </c>
      <c r="B2" t="s">
        <v>31</v>
      </c>
      <c r="C2" s="10">
        <v>33725</v>
      </c>
      <c r="D2">
        <v>34</v>
      </c>
      <c r="E2">
        <v>77</v>
      </c>
    </row>
    <row r="3" spans="1:5">
      <c r="A3" t="s">
        <v>1462</v>
      </c>
      <c r="B3" t="s">
        <v>31</v>
      </c>
      <c r="C3" s="10">
        <v>33695</v>
      </c>
      <c r="D3">
        <v>34</v>
      </c>
      <c r="E3">
        <v>62</v>
      </c>
    </row>
    <row r="4" spans="1:5">
      <c r="A4" t="s">
        <v>1463</v>
      </c>
      <c r="B4" t="s">
        <v>31</v>
      </c>
      <c r="C4" s="10">
        <v>34092</v>
      </c>
      <c r="D4">
        <v>32</v>
      </c>
      <c r="E4">
        <v>88</v>
      </c>
    </row>
    <row r="5" spans="1:5">
      <c r="A5" t="s">
        <v>1447</v>
      </c>
      <c r="B5" t="s">
        <v>90</v>
      </c>
      <c r="C5" s="10">
        <v>34259</v>
      </c>
      <c r="D5">
        <v>32</v>
      </c>
      <c r="E5">
        <v>71</v>
      </c>
    </row>
    <row r="6" spans="1:5">
      <c r="A6" t="s">
        <v>1464</v>
      </c>
      <c r="B6" t="s">
        <v>31</v>
      </c>
      <c r="C6" s="10">
        <v>34259</v>
      </c>
      <c r="D6">
        <v>32</v>
      </c>
      <c r="E6">
        <v>62</v>
      </c>
    </row>
    <row r="7" spans="1:5">
      <c r="A7" t="s">
        <v>1465</v>
      </c>
      <c r="B7" t="s">
        <v>31</v>
      </c>
      <c r="C7" s="10">
        <v>34336</v>
      </c>
      <c r="D7">
        <v>32</v>
      </c>
      <c r="E7">
        <v>65</v>
      </c>
    </row>
    <row r="8" spans="1:5">
      <c r="A8" t="s">
        <v>1446</v>
      </c>
      <c r="B8" t="s">
        <v>833</v>
      </c>
      <c r="C8" s="10">
        <v>34398</v>
      </c>
      <c r="D8">
        <v>32</v>
      </c>
      <c r="E8">
        <v>68</v>
      </c>
    </row>
    <row r="9" spans="1:5">
      <c r="A9" t="s">
        <v>1466</v>
      </c>
      <c r="B9" t="s">
        <v>31</v>
      </c>
      <c r="C9" s="10">
        <v>34653</v>
      </c>
      <c r="D9">
        <v>31</v>
      </c>
      <c r="E9">
        <v>60</v>
      </c>
    </row>
  </sheetData>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53C26-66E2-9C41-A98F-1E435A37AAF6}">
  <dimension ref="A1:I26"/>
  <sheetViews>
    <sheetView showGridLines="0" topLeftCell="A11" workbookViewId="0">
      <selection activeCell="B53" sqref="B53"/>
    </sheetView>
  </sheetViews>
  <sheetFormatPr baseColWidth="10" defaultRowHeight="13"/>
  <cols>
    <col min="2" max="2" width="17.33203125" customWidth="1"/>
    <col min="3" max="3" width="14.5" bestFit="1" customWidth="1"/>
    <col min="4" max="4" width="8" bestFit="1" customWidth="1"/>
    <col min="5" max="5" width="4.6640625" bestFit="1" customWidth="1"/>
    <col min="6" max="6" width="10.6640625" bestFit="1" customWidth="1"/>
  </cols>
  <sheetData>
    <row r="1" spans="1:9" ht="22" thickBot="1">
      <c r="A1" s="19" t="s">
        <v>1607</v>
      </c>
      <c r="B1" s="20" t="s">
        <v>1594</v>
      </c>
      <c r="C1" s="21"/>
      <c r="D1" s="21"/>
      <c r="E1" s="21"/>
      <c r="F1" s="21"/>
      <c r="G1" s="21"/>
      <c r="H1" s="27"/>
      <c r="I1" s="22"/>
    </row>
    <row r="3" spans="1:9">
      <c r="B3" s="12" t="s">
        <v>1626</v>
      </c>
      <c r="C3" t="s">
        <v>1629</v>
      </c>
    </row>
    <row r="4" spans="1:9">
      <c r="B4" s="13" t="s">
        <v>18</v>
      </c>
      <c r="C4">
        <v>4</v>
      </c>
    </row>
    <row r="5" spans="1:9">
      <c r="B5" s="18" t="s">
        <v>16</v>
      </c>
      <c r="C5">
        <v>4</v>
      </c>
    </row>
    <row r="6" spans="1:9">
      <c r="B6" s="13" t="s">
        <v>26</v>
      </c>
      <c r="C6">
        <v>4</v>
      </c>
    </row>
    <row r="7" spans="1:9">
      <c r="B7" s="18" t="s">
        <v>747</v>
      </c>
      <c r="C7">
        <v>1</v>
      </c>
    </row>
    <row r="8" spans="1:9">
      <c r="B8" s="18" t="s">
        <v>809</v>
      </c>
      <c r="C8">
        <v>1</v>
      </c>
    </row>
    <row r="9" spans="1:9">
      <c r="B9" s="18" t="s">
        <v>487</v>
      </c>
      <c r="C9">
        <v>2</v>
      </c>
    </row>
    <row r="10" spans="1:9">
      <c r="B10" s="13" t="s">
        <v>1184</v>
      </c>
      <c r="C10">
        <v>8</v>
      </c>
    </row>
    <row r="21" spans="2:6">
      <c r="B21" s="12" t="s">
        <v>1630</v>
      </c>
      <c r="C21" s="12" t="s">
        <v>8</v>
      </c>
    </row>
    <row r="22" spans="2:6">
      <c r="B22" s="12" t="s">
        <v>778</v>
      </c>
      <c r="C22" t="s">
        <v>18</v>
      </c>
      <c r="D22" t="s">
        <v>1445</v>
      </c>
      <c r="E22" t="s">
        <v>26</v>
      </c>
      <c r="F22" t="s">
        <v>1184</v>
      </c>
    </row>
    <row r="23" spans="2:6">
      <c r="B23" s="13" t="s">
        <v>833</v>
      </c>
      <c r="E23">
        <v>1</v>
      </c>
      <c r="F23">
        <v>1</v>
      </c>
    </row>
    <row r="24" spans="2:6">
      <c r="B24" s="13" t="s">
        <v>90</v>
      </c>
      <c r="C24">
        <v>1</v>
      </c>
      <c r="F24">
        <v>1</v>
      </c>
    </row>
    <row r="25" spans="2:6">
      <c r="B25" s="13" t="s">
        <v>31</v>
      </c>
      <c r="D25">
        <v>6</v>
      </c>
      <c r="F25">
        <v>6</v>
      </c>
    </row>
    <row r="26" spans="2:6">
      <c r="B26" s="13" t="s">
        <v>1184</v>
      </c>
      <c r="C26">
        <v>1</v>
      </c>
      <c r="D26">
        <v>6</v>
      </c>
      <c r="E26">
        <v>1</v>
      </c>
      <c r="F26">
        <v>8</v>
      </c>
    </row>
  </sheetData>
  <pageMargins left="0.7" right="0.7" top="0.75" bottom="0.75" header="0.3" footer="0.3"/>
  <drawing r:id="rId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78DA2-B650-47F0-926E-7C3D804D4959}">
  <dimension ref="A1:N30"/>
  <sheetViews>
    <sheetView showGridLines="0" workbookViewId="0">
      <selection activeCell="A32" sqref="A32"/>
    </sheetView>
  </sheetViews>
  <sheetFormatPr baseColWidth="10" defaultColWidth="8.83203125" defaultRowHeight="13"/>
  <cols>
    <col min="8" max="8" width="21.5" bestFit="1" customWidth="1"/>
    <col min="9" max="9" width="11.83203125" bestFit="1" customWidth="1"/>
    <col min="10" max="10" width="18.5" bestFit="1" customWidth="1"/>
    <col min="11" max="11" width="21.5" bestFit="1" customWidth="1"/>
    <col min="12" max="12" width="14.5" bestFit="1" customWidth="1"/>
    <col min="13" max="13" width="15" bestFit="1" customWidth="1"/>
    <col min="14" max="14" width="18.5" bestFit="1" customWidth="1"/>
  </cols>
  <sheetData>
    <row r="1" spans="1:14" ht="14" thickBot="1">
      <c r="A1" s="43" t="s">
        <v>1467</v>
      </c>
      <c r="B1" s="44"/>
      <c r="C1" s="44"/>
      <c r="D1" s="44"/>
      <c r="E1" s="44"/>
      <c r="F1" s="45"/>
    </row>
    <row r="2" spans="1:14" ht="15.75" customHeight="1">
      <c r="A2" s="52" t="s">
        <v>1468</v>
      </c>
      <c r="B2" s="53"/>
      <c r="C2" s="53"/>
      <c r="D2" s="53"/>
      <c r="E2" s="53"/>
      <c r="F2" s="54"/>
      <c r="H2" t="s">
        <v>778</v>
      </c>
      <c r="I2" t="s">
        <v>1452</v>
      </c>
      <c r="J2" t="s">
        <v>1453</v>
      </c>
      <c r="K2" t="s">
        <v>1454</v>
      </c>
      <c r="L2" t="s">
        <v>1455</v>
      </c>
      <c r="M2" t="s">
        <v>1456</v>
      </c>
      <c r="N2" t="s">
        <v>1457</v>
      </c>
    </row>
    <row r="3" spans="1:14">
      <c r="A3" s="52"/>
      <c r="B3" s="53"/>
      <c r="C3" s="53"/>
      <c r="D3" s="53"/>
      <c r="E3" s="53"/>
      <c r="F3" s="54"/>
      <c r="H3" t="s">
        <v>31</v>
      </c>
      <c r="I3">
        <v>1992</v>
      </c>
      <c r="J3">
        <v>2</v>
      </c>
      <c r="K3">
        <v>2</v>
      </c>
      <c r="L3" s="10">
        <v>33695</v>
      </c>
      <c r="M3" s="10">
        <v>33725</v>
      </c>
      <c r="N3">
        <v>35.5</v>
      </c>
    </row>
    <row r="4" spans="1:14">
      <c r="A4" s="52"/>
      <c r="B4" s="53"/>
      <c r="C4" s="53"/>
      <c r="D4" s="53"/>
      <c r="E4" s="53"/>
      <c r="F4" s="54"/>
      <c r="H4" t="s">
        <v>31</v>
      </c>
      <c r="I4">
        <v>1993</v>
      </c>
      <c r="J4">
        <v>2</v>
      </c>
      <c r="K4">
        <v>1</v>
      </c>
      <c r="L4" s="10">
        <v>34092</v>
      </c>
      <c r="M4" s="10">
        <v>34092</v>
      </c>
      <c r="N4">
        <v>55</v>
      </c>
    </row>
    <row r="5" spans="1:14">
      <c r="A5" s="52"/>
      <c r="B5" s="53"/>
      <c r="C5" s="53"/>
      <c r="D5" s="53"/>
      <c r="E5" s="53"/>
      <c r="F5" s="54"/>
      <c r="H5" t="s">
        <v>90</v>
      </c>
      <c r="I5">
        <v>1993</v>
      </c>
      <c r="J5">
        <v>4</v>
      </c>
      <c r="K5">
        <v>1</v>
      </c>
      <c r="L5" s="10">
        <v>34259</v>
      </c>
      <c r="M5" s="10">
        <v>34259</v>
      </c>
      <c r="N5">
        <v>38</v>
      </c>
    </row>
    <row r="6" spans="1:14">
      <c r="A6" s="52"/>
      <c r="B6" s="53"/>
      <c r="C6" s="53"/>
      <c r="D6" s="53"/>
      <c r="E6" s="53"/>
      <c r="F6" s="54"/>
      <c r="H6" t="s">
        <v>31</v>
      </c>
      <c r="I6">
        <v>1993</v>
      </c>
      <c r="J6">
        <v>4</v>
      </c>
      <c r="K6">
        <v>1</v>
      </c>
      <c r="L6" s="10">
        <v>34259</v>
      </c>
      <c r="M6" s="10">
        <v>34259</v>
      </c>
      <c r="N6">
        <v>30</v>
      </c>
    </row>
    <row r="7" spans="1:14">
      <c r="A7" s="52"/>
      <c r="B7" s="53"/>
      <c r="C7" s="53"/>
      <c r="D7" s="53"/>
      <c r="E7" s="53"/>
      <c r="F7" s="54"/>
      <c r="H7" t="s">
        <v>833</v>
      </c>
      <c r="I7">
        <v>1994</v>
      </c>
      <c r="J7">
        <v>1</v>
      </c>
      <c r="K7">
        <v>1</v>
      </c>
      <c r="L7" s="10">
        <v>34398</v>
      </c>
      <c r="M7" s="10">
        <v>34398</v>
      </c>
      <c r="N7">
        <v>36</v>
      </c>
    </row>
    <row r="8" spans="1:14">
      <c r="A8" s="52"/>
      <c r="B8" s="53"/>
      <c r="C8" s="53"/>
      <c r="D8" s="53"/>
      <c r="E8" s="53"/>
      <c r="F8" s="54"/>
      <c r="H8" t="s">
        <v>31</v>
      </c>
      <c r="I8">
        <v>1994</v>
      </c>
      <c r="J8">
        <v>1</v>
      </c>
      <c r="K8">
        <v>1</v>
      </c>
      <c r="L8" s="10">
        <v>34336</v>
      </c>
      <c r="M8" s="10">
        <v>34336</v>
      </c>
      <c r="N8">
        <v>33</v>
      </c>
    </row>
    <row r="9" spans="1:14">
      <c r="A9" s="52"/>
      <c r="B9" s="53"/>
      <c r="C9" s="53"/>
      <c r="D9" s="53"/>
      <c r="E9" s="53"/>
      <c r="F9" s="54"/>
      <c r="H9" t="s">
        <v>31</v>
      </c>
      <c r="I9">
        <v>1994</v>
      </c>
      <c r="J9">
        <v>4</v>
      </c>
      <c r="K9">
        <v>1</v>
      </c>
      <c r="L9" s="10">
        <v>34653</v>
      </c>
      <c r="M9" s="10">
        <v>34653</v>
      </c>
      <c r="N9">
        <v>28</v>
      </c>
    </row>
    <row r="10" spans="1:14">
      <c r="A10" s="52"/>
      <c r="B10" s="53"/>
      <c r="C10" s="53"/>
      <c r="D10" s="53"/>
      <c r="E10" s="53"/>
      <c r="F10" s="54"/>
    </row>
    <row r="11" spans="1:14">
      <c r="A11" s="52"/>
      <c r="B11" s="53"/>
      <c r="C11" s="53"/>
      <c r="D11" s="53"/>
      <c r="E11" s="53"/>
      <c r="F11" s="54"/>
    </row>
    <row r="12" spans="1:14">
      <c r="A12" s="52"/>
      <c r="B12" s="53"/>
      <c r="C12" s="53"/>
      <c r="D12" s="53"/>
      <c r="E12" s="53"/>
      <c r="F12" s="54"/>
    </row>
    <row r="13" spans="1:14">
      <c r="A13" s="52"/>
      <c r="B13" s="53"/>
      <c r="C13" s="53"/>
      <c r="D13" s="53"/>
      <c r="E13" s="53"/>
      <c r="F13" s="54"/>
    </row>
    <row r="14" spans="1:14">
      <c r="A14" s="52"/>
      <c r="B14" s="53"/>
      <c r="C14" s="53"/>
      <c r="D14" s="53"/>
      <c r="E14" s="53"/>
      <c r="F14" s="54"/>
    </row>
    <row r="15" spans="1:14" ht="14" thickBot="1">
      <c r="A15" s="55"/>
      <c r="B15" s="56"/>
      <c r="C15" s="56"/>
      <c r="D15" s="56"/>
      <c r="E15" s="56"/>
      <c r="F15" s="57"/>
    </row>
    <row r="20" spans="1:14" ht="14" thickBot="1"/>
    <row r="21" spans="1:14" ht="14" thickBot="1">
      <c r="A21" s="43" t="s">
        <v>1469</v>
      </c>
      <c r="B21" s="44"/>
      <c r="C21" s="44"/>
      <c r="D21" s="44"/>
      <c r="E21" s="44"/>
      <c r="F21" s="44"/>
      <c r="G21" s="44"/>
      <c r="H21" s="45"/>
    </row>
    <row r="22" spans="1:14" ht="15" customHeight="1">
      <c r="A22" s="46" t="s">
        <v>1470</v>
      </c>
      <c r="B22" s="47"/>
      <c r="C22" s="47"/>
      <c r="D22" s="47"/>
      <c r="E22" s="47"/>
      <c r="F22" s="47"/>
      <c r="G22" s="47"/>
      <c r="H22" s="48"/>
      <c r="J22" t="s">
        <v>1458</v>
      </c>
      <c r="K22" t="s">
        <v>778</v>
      </c>
      <c r="L22" t="s">
        <v>781</v>
      </c>
      <c r="M22" t="s">
        <v>1459</v>
      </c>
      <c r="N22" t="s">
        <v>1460</v>
      </c>
    </row>
    <row r="23" spans="1:14">
      <c r="A23" s="46"/>
      <c r="B23" s="47"/>
      <c r="C23" s="47"/>
      <c r="D23" s="47"/>
      <c r="E23" s="47"/>
      <c r="F23" s="47"/>
      <c r="G23" s="47"/>
      <c r="H23" s="48"/>
      <c r="J23" t="s">
        <v>1461</v>
      </c>
      <c r="K23" t="s">
        <v>31</v>
      </c>
      <c r="L23" s="10">
        <v>33725</v>
      </c>
      <c r="M23">
        <v>34</v>
      </c>
      <c r="N23">
        <v>77</v>
      </c>
    </row>
    <row r="24" spans="1:14">
      <c r="A24" s="46"/>
      <c r="B24" s="47"/>
      <c r="C24" s="47"/>
      <c r="D24" s="47"/>
      <c r="E24" s="47"/>
      <c r="F24" s="47"/>
      <c r="G24" s="47"/>
      <c r="H24" s="48"/>
      <c r="J24" t="s">
        <v>1462</v>
      </c>
      <c r="K24" t="s">
        <v>31</v>
      </c>
      <c r="L24" s="10">
        <v>33695</v>
      </c>
      <c r="M24">
        <v>34</v>
      </c>
      <c r="N24">
        <v>62</v>
      </c>
    </row>
    <row r="25" spans="1:14">
      <c r="A25" s="46"/>
      <c r="B25" s="47"/>
      <c r="C25" s="47"/>
      <c r="D25" s="47"/>
      <c r="E25" s="47"/>
      <c r="F25" s="47"/>
      <c r="G25" s="47"/>
      <c r="H25" s="48"/>
      <c r="J25" t="s">
        <v>1463</v>
      </c>
      <c r="K25" t="s">
        <v>31</v>
      </c>
      <c r="L25" s="10">
        <v>34092</v>
      </c>
      <c r="M25">
        <v>32</v>
      </c>
      <c r="N25">
        <v>88</v>
      </c>
    </row>
    <row r="26" spans="1:14">
      <c r="A26" s="46"/>
      <c r="B26" s="47"/>
      <c r="C26" s="47"/>
      <c r="D26" s="47"/>
      <c r="E26" s="47"/>
      <c r="F26" s="47"/>
      <c r="G26" s="47"/>
      <c r="H26" s="48"/>
      <c r="J26" t="s">
        <v>1447</v>
      </c>
      <c r="K26" t="s">
        <v>90</v>
      </c>
      <c r="L26" s="10">
        <v>34259</v>
      </c>
      <c r="M26">
        <v>32</v>
      </c>
      <c r="N26">
        <v>71</v>
      </c>
    </row>
    <row r="27" spans="1:14">
      <c r="A27" s="46"/>
      <c r="B27" s="47"/>
      <c r="C27" s="47"/>
      <c r="D27" s="47"/>
      <c r="E27" s="47"/>
      <c r="F27" s="47"/>
      <c r="G27" s="47"/>
      <c r="H27" s="48"/>
      <c r="J27" t="s">
        <v>1464</v>
      </c>
      <c r="K27" t="s">
        <v>31</v>
      </c>
      <c r="L27" s="10">
        <v>34259</v>
      </c>
      <c r="M27">
        <v>32</v>
      </c>
      <c r="N27">
        <v>62</v>
      </c>
    </row>
    <row r="28" spans="1:14">
      <c r="A28" s="46"/>
      <c r="B28" s="47"/>
      <c r="C28" s="47"/>
      <c r="D28" s="47"/>
      <c r="E28" s="47"/>
      <c r="F28" s="47"/>
      <c r="G28" s="47"/>
      <c r="H28" s="48"/>
      <c r="J28" t="s">
        <v>1465</v>
      </c>
      <c r="K28" t="s">
        <v>31</v>
      </c>
      <c r="L28" s="10">
        <v>34336</v>
      </c>
      <c r="M28">
        <v>32</v>
      </c>
      <c r="N28">
        <v>65</v>
      </c>
    </row>
    <row r="29" spans="1:14">
      <c r="A29" s="46"/>
      <c r="B29" s="47"/>
      <c r="C29" s="47"/>
      <c r="D29" s="47"/>
      <c r="E29" s="47"/>
      <c r="F29" s="47"/>
      <c r="G29" s="47"/>
      <c r="H29" s="48"/>
      <c r="J29" t="s">
        <v>1446</v>
      </c>
      <c r="K29" t="s">
        <v>833</v>
      </c>
      <c r="L29" s="10">
        <v>34398</v>
      </c>
      <c r="M29">
        <v>32</v>
      </c>
      <c r="N29">
        <v>68</v>
      </c>
    </row>
    <row r="30" spans="1:14" ht="14" thickBot="1">
      <c r="A30" s="49"/>
      <c r="B30" s="50"/>
      <c r="C30" s="50"/>
      <c r="D30" s="50"/>
      <c r="E30" s="50"/>
      <c r="F30" s="50"/>
      <c r="G30" s="50"/>
      <c r="H30" s="51"/>
      <c r="J30" t="s">
        <v>1466</v>
      </c>
      <c r="K30" t="s">
        <v>31</v>
      </c>
      <c r="L30" s="10">
        <v>34653</v>
      </c>
      <c r="M30">
        <v>31</v>
      </c>
      <c r="N30">
        <v>60</v>
      </c>
    </row>
  </sheetData>
  <mergeCells count="4">
    <mergeCell ref="A2:F15"/>
    <mergeCell ref="A22:H30"/>
    <mergeCell ref="A1:F1"/>
    <mergeCell ref="A21:H21"/>
  </mergeCells>
  <pageMargins left="0.7" right="0.7" top="0.75" bottom="0.75" header="0.3" footer="0.3"/>
  <tableParts count="2">
    <tablePart r:id="rId1"/>
    <tablePart r:id="rId2"/>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733E7-4598-4E0D-A3D5-0653F3146515}">
  <dimension ref="A1:D4"/>
  <sheetViews>
    <sheetView workbookViewId="0">
      <selection activeCell="D5" sqref="D5"/>
    </sheetView>
  </sheetViews>
  <sheetFormatPr baseColWidth="10" defaultColWidth="8.83203125" defaultRowHeight="13"/>
  <cols>
    <col min="1" max="1" width="15.5" bestFit="1" customWidth="1"/>
    <col min="2" max="2" width="8.33203125" bestFit="1" customWidth="1"/>
    <col min="3" max="3" width="13.5" bestFit="1" customWidth="1"/>
    <col min="4" max="4" width="41.1640625" bestFit="1" customWidth="1"/>
  </cols>
  <sheetData>
    <row r="1" spans="1:4">
      <c r="A1" t="s">
        <v>1471</v>
      </c>
      <c r="B1" t="s">
        <v>1472</v>
      </c>
      <c r="C1" t="s">
        <v>1473</v>
      </c>
      <c r="D1" t="s">
        <v>1474</v>
      </c>
    </row>
    <row r="2" spans="1:4">
      <c r="A2" t="s">
        <v>788</v>
      </c>
      <c r="B2">
        <v>4</v>
      </c>
      <c r="C2">
        <v>50</v>
      </c>
      <c r="D2" t="s">
        <v>1475</v>
      </c>
    </row>
    <row r="3" spans="1:4">
      <c r="A3" t="s">
        <v>814</v>
      </c>
      <c r="B3">
        <v>3</v>
      </c>
      <c r="C3">
        <v>37.5</v>
      </c>
      <c r="D3" t="s">
        <v>1476</v>
      </c>
    </row>
    <row r="4" spans="1:4">
      <c r="A4" t="s">
        <v>807</v>
      </c>
      <c r="B4">
        <v>1</v>
      </c>
      <c r="C4">
        <v>12.5</v>
      </c>
      <c r="D4" t="s">
        <v>31</v>
      </c>
    </row>
  </sheetData>
  <pageMargins left="0.7" right="0.7" top="0.75" bottom="0.75" header="0.3" footer="0.3"/>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401132-3963-4324-B33E-7FB7C3D6A2F1}">
  <dimension ref="A1:E6"/>
  <sheetViews>
    <sheetView workbookViewId="0">
      <selection activeCell="E13" sqref="E13"/>
    </sheetView>
  </sheetViews>
  <sheetFormatPr baseColWidth="10" defaultColWidth="8.83203125" defaultRowHeight="13"/>
  <cols>
    <col min="1" max="1" width="17.33203125" bestFit="1" customWidth="1"/>
    <col min="2" max="2" width="21.5" bestFit="1" customWidth="1"/>
    <col min="3" max="3" width="8.33203125" bestFit="1" customWidth="1"/>
    <col min="4" max="4" width="11" bestFit="1" customWidth="1"/>
    <col min="5" max="5" width="19.5" bestFit="1" customWidth="1"/>
  </cols>
  <sheetData>
    <row r="1" spans="1:5">
      <c r="A1" t="s">
        <v>779</v>
      </c>
      <c r="B1" t="s">
        <v>778</v>
      </c>
      <c r="C1" t="s">
        <v>1472</v>
      </c>
      <c r="D1" t="s">
        <v>1477</v>
      </c>
      <c r="E1" t="s">
        <v>1478</v>
      </c>
    </row>
    <row r="2" spans="1:5">
      <c r="A2" t="s">
        <v>814</v>
      </c>
      <c r="B2" t="s">
        <v>31</v>
      </c>
      <c r="C2">
        <v>2</v>
      </c>
      <c r="D2">
        <v>63.5</v>
      </c>
      <c r="E2">
        <v>32</v>
      </c>
    </row>
    <row r="3" spans="1:5">
      <c r="A3" t="s">
        <v>814</v>
      </c>
      <c r="B3" t="s">
        <v>90</v>
      </c>
      <c r="C3">
        <v>1</v>
      </c>
      <c r="D3">
        <v>71</v>
      </c>
      <c r="E3">
        <v>32</v>
      </c>
    </row>
    <row r="4" spans="1:5">
      <c r="A4" t="s">
        <v>807</v>
      </c>
      <c r="B4" t="s">
        <v>31</v>
      </c>
      <c r="C4">
        <v>1</v>
      </c>
      <c r="D4">
        <v>88</v>
      </c>
      <c r="E4">
        <v>32</v>
      </c>
    </row>
    <row r="5" spans="1:5">
      <c r="A5" t="s">
        <v>788</v>
      </c>
      <c r="B5" t="s">
        <v>31</v>
      </c>
      <c r="C5">
        <v>3</v>
      </c>
      <c r="D5">
        <v>66.333299999999994</v>
      </c>
      <c r="E5">
        <v>33</v>
      </c>
    </row>
    <row r="6" spans="1:5">
      <c r="A6" t="s">
        <v>788</v>
      </c>
      <c r="B6" t="s">
        <v>833</v>
      </c>
      <c r="C6">
        <v>1</v>
      </c>
      <c r="D6">
        <v>68</v>
      </c>
      <c r="E6">
        <v>32</v>
      </c>
    </row>
  </sheetData>
  <pageMargins left="0.7" right="0.7" top="0.75" bottom="0.75" header="0.3" footer="0.3"/>
  <tableParts count="1">
    <tablePart r:id="rId1"/>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B5B92-96F1-734E-8A4A-6B03DD3711F0}">
  <dimension ref="A1:G25"/>
  <sheetViews>
    <sheetView showGridLines="0" topLeftCell="A7" workbookViewId="0">
      <selection activeCell="B52" sqref="B52"/>
    </sheetView>
  </sheetViews>
  <sheetFormatPr baseColWidth="10" defaultRowHeight="13"/>
  <cols>
    <col min="2" max="2" width="20.33203125" bestFit="1" customWidth="1"/>
    <col min="3" max="3" width="18.83203125" bestFit="1" customWidth="1"/>
    <col min="4" max="4" width="17.6640625" bestFit="1" customWidth="1"/>
    <col min="5" max="5" width="7" bestFit="1" customWidth="1"/>
    <col min="6" max="6" width="10.6640625" bestFit="1" customWidth="1"/>
    <col min="7" max="7" width="11.83203125" bestFit="1" customWidth="1"/>
    <col min="8" max="8" width="20.33203125" bestFit="1" customWidth="1"/>
    <col min="9" max="9" width="16.5" bestFit="1" customWidth="1"/>
    <col min="10" max="10" width="25" bestFit="1" customWidth="1"/>
    <col min="11" max="11" width="10.6640625" bestFit="1" customWidth="1"/>
  </cols>
  <sheetData>
    <row r="1" spans="1:7" ht="22" thickBot="1">
      <c r="A1" s="19" t="s">
        <v>1610</v>
      </c>
      <c r="B1" s="20" t="s">
        <v>1595</v>
      </c>
      <c r="C1" s="21"/>
      <c r="D1" s="21"/>
      <c r="E1" s="21"/>
      <c r="F1" s="36"/>
      <c r="G1" s="22"/>
    </row>
    <row r="3" spans="1:7">
      <c r="B3" s="12" t="s">
        <v>1648</v>
      </c>
      <c r="C3" s="12" t="s">
        <v>1631</v>
      </c>
    </row>
    <row r="4" spans="1:7">
      <c r="C4">
        <v>1992</v>
      </c>
      <c r="D4">
        <v>1993</v>
      </c>
      <c r="E4">
        <v>1994</v>
      </c>
      <c r="F4" t="s">
        <v>1184</v>
      </c>
    </row>
    <row r="5" spans="1:7">
      <c r="B5" s="12" t="s">
        <v>778</v>
      </c>
    </row>
    <row r="6" spans="1:7">
      <c r="B6" s="13" t="s">
        <v>833</v>
      </c>
      <c r="E6">
        <v>1</v>
      </c>
      <c r="F6">
        <v>1</v>
      </c>
    </row>
    <row r="7" spans="1:7">
      <c r="B7" s="13" t="s">
        <v>90</v>
      </c>
      <c r="D7">
        <v>1</v>
      </c>
      <c r="F7">
        <v>1</v>
      </c>
    </row>
    <row r="8" spans="1:7">
      <c r="B8" s="13" t="s">
        <v>31</v>
      </c>
      <c r="C8">
        <v>2</v>
      </c>
      <c r="D8">
        <v>2</v>
      </c>
      <c r="E8">
        <v>2</v>
      </c>
      <c r="F8">
        <v>6</v>
      </c>
    </row>
    <row r="9" spans="1:7">
      <c r="B9" s="13" t="s">
        <v>1184</v>
      </c>
      <c r="C9">
        <v>2</v>
      </c>
      <c r="D9">
        <v>3</v>
      </c>
      <c r="E9">
        <v>3</v>
      </c>
      <c r="F9">
        <v>8</v>
      </c>
    </row>
    <row r="21" spans="2:4">
      <c r="B21" s="12" t="s">
        <v>778</v>
      </c>
      <c r="C21" t="s">
        <v>1649</v>
      </c>
      <c r="D21" t="s">
        <v>1650</v>
      </c>
    </row>
    <row r="22" spans="2:4">
      <c r="B22" s="13" t="s">
        <v>833</v>
      </c>
      <c r="C22">
        <v>32</v>
      </c>
      <c r="D22">
        <v>68</v>
      </c>
    </row>
    <row r="23" spans="2:4">
      <c r="B23" s="13" t="s">
        <v>90</v>
      </c>
      <c r="C23">
        <v>32</v>
      </c>
      <c r="D23">
        <v>71</v>
      </c>
    </row>
    <row r="24" spans="2:4">
      <c r="B24" s="13" t="s">
        <v>31</v>
      </c>
      <c r="C24">
        <v>32.5</v>
      </c>
      <c r="D24">
        <v>69</v>
      </c>
    </row>
    <row r="25" spans="2:4">
      <c r="B25" s="13" t="s">
        <v>1184</v>
      </c>
      <c r="C25">
        <v>32.375</v>
      </c>
      <c r="D25">
        <v>69.125</v>
      </c>
    </row>
  </sheetData>
  <pageMargins left="0.7" right="0.7" top="0.75" bottom="0.75" header="0.3" footer="0.3"/>
  <drawing r:id="rId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9A2906-86AD-4B6F-A650-AD9BF090CB70}">
  <dimension ref="A1:N30"/>
  <sheetViews>
    <sheetView showGridLines="0" workbookViewId="0">
      <selection activeCell="A32" sqref="A32"/>
    </sheetView>
  </sheetViews>
  <sheetFormatPr baseColWidth="10" defaultColWidth="8.83203125" defaultRowHeight="13"/>
  <cols>
    <col min="8" max="8" width="15.5" bestFit="1" customWidth="1"/>
    <col min="9" max="9" width="8.33203125" bestFit="1" customWidth="1"/>
    <col min="10" max="10" width="17.33203125" bestFit="1" customWidth="1"/>
    <col min="11" max="11" width="41.1640625" bestFit="1" customWidth="1"/>
    <col min="12" max="12" width="8.33203125" bestFit="1" customWidth="1"/>
    <col min="13" max="13" width="11" bestFit="1" customWidth="1"/>
    <col min="14" max="14" width="19.5" bestFit="1" customWidth="1"/>
  </cols>
  <sheetData>
    <row r="1" spans="1:11" ht="14" thickBot="1">
      <c r="A1" s="43" t="s">
        <v>1479</v>
      </c>
      <c r="B1" s="44"/>
      <c r="C1" s="44"/>
      <c r="D1" s="44"/>
      <c r="E1" s="44"/>
      <c r="F1" s="45"/>
    </row>
    <row r="2" spans="1:11" ht="13.5" customHeight="1">
      <c r="A2" s="46" t="s">
        <v>1480</v>
      </c>
      <c r="B2" s="47"/>
      <c r="C2" s="47"/>
      <c r="D2" s="47"/>
      <c r="E2" s="47"/>
      <c r="F2" s="48"/>
      <c r="H2" t="s">
        <v>1471</v>
      </c>
      <c r="I2" t="s">
        <v>1472</v>
      </c>
      <c r="J2" t="s">
        <v>1473</v>
      </c>
      <c r="K2" t="s">
        <v>1474</v>
      </c>
    </row>
    <row r="3" spans="1:11">
      <c r="A3" s="46"/>
      <c r="B3" s="47"/>
      <c r="C3" s="47"/>
      <c r="D3" s="47"/>
      <c r="E3" s="47"/>
      <c r="F3" s="48"/>
      <c r="H3" t="s">
        <v>788</v>
      </c>
      <c r="I3">
        <v>4</v>
      </c>
      <c r="J3">
        <v>50</v>
      </c>
      <c r="K3" t="s">
        <v>1475</v>
      </c>
    </row>
    <row r="4" spans="1:11">
      <c r="A4" s="46"/>
      <c r="B4" s="47"/>
      <c r="C4" s="47"/>
      <c r="D4" s="47"/>
      <c r="E4" s="47"/>
      <c r="F4" s="48"/>
      <c r="H4" t="s">
        <v>814</v>
      </c>
      <c r="I4">
        <v>3</v>
      </c>
      <c r="J4">
        <v>37.5</v>
      </c>
      <c r="K4" t="s">
        <v>1476</v>
      </c>
    </row>
    <row r="5" spans="1:11">
      <c r="A5" s="46"/>
      <c r="B5" s="47"/>
      <c r="C5" s="47"/>
      <c r="D5" s="47"/>
      <c r="E5" s="47"/>
      <c r="F5" s="48"/>
      <c r="H5" t="s">
        <v>807</v>
      </c>
      <c r="I5">
        <v>1</v>
      </c>
      <c r="J5">
        <v>12.5</v>
      </c>
      <c r="K5" t="s">
        <v>31</v>
      </c>
    </row>
    <row r="6" spans="1:11">
      <c r="A6" s="46"/>
      <c r="B6" s="47"/>
      <c r="C6" s="47"/>
      <c r="D6" s="47"/>
      <c r="E6" s="47"/>
      <c r="F6" s="48"/>
    </row>
    <row r="7" spans="1:11">
      <c r="A7" s="46"/>
      <c r="B7" s="47"/>
      <c r="C7" s="47"/>
      <c r="D7" s="47"/>
      <c r="E7" s="47"/>
      <c r="F7" s="48"/>
    </row>
    <row r="8" spans="1:11">
      <c r="A8" s="46"/>
      <c r="B8" s="47"/>
      <c r="C8" s="47"/>
      <c r="D8" s="47"/>
      <c r="E8" s="47"/>
      <c r="F8" s="48"/>
    </row>
    <row r="9" spans="1:11">
      <c r="A9" s="46"/>
      <c r="B9" s="47"/>
      <c r="C9" s="47"/>
      <c r="D9" s="47"/>
      <c r="E9" s="47"/>
      <c r="F9" s="48"/>
    </row>
    <row r="10" spans="1:11">
      <c r="A10" s="46"/>
      <c r="B10" s="47"/>
      <c r="C10" s="47"/>
      <c r="D10" s="47"/>
      <c r="E10" s="47"/>
      <c r="F10" s="48"/>
    </row>
    <row r="11" spans="1:11">
      <c r="A11" s="46"/>
      <c r="B11" s="47"/>
      <c r="C11" s="47"/>
      <c r="D11" s="47"/>
      <c r="E11" s="47"/>
      <c r="F11" s="48"/>
    </row>
    <row r="12" spans="1:11">
      <c r="A12" s="46"/>
      <c r="B12" s="47"/>
      <c r="C12" s="47"/>
      <c r="D12" s="47"/>
      <c r="E12" s="47"/>
      <c r="F12" s="48"/>
    </row>
    <row r="13" spans="1:11">
      <c r="A13" s="46"/>
      <c r="B13" s="47"/>
      <c r="C13" s="47"/>
      <c r="D13" s="47"/>
      <c r="E13" s="47"/>
      <c r="F13" s="48"/>
    </row>
    <row r="14" spans="1:11">
      <c r="A14" s="46"/>
      <c r="B14" s="47"/>
      <c r="C14" s="47"/>
      <c r="D14" s="47"/>
      <c r="E14" s="47"/>
      <c r="F14" s="48"/>
    </row>
    <row r="15" spans="1:11" ht="14" thickBot="1">
      <c r="A15" s="49"/>
      <c r="B15" s="50"/>
      <c r="C15" s="50"/>
      <c r="D15" s="50"/>
      <c r="E15" s="50"/>
      <c r="F15" s="51"/>
    </row>
    <row r="20" spans="1:14" ht="14" thickBot="1"/>
    <row r="21" spans="1:14" ht="14" thickBot="1">
      <c r="A21" s="43" t="s">
        <v>1481</v>
      </c>
      <c r="B21" s="44"/>
      <c r="C21" s="44"/>
      <c r="D21" s="44"/>
      <c r="E21" s="44"/>
      <c r="F21" s="44"/>
      <c r="G21" s="44"/>
      <c r="H21" s="45"/>
    </row>
    <row r="22" spans="1:14" ht="15" customHeight="1">
      <c r="A22" s="46" t="s">
        <v>1482</v>
      </c>
      <c r="B22" s="47"/>
      <c r="C22" s="47"/>
      <c r="D22" s="47"/>
      <c r="E22" s="47"/>
      <c r="F22" s="47"/>
      <c r="G22" s="47"/>
      <c r="H22" s="48"/>
      <c r="J22" t="s">
        <v>779</v>
      </c>
      <c r="K22" t="s">
        <v>778</v>
      </c>
      <c r="L22" t="s">
        <v>1472</v>
      </c>
      <c r="M22" t="s">
        <v>1477</v>
      </c>
      <c r="N22" t="s">
        <v>1478</v>
      </c>
    </row>
    <row r="23" spans="1:14">
      <c r="A23" s="46"/>
      <c r="B23" s="47"/>
      <c r="C23" s="47"/>
      <c r="D23" s="47"/>
      <c r="E23" s="47"/>
      <c r="F23" s="47"/>
      <c r="G23" s="47"/>
      <c r="H23" s="48"/>
      <c r="J23" t="s">
        <v>814</v>
      </c>
      <c r="K23" t="s">
        <v>31</v>
      </c>
      <c r="L23">
        <v>2</v>
      </c>
      <c r="M23">
        <v>63.5</v>
      </c>
      <c r="N23">
        <v>32</v>
      </c>
    </row>
    <row r="24" spans="1:14">
      <c r="A24" s="46"/>
      <c r="B24" s="47"/>
      <c r="C24" s="47"/>
      <c r="D24" s="47"/>
      <c r="E24" s="47"/>
      <c r="F24" s="47"/>
      <c r="G24" s="47"/>
      <c r="H24" s="48"/>
      <c r="J24" t="s">
        <v>814</v>
      </c>
      <c r="K24" t="s">
        <v>90</v>
      </c>
      <c r="L24">
        <v>1</v>
      </c>
      <c r="M24">
        <v>71</v>
      </c>
      <c r="N24">
        <v>32</v>
      </c>
    </row>
    <row r="25" spans="1:14">
      <c r="A25" s="46"/>
      <c r="B25" s="47"/>
      <c r="C25" s="47"/>
      <c r="D25" s="47"/>
      <c r="E25" s="47"/>
      <c r="F25" s="47"/>
      <c r="G25" s="47"/>
      <c r="H25" s="48"/>
      <c r="J25" t="s">
        <v>807</v>
      </c>
      <c r="K25" t="s">
        <v>31</v>
      </c>
      <c r="L25">
        <v>1</v>
      </c>
      <c r="M25">
        <v>88</v>
      </c>
      <c r="N25">
        <v>32</v>
      </c>
    </row>
    <row r="26" spans="1:14">
      <c r="A26" s="46"/>
      <c r="B26" s="47"/>
      <c r="C26" s="47"/>
      <c r="D26" s="47"/>
      <c r="E26" s="47"/>
      <c r="F26" s="47"/>
      <c r="G26" s="47"/>
      <c r="H26" s="48"/>
      <c r="J26" t="s">
        <v>788</v>
      </c>
      <c r="K26" t="s">
        <v>31</v>
      </c>
      <c r="L26">
        <v>3</v>
      </c>
      <c r="M26">
        <v>66.333299999999994</v>
      </c>
      <c r="N26">
        <v>33</v>
      </c>
    </row>
    <row r="27" spans="1:14">
      <c r="A27" s="46"/>
      <c r="B27" s="47"/>
      <c r="C27" s="47"/>
      <c r="D27" s="47"/>
      <c r="E27" s="47"/>
      <c r="F27" s="47"/>
      <c r="G27" s="47"/>
      <c r="H27" s="48"/>
      <c r="J27" t="s">
        <v>788</v>
      </c>
      <c r="K27" t="s">
        <v>833</v>
      </c>
      <c r="L27">
        <v>1</v>
      </c>
      <c r="M27">
        <v>68</v>
      </c>
      <c r="N27">
        <v>32</v>
      </c>
    </row>
    <row r="28" spans="1:14">
      <c r="A28" s="46"/>
      <c r="B28" s="47"/>
      <c r="C28" s="47"/>
      <c r="D28" s="47"/>
      <c r="E28" s="47"/>
      <c r="F28" s="47"/>
      <c r="G28" s="47"/>
      <c r="H28" s="48"/>
    </row>
    <row r="29" spans="1:14">
      <c r="A29" s="46"/>
      <c r="B29" s="47"/>
      <c r="C29" s="47"/>
      <c r="D29" s="47"/>
      <c r="E29" s="47"/>
      <c r="F29" s="47"/>
      <c r="G29" s="47"/>
      <c r="H29" s="48"/>
    </row>
    <row r="30" spans="1:14" ht="14" thickBot="1">
      <c r="A30" s="49"/>
      <c r="B30" s="50"/>
      <c r="C30" s="50"/>
      <c r="D30" s="50"/>
      <c r="E30" s="50"/>
      <c r="F30" s="50"/>
      <c r="G30" s="50"/>
      <c r="H30" s="51"/>
    </row>
  </sheetData>
  <mergeCells count="4">
    <mergeCell ref="A2:F15"/>
    <mergeCell ref="A22:H30"/>
    <mergeCell ref="A1:F1"/>
    <mergeCell ref="A21:H21"/>
  </mergeCells>
  <pageMargins left="0.7" right="0.7" top="0.75" bottom="0.75" header="0.3" footer="0.3"/>
  <tableParts count="2">
    <tablePart r:id="rId1"/>
    <tablePart r:id="rId2"/>
  </tablePart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84753F-13F9-4669-A0EB-2A036482BF28}">
  <dimension ref="A1:N78"/>
  <sheetViews>
    <sheetView workbookViewId="0">
      <selection activeCell="C83" sqref="C83"/>
    </sheetView>
  </sheetViews>
  <sheetFormatPr baseColWidth="10" defaultColWidth="8.83203125" defaultRowHeight="13"/>
  <cols>
    <col min="1" max="1" width="12.1640625" bestFit="1" customWidth="1"/>
    <col min="2" max="2" width="30.83203125" bestFit="1" customWidth="1"/>
    <col min="3" max="3" width="16.83203125" bestFit="1" customWidth="1"/>
    <col min="4" max="4" width="11.5" bestFit="1" customWidth="1"/>
    <col min="5" max="5" width="14.5" bestFit="1" customWidth="1"/>
    <col min="6" max="6" width="15.5" bestFit="1" customWidth="1"/>
    <col min="7" max="7" width="15.6640625" bestFit="1" customWidth="1"/>
    <col min="8" max="8" width="15" bestFit="1" customWidth="1"/>
    <col min="9" max="9" width="16.5" bestFit="1" customWidth="1"/>
    <col min="10" max="10" width="17.5" bestFit="1" customWidth="1"/>
    <col min="11" max="11" width="15.83203125" bestFit="1" customWidth="1"/>
    <col min="12" max="12" width="19.33203125" bestFit="1" customWidth="1"/>
    <col min="13" max="13" width="21.5" bestFit="1" customWidth="1"/>
    <col min="14" max="14" width="14" bestFit="1" customWidth="1"/>
  </cols>
  <sheetData>
    <row r="1" spans="1:14">
      <c r="A1" t="s">
        <v>224</v>
      </c>
      <c r="B1" t="s">
        <v>225</v>
      </c>
      <c r="C1" t="s">
        <v>1113</v>
      </c>
      <c r="D1" t="s">
        <v>1483</v>
      </c>
      <c r="E1" t="s">
        <v>229</v>
      </c>
      <c r="F1" t="s">
        <v>230</v>
      </c>
      <c r="G1" t="s">
        <v>231</v>
      </c>
      <c r="H1" t="s">
        <v>232</v>
      </c>
      <c r="I1" t="s">
        <v>1201</v>
      </c>
      <c r="J1" t="s">
        <v>1484</v>
      </c>
      <c r="K1" t="s">
        <v>1132</v>
      </c>
      <c r="L1" t="s">
        <v>1203</v>
      </c>
      <c r="M1" t="s">
        <v>1485</v>
      </c>
      <c r="N1" t="s">
        <v>1486</v>
      </c>
    </row>
    <row r="2" spans="1:14">
      <c r="A2">
        <v>38</v>
      </c>
      <c r="B2" t="s">
        <v>1204</v>
      </c>
      <c r="C2" t="s">
        <v>1115</v>
      </c>
      <c r="D2">
        <v>263.5</v>
      </c>
      <c r="E2">
        <v>17</v>
      </c>
      <c r="F2">
        <v>0</v>
      </c>
      <c r="G2">
        <v>15</v>
      </c>
      <c r="H2">
        <v>0</v>
      </c>
      <c r="I2">
        <v>24</v>
      </c>
      <c r="J2">
        <v>623</v>
      </c>
      <c r="K2">
        <v>141396.74</v>
      </c>
      <c r="L2">
        <v>245.93</v>
      </c>
      <c r="M2">
        <v>0.03</v>
      </c>
      <c r="N2" t="s">
        <v>1487</v>
      </c>
    </row>
    <row r="3" spans="1:14">
      <c r="A3">
        <v>29</v>
      </c>
      <c r="B3" t="s">
        <v>1205</v>
      </c>
      <c r="C3" t="s">
        <v>1125</v>
      </c>
      <c r="D3">
        <v>123.79</v>
      </c>
      <c r="E3">
        <v>0</v>
      </c>
      <c r="F3">
        <v>0</v>
      </c>
      <c r="G3">
        <v>0</v>
      </c>
      <c r="H3">
        <v>1</v>
      </c>
      <c r="I3">
        <v>32</v>
      </c>
      <c r="J3">
        <v>746</v>
      </c>
      <c r="K3">
        <v>80368.67</v>
      </c>
      <c r="L3">
        <v>116.04</v>
      </c>
      <c r="M3">
        <v>0</v>
      </c>
      <c r="N3" t="s">
        <v>1488</v>
      </c>
    </row>
    <row r="4" spans="1:14">
      <c r="A4">
        <v>59</v>
      </c>
      <c r="B4" t="s">
        <v>346</v>
      </c>
      <c r="C4" t="s">
        <v>1121</v>
      </c>
      <c r="D4">
        <v>55</v>
      </c>
      <c r="E4">
        <v>79</v>
      </c>
      <c r="F4">
        <v>0</v>
      </c>
      <c r="G4">
        <v>0</v>
      </c>
      <c r="H4">
        <v>0</v>
      </c>
      <c r="I4">
        <v>54</v>
      </c>
      <c r="J4">
        <v>1496</v>
      </c>
      <c r="K4">
        <v>71155.7</v>
      </c>
      <c r="L4">
        <v>51.13</v>
      </c>
      <c r="M4">
        <v>0.05</v>
      </c>
      <c r="N4" t="s">
        <v>1487</v>
      </c>
    </row>
    <row r="5" spans="1:14">
      <c r="A5">
        <v>62</v>
      </c>
      <c r="B5" t="s">
        <v>352</v>
      </c>
      <c r="C5" t="s">
        <v>1119</v>
      </c>
      <c r="D5">
        <v>49.3</v>
      </c>
      <c r="E5">
        <v>17</v>
      </c>
      <c r="F5">
        <v>0</v>
      </c>
      <c r="G5">
        <v>0</v>
      </c>
      <c r="H5">
        <v>0</v>
      </c>
      <c r="I5">
        <v>48</v>
      </c>
      <c r="J5">
        <v>1083</v>
      </c>
      <c r="K5">
        <v>47234.97</v>
      </c>
      <c r="L5">
        <v>46.41</v>
      </c>
      <c r="M5">
        <v>0.02</v>
      </c>
      <c r="N5" t="s">
        <v>1487</v>
      </c>
    </row>
    <row r="6" spans="1:14">
      <c r="A6">
        <v>60</v>
      </c>
      <c r="B6" t="s">
        <v>348</v>
      </c>
      <c r="C6" t="s">
        <v>1121</v>
      </c>
      <c r="D6">
        <v>34</v>
      </c>
      <c r="E6">
        <v>19</v>
      </c>
      <c r="F6">
        <v>0</v>
      </c>
      <c r="G6">
        <v>0</v>
      </c>
      <c r="H6">
        <v>0</v>
      </c>
      <c r="I6">
        <v>51</v>
      </c>
      <c r="J6">
        <v>1577</v>
      </c>
      <c r="K6">
        <v>46825.48</v>
      </c>
      <c r="L6">
        <v>32.130000000000003</v>
      </c>
      <c r="M6">
        <v>0.01</v>
      </c>
      <c r="N6" t="s">
        <v>1487</v>
      </c>
    </row>
    <row r="7" spans="1:14">
      <c r="A7">
        <v>56</v>
      </c>
      <c r="B7" t="s">
        <v>341</v>
      </c>
      <c r="C7" t="s">
        <v>1123</v>
      </c>
      <c r="D7">
        <v>38</v>
      </c>
      <c r="E7">
        <v>21</v>
      </c>
      <c r="F7">
        <v>10</v>
      </c>
      <c r="G7">
        <v>30</v>
      </c>
      <c r="H7">
        <v>0</v>
      </c>
      <c r="I7">
        <v>50</v>
      </c>
      <c r="J7">
        <v>1263</v>
      </c>
      <c r="K7">
        <v>42593.06</v>
      </c>
      <c r="L7">
        <v>35.42</v>
      </c>
      <c r="M7">
        <v>0.02</v>
      </c>
      <c r="N7" t="s">
        <v>1489</v>
      </c>
    </row>
    <row r="8" spans="1:14">
      <c r="A8">
        <v>51</v>
      </c>
      <c r="B8" t="s">
        <v>331</v>
      </c>
      <c r="C8" t="s">
        <v>1127</v>
      </c>
      <c r="D8">
        <v>53</v>
      </c>
      <c r="E8">
        <v>20</v>
      </c>
      <c r="F8">
        <v>0</v>
      </c>
      <c r="G8">
        <v>10</v>
      </c>
      <c r="H8">
        <v>0</v>
      </c>
      <c r="I8">
        <v>39</v>
      </c>
      <c r="J8">
        <v>886</v>
      </c>
      <c r="K8">
        <v>41819.65</v>
      </c>
      <c r="L8">
        <v>50.55</v>
      </c>
      <c r="M8">
        <v>0.02</v>
      </c>
      <c r="N8" t="s">
        <v>1487</v>
      </c>
    </row>
    <row r="9" spans="1:14">
      <c r="A9">
        <v>17</v>
      </c>
      <c r="B9" t="s">
        <v>265</v>
      </c>
      <c r="C9" t="s">
        <v>1125</v>
      </c>
      <c r="D9">
        <v>39</v>
      </c>
      <c r="E9">
        <v>0</v>
      </c>
      <c r="F9">
        <v>0</v>
      </c>
      <c r="G9">
        <v>0</v>
      </c>
      <c r="H9">
        <v>1</v>
      </c>
      <c r="I9">
        <v>37</v>
      </c>
      <c r="J9">
        <v>978</v>
      </c>
      <c r="K9">
        <v>32698.38</v>
      </c>
      <c r="L9">
        <v>36.47</v>
      </c>
      <c r="M9">
        <v>0</v>
      </c>
      <c r="N9" t="s">
        <v>1488</v>
      </c>
    </row>
    <row r="10" spans="1:14">
      <c r="A10">
        <v>18</v>
      </c>
      <c r="B10" t="s">
        <v>267</v>
      </c>
      <c r="C10" t="s">
        <v>1129</v>
      </c>
      <c r="D10">
        <v>62.5</v>
      </c>
      <c r="E10">
        <v>42</v>
      </c>
      <c r="F10">
        <v>0</v>
      </c>
      <c r="G10">
        <v>0</v>
      </c>
      <c r="H10">
        <v>0</v>
      </c>
      <c r="I10">
        <v>27</v>
      </c>
      <c r="J10">
        <v>539</v>
      </c>
      <c r="K10">
        <v>29171.88</v>
      </c>
      <c r="L10">
        <v>59.72</v>
      </c>
      <c r="M10">
        <v>0.08</v>
      </c>
      <c r="N10" t="s">
        <v>1487</v>
      </c>
    </row>
    <row r="11" spans="1:14">
      <c r="A11">
        <v>28</v>
      </c>
      <c r="B11" t="s">
        <v>1206</v>
      </c>
      <c r="C11" t="s">
        <v>1127</v>
      </c>
      <c r="D11">
        <v>45.6</v>
      </c>
      <c r="E11">
        <v>26</v>
      </c>
      <c r="F11">
        <v>0</v>
      </c>
      <c r="G11">
        <v>0</v>
      </c>
      <c r="H11">
        <v>1</v>
      </c>
      <c r="I11">
        <v>33</v>
      </c>
      <c r="J11">
        <v>640</v>
      </c>
      <c r="K11">
        <v>25696.639999999999</v>
      </c>
      <c r="L11">
        <v>41.98</v>
      </c>
      <c r="M11">
        <v>0.04</v>
      </c>
      <c r="N11" t="s">
        <v>1487</v>
      </c>
    </row>
    <row r="12" spans="1:14">
      <c r="A12">
        <v>72</v>
      </c>
      <c r="B12" t="s">
        <v>370</v>
      </c>
      <c r="C12" t="s">
        <v>1121</v>
      </c>
      <c r="D12">
        <v>34.799999999999997</v>
      </c>
      <c r="E12">
        <v>14</v>
      </c>
      <c r="F12">
        <v>0</v>
      </c>
      <c r="G12">
        <v>0</v>
      </c>
      <c r="H12">
        <v>0</v>
      </c>
      <c r="I12">
        <v>38</v>
      </c>
      <c r="J12">
        <v>806</v>
      </c>
      <c r="K12">
        <v>24900.13</v>
      </c>
      <c r="L12">
        <v>32.04</v>
      </c>
      <c r="M12">
        <v>0.02</v>
      </c>
      <c r="N12" t="s">
        <v>1487</v>
      </c>
    </row>
    <row r="13" spans="1:14">
      <c r="A13">
        <v>43</v>
      </c>
      <c r="B13" t="s">
        <v>315</v>
      </c>
      <c r="C13" t="s">
        <v>1115</v>
      </c>
      <c r="D13">
        <v>46</v>
      </c>
      <c r="E13">
        <v>17</v>
      </c>
      <c r="F13">
        <v>10</v>
      </c>
      <c r="G13">
        <v>25</v>
      </c>
      <c r="H13">
        <v>0</v>
      </c>
      <c r="I13">
        <v>28</v>
      </c>
      <c r="J13">
        <v>580</v>
      </c>
      <c r="K13">
        <v>23526.7</v>
      </c>
      <c r="L13">
        <v>43.04</v>
      </c>
      <c r="M13">
        <v>0.03</v>
      </c>
      <c r="N13" t="s">
        <v>1489</v>
      </c>
    </row>
    <row r="14" spans="1:14">
      <c r="A14">
        <v>20</v>
      </c>
      <c r="B14" t="s">
        <v>271</v>
      </c>
      <c r="C14" t="s">
        <v>1119</v>
      </c>
      <c r="D14">
        <v>81</v>
      </c>
      <c r="E14">
        <v>40</v>
      </c>
      <c r="F14">
        <v>0</v>
      </c>
      <c r="G14">
        <v>0</v>
      </c>
      <c r="H14">
        <v>0</v>
      </c>
      <c r="I14">
        <v>16</v>
      </c>
      <c r="J14">
        <v>313</v>
      </c>
      <c r="K14">
        <v>22563.360000000001</v>
      </c>
      <c r="L14">
        <v>75.94</v>
      </c>
      <c r="M14">
        <v>0.13</v>
      </c>
      <c r="N14" t="s">
        <v>1487</v>
      </c>
    </row>
    <row r="15" spans="1:14">
      <c r="A15">
        <v>7</v>
      </c>
      <c r="B15" t="s">
        <v>245</v>
      </c>
      <c r="C15" t="s">
        <v>1127</v>
      </c>
      <c r="D15">
        <v>30</v>
      </c>
      <c r="E15">
        <v>15</v>
      </c>
      <c r="F15">
        <v>0</v>
      </c>
      <c r="G15">
        <v>10</v>
      </c>
      <c r="H15">
        <v>0</v>
      </c>
      <c r="I15">
        <v>29</v>
      </c>
      <c r="J15">
        <v>763</v>
      </c>
      <c r="K15">
        <v>22044.3</v>
      </c>
      <c r="L15">
        <v>29.17</v>
      </c>
      <c r="M15">
        <v>0.02</v>
      </c>
      <c r="N15" t="s">
        <v>1487</v>
      </c>
    </row>
    <row r="16" spans="1:14">
      <c r="A16">
        <v>64</v>
      </c>
      <c r="B16" t="s">
        <v>1207</v>
      </c>
      <c r="C16" t="s">
        <v>1123</v>
      </c>
      <c r="D16">
        <v>33.25</v>
      </c>
      <c r="E16">
        <v>22</v>
      </c>
      <c r="F16">
        <v>80</v>
      </c>
      <c r="G16">
        <v>30</v>
      </c>
      <c r="H16">
        <v>0</v>
      </c>
      <c r="I16">
        <v>30</v>
      </c>
      <c r="J16">
        <v>740</v>
      </c>
      <c r="K16">
        <v>21957.97</v>
      </c>
      <c r="L16">
        <v>31.03</v>
      </c>
      <c r="M16">
        <v>0.03</v>
      </c>
      <c r="N16" t="s">
        <v>1489</v>
      </c>
    </row>
    <row r="17" spans="1:14">
      <c r="A17">
        <v>69</v>
      </c>
      <c r="B17" t="s">
        <v>365</v>
      </c>
      <c r="C17" t="s">
        <v>1121</v>
      </c>
      <c r="D17">
        <v>36</v>
      </c>
      <c r="E17">
        <v>26</v>
      </c>
      <c r="F17">
        <v>0</v>
      </c>
      <c r="G17">
        <v>15</v>
      </c>
      <c r="H17">
        <v>0</v>
      </c>
      <c r="I17">
        <v>31</v>
      </c>
      <c r="J17">
        <v>714</v>
      </c>
      <c r="K17">
        <v>21942.36</v>
      </c>
      <c r="L17">
        <v>33.450000000000003</v>
      </c>
      <c r="M17">
        <v>0.04</v>
      </c>
      <c r="N17" t="s">
        <v>1487</v>
      </c>
    </row>
    <row r="18" spans="1:14">
      <c r="A18">
        <v>10</v>
      </c>
      <c r="B18" t="s">
        <v>251</v>
      </c>
      <c r="C18" t="s">
        <v>1129</v>
      </c>
      <c r="D18">
        <v>31</v>
      </c>
      <c r="E18">
        <v>31</v>
      </c>
      <c r="F18">
        <v>0</v>
      </c>
      <c r="G18">
        <v>0</v>
      </c>
      <c r="H18">
        <v>0</v>
      </c>
      <c r="I18">
        <v>33</v>
      </c>
      <c r="J18">
        <v>742</v>
      </c>
      <c r="K18">
        <v>20867.34</v>
      </c>
      <c r="L18">
        <v>29.68</v>
      </c>
      <c r="M18">
        <v>0.04</v>
      </c>
      <c r="N18" t="s">
        <v>1487</v>
      </c>
    </row>
    <row r="19" spans="1:14">
      <c r="A19">
        <v>53</v>
      </c>
      <c r="B19" t="s">
        <v>335</v>
      </c>
      <c r="C19" t="s">
        <v>1125</v>
      </c>
      <c r="D19">
        <v>32.799999999999997</v>
      </c>
      <c r="E19">
        <v>0</v>
      </c>
      <c r="F19">
        <v>0</v>
      </c>
      <c r="G19">
        <v>0</v>
      </c>
      <c r="H19">
        <v>1</v>
      </c>
      <c r="I19">
        <v>30</v>
      </c>
      <c r="J19">
        <v>722</v>
      </c>
      <c r="K19">
        <v>20574.169999999998</v>
      </c>
      <c r="L19">
        <v>30.16</v>
      </c>
      <c r="M19">
        <v>0</v>
      </c>
      <c r="N19" t="s">
        <v>1488</v>
      </c>
    </row>
    <row r="20" spans="1:14">
      <c r="A20">
        <v>26</v>
      </c>
      <c r="B20" t="s">
        <v>1208</v>
      </c>
      <c r="C20" t="s">
        <v>1119</v>
      </c>
      <c r="D20">
        <v>31.23</v>
      </c>
      <c r="E20">
        <v>15</v>
      </c>
      <c r="F20">
        <v>0</v>
      </c>
      <c r="G20">
        <v>0</v>
      </c>
      <c r="H20">
        <v>0</v>
      </c>
      <c r="I20">
        <v>32</v>
      </c>
      <c r="J20">
        <v>753</v>
      </c>
      <c r="K20">
        <v>19849.14</v>
      </c>
      <c r="L20">
        <v>28.86</v>
      </c>
      <c r="M20">
        <v>0.02</v>
      </c>
      <c r="N20" t="s">
        <v>1487</v>
      </c>
    </row>
    <row r="21" spans="1:14">
      <c r="A21">
        <v>71</v>
      </c>
      <c r="B21" t="s">
        <v>1209</v>
      </c>
      <c r="C21" t="s">
        <v>1121</v>
      </c>
      <c r="D21">
        <v>21.5</v>
      </c>
      <c r="E21">
        <v>26</v>
      </c>
      <c r="F21">
        <v>0</v>
      </c>
      <c r="G21">
        <v>0</v>
      </c>
      <c r="H21">
        <v>0</v>
      </c>
      <c r="I21">
        <v>42</v>
      </c>
      <c r="J21">
        <v>1057</v>
      </c>
      <c r="K21">
        <v>19551.03</v>
      </c>
      <c r="L21">
        <v>19.760000000000002</v>
      </c>
      <c r="M21">
        <v>0.02</v>
      </c>
      <c r="N21" t="s">
        <v>1487</v>
      </c>
    </row>
    <row r="22" spans="1:14">
      <c r="A22">
        <v>40</v>
      </c>
      <c r="B22" t="s">
        <v>309</v>
      </c>
      <c r="C22" t="s">
        <v>1129</v>
      </c>
      <c r="D22">
        <v>18.399999999999999</v>
      </c>
      <c r="E22">
        <v>123</v>
      </c>
      <c r="F22">
        <v>0</v>
      </c>
      <c r="G22">
        <v>30</v>
      </c>
      <c r="H22">
        <v>0</v>
      </c>
      <c r="I22">
        <v>41</v>
      </c>
      <c r="J22">
        <v>1103</v>
      </c>
      <c r="K22">
        <v>17910.63</v>
      </c>
      <c r="L22">
        <v>17.23</v>
      </c>
      <c r="M22">
        <v>0.11</v>
      </c>
      <c r="N22" t="s">
        <v>1487</v>
      </c>
    </row>
    <row r="23" spans="1:14">
      <c r="A23">
        <v>55</v>
      </c>
      <c r="B23" t="s">
        <v>1210</v>
      </c>
      <c r="C23" t="s">
        <v>1125</v>
      </c>
      <c r="D23">
        <v>24</v>
      </c>
      <c r="E23">
        <v>115</v>
      </c>
      <c r="F23">
        <v>0</v>
      </c>
      <c r="G23">
        <v>20</v>
      </c>
      <c r="H23">
        <v>0</v>
      </c>
      <c r="I23">
        <v>33</v>
      </c>
      <c r="J23">
        <v>903</v>
      </c>
      <c r="K23">
        <v>17426.400000000001</v>
      </c>
      <c r="L23">
        <v>22.4</v>
      </c>
      <c r="M23">
        <v>0.13</v>
      </c>
      <c r="N23" t="s">
        <v>1487</v>
      </c>
    </row>
    <row r="24" spans="1:14">
      <c r="A24">
        <v>16</v>
      </c>
      <c r="B24" t="s">
        <v>263</v>
      </c>
      <c r="C24" t="s">
        <v>1119</v>
      </c>
      <c r="D24">
        <v>17.45</v>
      </c>
      <c r="E24">
        <v>29</v>
      </c>
      <c r="F24">
        <v>0</v>
      </c>
      <c r="G24">
        <v>10</v>
      </c>
      <c r="H24">
        <v>0</v>
      </c>
      <c r="I24">
        <v>43</v>
      </c>
      <c r="J24">
        <v>1158</v>
      </c>
      <c r="K24">
        <v>17215.78</v>
      </c>
      <c r="L24">
        <v>16.38</v>
      </c>
      <c r="M24">
        <v>0.03</v>
      </c>
      <c r="N24" t="s">
        <v>1487</v>
      </c>
    </row>
    <row r="25" spans="1:14">
      <c r="A25">
        <v>63</v>
      </c>
      <c r="B25" t="s">
        <v>354</v>
      </c>
      <c r="C25" t="s">
        <v>1117</v>
      </c>
      <c r="D25">
        <v>43.9</v>
      </c>
      <c r="E25">
        <v>24</v>
      </c>
      <c r="F25">
        <v>0</v>
      </c>
      <c r="G25">
        <v>5</v>
      </c>
      <c r="H25">
        <v>0</v>
      </c>
      <c r="I25">
        <v>17</v>
      </c>
      <c r="J25">
        <v>445</v>
      </c>
      <c r="K25">
        <v>16701.09</v>
      </c>
      <c r="L25">
        <v>40.79</v>
      </c>
      <c r="M25">
        <v>0.05</v>
      </c>
      <c r="N25" t="s">
        <v>1487</v>
      </c>
    </row>
    <row r="26" spans="1:14">
      <c r="A26">
        <v>2</v>
      </c>
      <c r="B26" t="s">
        <v>235</v>
      </c>
      <c r="C26" t="s">
        <v>1115</v>
      </c>
      <c r="D26">
        <v>19</v>
      </c>
      <c r="E26">
        <v>17</v>
      </c>
      <c r="F26">
        <v>40</v>
      </c>
      <c r="G26">
        <v>25</v>
      </c>
      <c r="H26">
        <v>0</v>
      </c>
      <c r="I26">
        <v>44</v>
      </c>
      <c r="J26">
        <v>1057</v>
      </c>
      <c r="K26">
        <v>16355.96</v>
      </c>
      <c r="L26">
        <v>17.88</v>
      </c>
      <c r="M26">
        <v>0.02</v>
      </c>
      <c r="N26" t="s">
        <v>1489</v>
      </c>
    </row>
    <row r="27" spans="1:14">
      <c r="A27">
        <v>76</v>
      </c>
      <c r="B27" t="s">
        <v>1211</v>
      </c>
      <c r="C27" t="s">
        <v>1115</v>
      </c>
      <c r="D27">
        <v>18</v>
      </c>
      <c r="E27">
        <v>57</v>
      </c>
      <c r="F27">
        <v>0</v>
      </c>
      <c r="G27">
        <v>20</v>
      </c>
      <c r="H27">
        <v>0</v>
      </c>
      <c r="I27">
        <v>39</v>
      </c>
      <c r="J27">
        <v>981</v>
      </c>
      <c r="K27">
        <v>15760.44</v>
      </c>
      <c r="L27">
        <v>16.98</v>
      </c>
      <c r="M27">
        <v>0.06</v>
      </c>
      <c r="N27" t="s">
        <v>1487</v>
      </c>
    </row>
    <row r="28" spans="1:14">
      <c r="A28">
        <v>27</v>
      </c>
      <c r="B28" t="s">
        <v>285</v>
      </c>
      <c r="C28" t="s">
        <v>1119</v>
      </c>
      <c r="D28">
        <v>43.9</v>
      </c>
      <c r="E28">
        <v>49</v>
      </c>
      <c r="F28">
        <v>0</v>
      </c>
      <c r="G28">
        <v>30</v>
      </c>
      <c r="H28">
        <v>0</v>
      </c>
      <c r="I28">
        <v>9</v>
      </c>
      <c r="J28">
        <v>365</v>
      </c>
      <c r="K28">
        <v>15099.88</v>
      </c>
      <c r="L28">
        <v>40.97</v>
      </c>
      <c r="M28">
        <v>0.13</v>
      </c>
      <c r="N28" t="s">
        <v>1487</v>
      </c>
    </row>
    <row r="29" spans="1:14">
      <c r="A29">
        <v>31</v>
      </c>
      <c r="B29" t="s">
        <v>293</v>
      </c>
      <c r="C29" t="s">
        <v>1121</v>
      </c>
      <c r="D29">
        <v>12.5</v>
      </c>
      <c r="E29">
        <v>0</v>
      </c>
      <c r="F29">
        <v>70</v>
      </c>
      <c r="G29">
        <v>20</v>
      </c>
      <c r="H29">
        <v>0</v>
      </c>
      <c r="I29">
        <v>51</v>
      </c>
      <c r="J29">
        <v>1397</v>
      </c>
      <c r="K29">
        <v>14920.88</v>
      </c>
      <c r="L29">
        <v>11.67</v>
      </c>
      <c r="M29">
        <v>0</v>
      </c>
      <c r="N29" t="s">
        <v>1488</v>
      </c>
    </row>
    <row r="30" spans="1:14">
      <c r="A30">
        <v>61</v>
      </c>
      <c r="B30" t="s">
        <v>1212</v>
      </c>
      <c r="C30" t="s">
        <v>1117</v>
      </c>
      <c r="D30">
        <v>28.5</v>
      </c>
      <c r="E30">
        <v>113</v>
      </c>
      <c r="F30">
        <v>0</v>
      </c>
      <c r="G30">
        <v>25</v>
      </c>
      <c r="H30">
        <v>0</v>
      </c>
      <c r="I30">
        <v>24</v>
      </c>
      <c r="J30">
        <v>603</v>
      </c>
      <c r="K30">
        <v>14352.6</v>
      </c>
      <c r="L30">
        <v>27.79</v>
      </c>
      <c r="M30">
        <v>0.19</v>
      </c>
      <c r="N30" t="s">
        <v>1487</v>
      </c>
    </row>
    <row r="31" spans="1:14">
      <c r="A31">
        <v>65</v>
      </c>
      <c r="B31" t="s">
        <v>358</v>
      </c>
      <c r="C31" t="s">
        <v>1117</v>
      </c>
      <c r="D31">
        <v>21.05</v>
      </c>
      <c r="E31">
        <v>76</v>
      </c>
      <c r="F31">
        <v>0</v>
      </c>
      <c r="G31">
        <v>0</v>
      </c>
      <c r="H31">
        <v>0</v>
      </c>
      <c r="I31">
        <v>32</v>
      </c>
      <c r="J31">
        <v>745</v>
      </c>
      <c r="K31">
        <v>13869.89</v>
      </c>
      <c r="L31">
        <v>19.46</v>
      </c>
      <c r="M31">
        <v>0.1</v>
      </c>
      <c r="N31" t="s">
        <v>1487</v>
      </c>
    </row>
    <row r="32" spans="1:14">
      <c r="A32">
        <v>35</v>
      </c>
      <c r="B32" t="s">
        <v>300</v>
      </c>
      <c r="C32" t="s">
        <v>1115</v>
      </c>
      <c r="D32">
        <v>18</v>
      </c>
      <c r="E32">
        <v>20</v>
      </c>
      <c r="F32">
        <v>0</v>
      </c>
      <c r="G32">
        <v>15</v>
      </c>
      <c r="H32">
        <v>0</v>
      </c>
      <c r="I32">
        <v>36</v>
      </c>
      <c r="J32">
        <v>883</v>
      </c>
      <c r="K32">
        <v>13644</v>
      </c>
      <c r="L32">
        <v>17</v>
      </c>
      <c r="M32">
        <v>0.02</v>
      </c>
      <c r="N32" t="s">
        <v>1487</v>
      </c>
    </row>
    <row r="33" spans="1:14">
      <c r="A33">
        <v>36</v>
      </c>
      <c r="B33" t="s">
        <v>301</v>
      </c>
      <c r="C33" t="s">
        <v>1129</v>
      </c>
      <c r="D33">
        <v>19</v>
      </c>
      <c r="E33">
        <v>112</v>
      </c>
      <c r="F33">
        <v>0</v>
      </c>
      <c r="G33">
        <v>20</v>
      </c>
      <c r="H33">
        <v>0</v>
      </c>
      <c r="I33">
        <v>31</v>
      </c>
      <c r="J33">
        <v>805</v>
      </c>
      <c r="K33">
        <v>13458.46</v>
      </c>
      <c r="L33">
        <v>17.899999999999999</v>
      </c>
      <c r="M33">
        <v>0.14000000000000001</v>
      </c>
      <c r="N33" t="s">
        <v>1487</v>
      </c>
    </row>
    <row r="34" spans="1:14">
      <c r="A34">
        <v>30</v>
      </c>
      <c r="B34" t="s">
        <v>291</v>
      </c>
      <c r="C34" t="s">
        <v>1129</v>
      </c>
      <c r="D34">
        <v>25.89</v>
      </c>
      <c r="E34">
        <v>10</v>
      </c>
      <c r="F34">
        <v>0</v>
      </c>
      <c r="G34">
        <v>15</v>
      </c>
      <c r="H34">
        <v>0</v>
      </c>
      <c r="I34">
        <v>32</v>
      </c>
      <c r="J34">
        <v>612</v>
      </c>
      <c r="K34">
        <v>13424.2</v>
      </c>
      <c r="L34">
        <v>24.27</v>
      </c>
      <c r="M34">
        <v>0.02</v>
      </c>
      <c r="N34" t="s">
        <v>1489</v>
      </c>
    </row>
    <row r="35" spans="1:14">
      <c r="A35">
        <v>11</v>
      </c>
      <c r="B35" t="s">
        <v>253</v>
      </c>
      <c r="C35" t="s">
        <v>1121</v>
      </c>
      <c r="D35">
        <v>21</v>
      </c>
      <c r="E35">
        <v>22</v>
      </c>
      <c r="F35">
        <v>30</v>
      </c>
      <c r="G35">
        <v>30</v>
      </c>
      <c r="H35">
        <v>0</v>
      </c>
      <c r="I35">
        <v>38</v>
      </c>
      <c r="J35">
        <v>706</v>
      </c>
      <c r="K35">
        <v>12901.77</v>
      </c>
      <c r="L35">
        <v>19.600000000000001</v>
      </c>
      <c r="M35">
        <v>0.03</v>
      </c>
      <c r="N35" t="s">
        <v>1489</v>
      </c>
    </row>
    <row r="36" spans="1:14">
      <c r="A36">
        <v>1</v>
      </c>
      <c r="B36" t="s">
        <v>233</v>
      </c>
      <c r="C36" t="s">
        <v>1115</v>
      </c>
      <c r="D36">
        <v>18</v>
      </c>
      <c r="E36">
        <v>39</v>
      </c>
      <c r="F36">
        <v>0</v>
      </c>
      <c r="G36">
        <v>10</v>
      </c>
      <c r="H36">
        <v>0</v>
      </c>
      <c r="I36">
        <v>38</v>
      </c>
      <c r="J36">
        <v>828</v>
      </c>
      <c r="K36">
        <v>12788.1</v>
      </c>
      <c r="L36">
        <v>17.149999999999999</v>
      </c>
      <c r="M36">
        <v>0.05</v>
      </c>
      <c r="N36" t="s">
        <v>1487</v>
      </c>
    </row>
    <row r="37" spans="1:14">
      <c r="A37">
        <v>8</v>
      </c>
      <c r="B37" t="s">
        <v>247</v>
      </c>
      <c r="C37" t="s">
        <v>1117</v>
      </c>
      <c r="D37">
        <v>40</v>
      </c>
      <c r="E37">
        <v>6</v>
      </c>
      <c r="F37">
        <v>0</v>
      </c>
      <c r="G37">
        <v>0</v>
      </c>
      <c r="H37">
        <v>0</v>
      </c>
      <c r="I37">
        <v>13</v>
      </c>
      <c r="J37">
        <v>372</v>
      </c>
      <c r="K37">
        <v>12772</v>
      </c>
      <c r="L37">
        <v>38.770000000000003</v>
      </c>
      <c r="M37">
        <v>0.02</v>
      </c>
      <c r="N37" t="s">
        <v>1487</v>
      </c>
    </row>
    <row r="38" spans="1:14">
      <c r="A38">
        <v>39</v>
      </c>
      <c r="B38" t="s">
        <v>307</v>
      </c>
      <c r="C38" t="s">
        <v>1115</v>
      </c>
      <c r="D38">
        <v>18</v>
      </c>
      <c r="E38">
        <v>69</v>
      </c>
      <c r="F38">
        <v>0</v>
      </c>
      <c r="G38">
        <v>5</v>
      </c>
      <c r="H38">
        <v>0</v>
      </c>
      <c r="I38">
        <v>30</v>
      </c>
      <c r="J38">
        <v>793</v>
      </c>
      <c r="K38">
        <v>12294.54</v>
      </c>
      <c r="L38">
        <v>16.68</v>
      </c>
      <c r="M38">
        <v>0.09</v>
      </c>
      <c r="N38" t="s">
        <v>1487</v>
      </c>
    </row>
    <row r="39" spans="1:14">
      <c r="A39">
        <v>12</v>
      </c>
      <c r="B39" t="s">
        <v>255</v>
      </c>
      <c r="C39" t="s">
        <v>1121</v>
      </c>
      <c r="D39">
        <v>38</v>
      </c>
      <c r="E39">
        <v>86</v>
      </c>
      <c r="F39">
        <v>0</v>
      </c>
      <c r="G39">
        <v>0</v>
      </c>
      <c r="H39">
        <v>0</v>
      </c>
      <c r="I39">
        <v>14</v>
      </c>
      <c r="J39">
        <v>344</v>
      </c>
      <c r="K39">
        <v>12257.66</v>
      </c>
      <c r="L39">
        <v>36.909999999999997</v>
      </c>
      <c r="M39">
        <v>0.25</v>
      </c>
      <c r="N39" t="s">
        <v>1487</v>
      </c>
    </row>
    <row r="40" spans="1:14">
      <c r="A40">
        <v>70</v>
      </c>
      <c r="B40" t="s">
        <v>367</v>
      </c>
      <c r="C40" t="s">
        <v>1115</v>
      </c>
      <c r="D40">
        <v>15</v>
      </c>
      <c r="E40">
        <v>15</v>
      </c>
      <c r="F40">
        <v>10</v>
      </c>
      <c r="G40">
        <v>30</v>
      </c>
      <c r="H40">
        <v>0</v>
      </c>
      <c r="I40">
        <v>39</v>
      </c>
      <c r="J40">
        <v>817</v>
      </c>
      <c r="K40">
        <v>10672.65</v>
      </c>
      <c r="L40">
        <v>14.15</v>
      </c>
      <c r="M40">
        <v>0.02</v>
      </c>
      <c r="N40" t="s">
        <v>1489</v>
      </c>
    </row>
    <row r="41" spans="1:14">
      <c r="A41">
        <v>44</v>
      </c>
      <c r="B41" t="s">
        <v>317</v>
      </c>
      <c r="C41" t="s">
        <v>1117</v>
      </c>
      <c r="D41">
        <v>19.45</v>
      </c>
      <c r="E41">
        <v>27</v>
      </c>
      <c r="F41">
        <v>0</v>
      </c>
      <c r="G41">
        <v>15</v>
      </c>
      <c r="H41">
        <v>0</v>
      </c>
      <c r="I41">
        <v>24</v>
      </c>
      <c r="J41">
        <v>601</v>
      </c>
      <c r="K41">
        <v>9915.94</v>
      </c>
      <c r="L41">
        <v>18.13</v>
      </c>
      <c r="M41">
        <v>0.04</v>
      </c>
      <c r="N41" t="s">
        <v>1487</v>
      </c>
    </row>
    <row r="42" spans="1:14">
      <c r="A42">
        <v>49</v>
      </c>
      <c r="B42" t="s">
        <v>327</v>
      </c>
      <c r="C42" t="s">
        <v>1119</v>
      </c>
      <c r="D42">
        <v>20</v>
      </c>
      <c r="E42">
        <v>10</v>
      </c>
      <c r="F42">
        <v>60</v>
      </c>
      <c r="G42">
        <v>15</v>
      </c>
      <c r="H42">
        <v>0</v>
      </c>
      <c r="I42">
        <v>21</v>
      </c>
      <c r="J42">
        <v>520</v>
      </c>
      <c r="K42">
        <v>9244.6</v>
      </c>
      <c r="L42">
        <v>18.48</v>
      </c>
      <c r="M42">
        <v>0.02</v>
      </c>
      <c r="N42" t="s">
        <v>1489</v>
      </c>
    </row>
    <row r="43" spans="1:14">
      <c r="A43">
        <v>77</v>
      </c>
      <c r="B43" t="s">
        <v>1213</v>
      </c>
      <c r="C43" t="s">
        <v>1117</v>
      </c>
      <c r="D43">
        <v>13</v>
      </c>
      <c r="E43">
        <v>32</v>
      </c>
      <c r="F43">
        <v>0</v>
      </c>
      <c r="G43">
        <v>15</v>
      </c>
      <c r="H43">
        <v>0</v>
      </c>
      <c r="I43">
        <v>38</v>
      </c>
      <c r="J43">
        <v>791</v>
      </c>
      <c r="K43">
        <v>9171.6299999999992</v>
      </c>
      <c r="L43">
        <v>12.11</v>
      </c>
      <c r="M43">
        <v>0.04</v>
      </c>
      <c r="N43" t="s">
        <v>1487</v>
      </c>
    </row>
    <row r="44" spans="1:14">
      <c r="A44">
        <v>21</v>
      </c>
      <c r="B44" t="s">
        <v>273</v>
      </c>
      <c r="C44" t="s">
        <v>1119</v>
      </c>
      <c r="D44">
        <v>10</v>
      </c>
      <c r="E44">
        <v>3</v>
      </c>
      <c r="F44">
        <v>40</v>
      </c>
      <c r="G44">
        <v>5</v>
      </c>
      <c r="H44">
        <v>0</v>
      </c>
      <c r="I44">
        <v>39</v>
      </c>
      <c r="J44">
        <v>1016</v>
      </c>
      <c r="K44">
        <v>9104</v>
      </c>
      <c r="L44">
        <v>9.3800000000000008</v>
      </c>
      <c r="M44">
        <v>0</v>
      </c>
      <c r="N44" t="s">
        <v>1489</v>
      </c>
    </row>
    <row r="45" spans="1:14">
      <c r="A45">
        <v>68</v>
      </c>
      <c r="B45" t="s">
        <v>363</v>
      </c>
      <c r="C45" t="s">
        <v>1119</v>
      </c>
      <c r="D45">
        <v>12.5</v>
      </c>
      <c r="E45">
        <v>6</v>
      </c>
      <c r="F45">
        <v>10</v>
      </c>
      <c r="G45">
        <v>15</v>
      </c>
      <c r="H45">
        <v>0</v>
      </c>
      <c r="I45">
        <v>34</v>
      </c>
      <c r="J45">
        <v>799</v>
      </c>
      <c r="K45">
        <v>8714</v>
      </c>
      <c r="L45">
        <v>11.54</v>
      </c>
      <c r="M45">
        <v>0.01</v>
      </c>
      <c r="N45" t="s">
        <v>1489</v>
      </c>
    </row>
    <row r="46" spans="1:14">
      <c r="A46">
        <v>41</v>
      </c>
      <c r="B46" t="s">
        <v>311</v>
      </c>
      <c r="C46" t="s">
        <v>1129</v>
      </c>
      <c r="D46">
        <v>9.65</v>
      </c>
      <c r="E46">
        <v>85</v>
      </c>
      <c r="F46">
        <v>0</v>
      </c>
      <c r="G46">
        <v>10</v>
      </c>
      <c r="H46">
        <v>0</v>
      </c>
      <c r="I46">
        <v>47</v>
      </c>
      <c r="J46">
        <v>981</v>
      </c>
      <c r="K46">
        <v>8680.34</v>
      </c>
      <c r="L46">
        <v>9.19</v>
      </c>
      <c r="M46">
        <v>0.09</v>
      </c>
      <c r="N46" t="s">
        <v>1487</v>
      </c>
    </row>
    <row r="47" spans="1:14">
      <c r="A47">
        <v>42</v>
      </c>
      <c r="B47" t="s">
        <v>313</v>
      </c>
      <c r="C47" t="s">
        <v>1123</v>
      </c>
      <c r="D47">
        <v>14</v>
      </c>
      <c r="E47">
        <v>26</v>
      </c>
      <c r="F47">
        <v>0</v>
      </c>
      <c r="G47">
        <v>0</v>
      </c>
      <c r="H47">
        <v>1</v>
      </c>
      <c r="I47">
        <v>30</v>
      </c>
      <c r="J47">
        <v>697</v>
      </c>
      <c r="K47">
        <v>8575</v>
      </c>
      <c r="L47">
        <v>13.21</v>
      </c>
      <c r="M47">
        <v>0.04</v>
      </c>
      <c r="N47" t="s">
        <v>1487</v>
      </c>
    </row>
    <row r="48" spans="1:14">
      <c r="A48">
        <v>4</v>
      </c>
      <c r="B48" t="s">
        <v>239</v>
      </c>
      <c r="C48" t="s">
        <v>1117</v>
      </c>
      <c r="D48">
        <v>22</v>
      </c>
      <c r="E48">
        <v>53</v>
      </c>
      <c r="F48">
        <v>0</v>
      </c>
      <c r="G48">
        <v>0</v>
      </c>
      <c r="H48">
        <v>0</v>
      </c>
      <c r="I48">
        <v>20</v>
      </c>
      <c r="J48">
        <v>453</v>
      </c>
      <c r="K48">
        <v>8567.9</v>
      </c>
      <c r="L48">
        <v>20.68</v>
      </c>
      <c r="M48">
        <v>0.12</v>
      </c>
      <c r="N48" t="s">
        <v>1487</v>
      </c>
    </row>
    <row r="49" spans="1:14">
      <c r="A49">
        <v>32</v>
      </c>
      <c r="B49" t="s">
        <v>295</v>
      </c>
      <c r="C49" t="s">
        <v>1121</v>
      </c>
      <c r="D49">
        <v>32</v>
      </c>
      <c r="E49">
        <v>9</v>
      </c>
      <c r="F49">
        <v>40</v>
      </c>
      <c r="G49">
        <v>25</v>
      </c>
      <c r="H49">
        <v>0</v>
      </c>
      <c r="I49">
        <v>15</v>
      </c>
      <c r="J49">
        <v>297</v>
      </c>
      <c r="K49">
        <v>8404.16</v>
      </c>
      <c r="L49">
        <v>30.72</v>
      </c>
      <c r="M49">
        <v>0.03</v>
      </c>
      <c r="N49" t="s">
        <v>1489</v>
      </c>
    </row>
    <row r="50" spans="1:14">
      <c r="A50">
        <v>75</v>
      </c>
      <c r="B50" t="s">
        <v>1214</v>
      </c>
      <c r="C50" t="s">
        <v>1115</v>
      </c>
      <c r="D50">
        <v>7.75</v>
      </c>
      <c r="E50">
        <v>125</v>
      </c>
      <c r="F50">
        <v>0</v>
      </c>
      <c r="G50">
        <v>25</v>
      </c>
      <c r="H50">
        <v>0</v>
      </c>
      <c r="I50">
        <v>46</v>
      </c>
      <c r="J50">
        <v>1155</v>
      </c>
      <c r="K50">
        <v>8177.49</v>
      </c>
      <c r="L50">
        <v>7.38</v>
      </c>
      <c r="M50">
        <v>0.11</v>
      </c>
      <c r="N50" t="s">
        <v>1487</v>
      </c>
    </row>
    <row r="51" spans="1:14">
      <c r="A51">
        <v>14</v>
      </c>
      <c r="B51" t="s">
        <v>259</v>
      </c>
      <c r="C51" t="s">
        <v>1127</v>
      </c>
      <c r="D51">
        <v>23.25</v>
      </c>
      <c r="E51">
        <v>35</v>
      </c>
      <c r="F51">
        <v>0</v>
      </c>
      <c r="G51">
        <v>0</v>
      </c>
      <c r="H51">
        <v>0</v>
      </c>
      <c r="I51">
        <v>22</v>
      </c>
      <c r="J51">
        <v>404</v>
      </c>
      <c r="K51">
        <v>7991.49</v>
      </c>
      <c r="L51">
        <v>21.35</v>
      </c>
      <c r="M51">
        <v>0.09</v>
      </c>
      <c r="N51" t="s">
        <v>1487</v>
      </c>
    </row>
    <row r="52" spans="1:14">
      <c r="A52">
        <v>57</v>
      </c>
      <c r="B52" t="s">
        <v>343</v>
      </c>
      <c r="C52" t="s">
        <v>1123</v>
      </c>
      <c r="D52">
        <v>19.5</v>
      </c>
      <c r="E52">
        <v>36</v>
      </c>
      <c r="F52">
        <v>0</v>
      </c>
      <c r="G52">
        <v>20</v>
      </c>
      <c r="H52">
        <v>0</v>
      </c>
      <c r="I52">
        <v>23</v>
      </c>
      <c r="J52">
        <v>434</v>
      </c>
      <c r="K52">
        <v>7661.55</v>
      </c>
      <c r="L52">
        <v>18.14</v>
      </c>
      <c r="M52">
        <v>0.08</v>
      </c>
      <c r="N52" t="s">
        <v>1487</v>
      </c>
    </row>
    <row r="53" spans="1:14">
      <c r="A53">
        <v>9</v>
      </c>
      <c r="B53" t="s">
        <v>249</v>
      </c>
      <c r="C53" t="s">
        <v>1125</v>
      </c>
      <c r="D53">
        <v>97</v>
      </c>
      <c r="E53">
        <v>29</v>
      </c>
      <c r="F53">
        <v>0</v>
      </c>
      <c r="G53">
        <v>0</v>
      </c>
      <c r="H53">
        <v>1</v>
      </c>
      <c r="I53">
        <v>5</v>
      </c>
      <c r="J53">
        <v>95</v>
      </c>
      <c r="K53">
        <v>7226.5</v>
      </c>
      <c r="L53">
        <v>93.12</v>
      </c>
      <c r="M53">
        <v>0.31</v>
      </c>
      <c r="N53" t="s">
        <v>1487</v>
      </c>
    </row>
    <row r="54" spans="1:14">
      <c r="A54">
        <v>6</v>
      </c>
      <c r="B54" t="s">
        <v>243</v>
      </c>
      <c r="C54" t="s">
        <v>1117</v>
      </c>
      <c r="D54">
        <v>25</v>
      </c>
      <c r="E54">
        <v>120</v>
      </c>
      <c r="F54">
        <v>0</v>
      </c>
      <c r="G54">
        <v>25</v>
      </c>
      <c r="H54">
        <v>0</v>
      </c>
      <c r="I54">
        <v>12</v>
      </c>
      <c r="J54">
        <v>301</v>
      </c>
      <c r="K54">
        <v>7137</v>
      </c>
      <c r="L54">
        <v>24.17</v>
      </c>
      <c r="M54">
        <v>0.4</v>
      </c>
      <c r="N54" t="s">
        <v>1487</v>
      </c>
    </row>
    <row r="55" spans="1:14">
      <c r="A55">
        <v>22</v>
      </c>
      <c r="B55" t="s">
        <v>1215</v>
      </c>
      <c r="C55" t="s">
        <v>1123</v>
      </c>
      <c r="D55">
        <v>21</v>
      </c>
      <c r="E55">
        <v>104</v>
      </c>
      <c r="F55">
        <v>0</v>
      </c>
      <c r="G55">
        <v>25</v>
      </c>
      <c r="H55">
        <v>0</v>
      </c>
      <c r="I55">
        <v>14</v>
      </c>
      <c r="J55">
        <v>348</v>
      </c>
      <c r="K55">
        <v>7122.36</v>
      </c>
      <c r="L55">
        <v>20.399999999999999</v>
      </c>
      <c r="M55">
        <v>0.3</v>
      </c>
      <c r="N55" t="s">
        <v>1487</v>
      </c>
    </row>
    <row r="56" spans="1:14">
      <c r="A56">
        <v>34</v>
      </c>
      <c r="B56" t="s">
        <v>299</v>
      </c>
      <c r="C56" t="s">
        <v>1115</v>
      </c>
      <c r="D56">
        <v>14</v>
      </c>
      <c r="E56">
        <v>111</v>
      </c>
      <c r="F56">
        <v>0</v>
      </c>
      <c r="G56">
        <v>15</v>
      </c>
      <c r="H56">
        <v>0</v>
      </c>
      <c r="I56">
        <v>19</v>
      </c>
      <c r="J56">
        <v>506</v>
      </c>
      <c r="K56">
        <v>6350.4</v>
      </c>
      <c r="L56">
        <v>12.97</v>
      </c>
      <c r="M56">
        <v>0.22</v>
      </c>
      <c r="N56" t="s">
        <v>1487</v>
      </c>
    </row>
    <row r="57" spans="1:14">
      <c r="A57">
        <v>46</v>
      </c>
      <c r="B57" t="s">
        <v>321</v>
      </c>
      <c r="C57" t="s">
        <v>1129</v>
      </c>
      <c r="D57">
        <v>12</v>
      </c>
      <c r="E57">
        <v>95</v>
      </c>
      <c r="F57">
        <v>0</v>
      </c>
      <c r="G57">
        <v>0</v>
      </c>
      <c r="H57">
        <v>0</v>
      </c>
      <c r="I57">
        <v>27</v>
      </c>
      <c r="J57">
        <v>548</v>
      </c>
      <c r="K57">
        <v>5883</v>
      </c>
      <c r="L57">
        <v>11.11</v>
      </c>
      <c r="M57">
        <v>0.17</v>
      </c>
      <c r="N57" t="s">
        <v>1487</v>
      </c>
    </row>
    <row r="58" spans="1:14">
      <c r="A58">
        <v>58</v>
      </c>
      <c r="B58" t="s">
        <v>344</v>
      </c>
      <c r="C58" t="s">
        <v>1129</v>
      </c>
      <c r="D58">
        <v>13.25</v>
      </c>
      <c r="E58">
        <v>62</v>
      </c>
      <c r="F58">
        <v>0</v>
      </c>
      <c r="G58">
        <v>20</v>
      </c>
      <c r="H58">
        <v>0</v>
      </c>
      <c r="I58">
        <v>18</v>
      </c>
      <c r="J58">
        <v>534</v>
      </c>
      <c r="K58">
        <v>5881.68</v>
      </c>
      <c r="L58">
        <v>12.66</v>
      </c>
      <c r="M58">
        <v>0.12</v>
      </c>
      <c r="N58" t="s">
        <v>1487</v>
      </c>
    </row>
    <row r="59" spans="1:14">
      <c r="A59">
        <v>19</v>
      </c>
      <c r="B59" t="s">
        <v>269</v>
      </c>
      <c r="C59" t="s">
        <v>1119</v>
      </c>
      <c r="D59">
        <v>9.1999999999999993</v>
      </c>
      <c r="E59">
        <v>25</v>
      </c>
      <c r="F59">
        <v>0</v>
      </c>
      <c r="G59">
        <v>5</v>
      </c>
      <c r="H59">
        <v>0</v>
      </c>
      <c r="I59">
        <v>37</v>
      </c>
      <c r="J59">
        <v>723</v>
      </c>
      <c r="K59">
        <v>5862.62</v>
      </c>
      <c r="L59">
        <v>8.5299999999999994</v>
      </c>
      <c r="M59">
        <v>0.03</v>
      </c>
      <c r="N59" t="s">
        <v>1487</v>
      </c>
    </row>
    <row r="60" spans="1:14">
      <c r="A60">
        <v>5</v>
      </c>
      <c r="B60" t="s">
        <v>241</v>
      </c>
      <c r="C60" t="s">
        <v>1117</v>
      </c>
      <c r="D60">
        <v>21.35</v>
      </c>
      <c r="E60">
        <v>0</v>
      </c>
      <c r="F60">
        <v>0</v>
      </c>
      <c r="G60">
        <v>0</v>
      </c>
      <c r="H60">
        <v>1</v>
      </c>
      <c r="I60">
        <v>10</v>
      </c>
      <c r="J60">
        <v>298</v>
      </c>
      <c r="K60">
        <v>5347.2</v>
      </c>
      <c r="L60">
        <v>19.61</v>
      </c>
      <c r="M60">
        <v>0</v>
      </c>
      <c r="N60" t="s">
        <v>1488</v>
      </c>
    </row>
    <row r="61" spans="1:14">
      <c r="A61">
        <v>13</v>
      </c>
      <c r="B61" t="s">
        <v>257</v>
      </c>
      <c r="C61" t="s">
        <v>1129</v>
      </c>
      <c r="D61">
        <v>6</v>
      </c>
      <c r="E61">
        <v>24</v>
      </c>
      <c r="F61">
        <v>0</v>
      </c>
      <c r="G61">
        <v>5</v>
      </c>
      <c r="H61">
        <v>0</v>
      </c>
      <c r="I61">
        <v>40</v>
      </c>
      <c r="J61">
        <v>891</v>
      </c>
      <c r="K61">
        <v>4960.4399999999996</v>
      </c>
      <c r="L61">
        <v>5.76</v>
      </c>
      <c r="M61">
        <v>0.03</v>
      </c>
      <c r="N61" t="s">
        <v>1487</v>
      </c>
    </row>
    <row r="62" spans="1:14">
      <c r="A62">
        <v>54</v>
      </c>
      <c r="B62" t="s">
        <v>1216</v>
      </c>
      <c r="C62" t="s">
        <v>1125</v>
      </c>
      <c r="D62">
        <v>7.45</v>
      </c>
      <c r="E62">
        <v>21</v>
      </c>
      <c r="F62">
        <v>0</v>
      </c>
      <c r="G62">
        <v>10</v>
      </c>
      <c r="H62">
        <v>0</v>
      </c>
      <c r="I62">
        <v>36</v>
      </c>
      <c r="J62">
        <v>755</v>
      </c>
      <c r="K62">
        <v>4728.24</v>
      </c>
      <c r="L62">
        <v>6.8</v>
      </c>
      <c r="M62">
        <v>0.03</v>
      </c>
      <c r="N62" t="s">
        <v>1487</v>
      </c>
    </row>
    <row r="63" spans="1:14">
      <c r="A63">
        <v>23</v>
      </c>
      <c r="B63" t="s">
        <v>1217</v>
      </c>
      <c r="C63" t="s">
        <v>1123</v>
      </c>
      <c r="D63">
        <v>9</v>
      </c>
      <c r="E63">
        <v>61</v>
      </c>
      <c r="F63">
        <v>0</v>
      </c>
      <c r="G63">
        <v>25</v>
      </c>
      <c r="H63">
        <v>0</v>
      </c>
      <c r="I63">
        <v>20</v>
      </c>
      <c r="J63">
        <v>580</v>
      </c>
      <c r="K63">
        <v>4601.7</v>
      </c>
      <c r="L63">
        <v>8.3699999999999992</v>
      </c>
      <c r="M63">
        <v>0.11</v>
      </c>
      <c r="N63" t="s">
        <v>1487</v>
      </c>
    </row>
    <row r="64" spans="1:14">
      <c r="A64">
        <v>24</v>
      </c>
      <c r="B64" t="s">
        <v>1218</v>
      </c>
      <c r="C64" t="s">
        <v>1115</v>
      </c>
      <c r="D64">
        <v>4.5</v>
      </c>
      <c r="E64">
        <v>20</v>
      </c>
      <c r="F64">
        <v>0</v>
      </c>
      <c r="G64">
        <v>0</v>
      </c>
      <c r="H64">
        <v>1</v>
      </c>
      <c r="I64">
        <v>51</v>
      </c>
      <c r="J64">
        <v>1125</v>
      </c>
      <c r="K64">
        <v>4504.37</v>
      </c>
      <c r="L64">
        <v>4.24</v>
      </c>
      <c r="M64">
        <v>0.02</v>
      </c>
      <c r="N64" t="s">
        <v>1487</v>
      </c>
    </row>
    <row r="65" spans="1:14">
      <c r="A65">
        <v>45</v>
      </c>
      <c r="B65" t="s">
        <v>1219</v>
      </c>
      <c r="C65" t="s">
        <v>1129</v>
      </c>
      <c r="D65">
        <v>9.5</v>
      </c>
      <c r="E65">
        <v>5</v>
      </c>
      <c r="F65">
        <v>70</v>
      </c>
      <c r="G65">
        <v>15</v>
      </c>
      <c r="H65">
        <v>0</v>
      </c>
      <c r="I65">
        <v>14</v>
      </c>
      <c r="J65">
        <v>508</v>
      </c>
      <c r="K65">
        <v>4338.18</v>
      </c>
      <c r="L65">
        <v>9.23</v>
      </c>
      <c r="M65">
        <v>0.01</v>
      </c>
      <c r="N65" t="s">
        <v>1489</v>
      </c>
    </row>
    <row r="66" spans="1:14">
      <c r="A66">
        <v>73</v>
      </c>
      <c r="B66" t="s">
        <v>1220</v>
      </c>
      <c r="C66" t="s">
        <v>1129</v>
      </c>
      <c r="D66">
        <v>15</v>
      </c>
      <c r="E66">
        <v>101</v>
      </c>
      <c r="F66">
        <v>0</v>
      </c>
      <c r="G66">
        <v>5</v>
      </c>
      <c r="H66">
        <v>0</v>
      </c>
      <c r="I66">
        <v>14</v>
      </c>
      <c r="J66">
        <v>293</v>
      </c>
      <c r="K66">
        <v>3997.2</v>
      </c>
      <c r="L66">
        <v>14.36</v>
      </c>
      <c r="M66">
        <v>0.34</v>
      </c>
      <c r="N66" t="s">
        <v>1487</v>
      </c>
    </row>
    <row r="67" spans="1:14">
      <c r="A67">
        <v>47</v>
      </c>
      <c r="B67" t="s">
        <v>323</v>
      </c>
      <c r="C67" t="s">
        <v>1119</v>
      </c>
      <c r="D67">
        <v>9.5</v>
      </c>
      <c r="E67">
        <v>36</v>
      </c>
      <c r="F67">
        <v>0</v>
      </c>
      <c r="G67">
        <v>0</v>
      </c>
      <c r="H67">
        <v>0</v>
      </c>
      <c r="I67">
        <v>21</v>
      </c>
      <c r="J67">
        <v>485</v>
      </c>
      <c r="K67">
        <v>3958.08</v>
      </c>
      <c r="L67">
        <v>9.14</v>
      </c>
      <c r="M67">
        <v>7.0000000000000007E-2</v>
      </c>
      <c r="N67" t="s">
        <v>1487</v>
      </c>
    </row>
    <row r="68" spans="1:14">
      <c r="A68">
        <v>25</v>
      </c>
      <c r="B68" t="s">
        <v>1221</v>
      </c>
      <c r="C68" t="s">
        <v>1119</v>
      </c>
      <c r="D68">
        <v>14</v>
      </c>
      <c r="E68">
        <v>76</v>
      </c>
      <c r="F68">
        <v>0</v>
      </c>
      <c r="G68">
        <v>30</v>
      </c>
      <c r="H68">
        <v>0</v>
      </c>
      <c r="I68">
        <v>18</v>
      </c>
      <c r="J68">
        <v>318</v>
      </c>
      <c r="K68">
        <v>3704.4</v>
      </c>
      <c r="L68">
        <v>13.07</v>
      </c>
      <c r="M68">
        <v>0.24</v>
      </c>
      <c r="N68" t="s">
        <v>1487</v>
      </c>
    </row>
    <row r="69" spans="1:14">
      <c r="A69">
        <v>50</v>
      </c>
      <c r="B69" t="s">
        <v>329</v>
      </c>
      <c r="C69" t="s">
        <v>1119</v>
      </c>
      <c r="D69">
        <v>16.25</v>
      </c>
      <c r="E69">
        <v>65</v>
      </c>
      <c r="F69">
        <v>0</v>
      </c>
      <c r="G69">
        <v>30</v>
      </c>
      <c r="H69">
        <v>0</v>
      </c>
      <c r="I69">
        <v>10</v>
      </c>
      <c r="J69">
        <v>235</v>
      </c>
      <c r="K69">
        <v>3437.69</v>
      </c>
      <c r="L69">
        <v>14.95</v>
      </c>
      <c r="M69">
        <v>0.28000000000000003</v>
      </c>
      <c r="N69" t="s">
        <v>1487</v>
      </c>
    </row>
    <row r="70" spans="1:14">
      <c r="A70">
        <v>66</v>
      </c>
      <c r="B70" t="s">
        <v>360</v>
      </c>
      <c r="C70" t="s">
        <v>1117</v>
      </c>
      <c r="D70">
        <v>17</v>
      </c>
      <c r="E70">
        <v>4</v>
      </c>
      <c r="F70">
        <v>100</v>
      </c>
      <c r="G70">
        <v>20</v>
      </c>
      <c r="H70">
        <v>0</v>
      </c>
      <c r="I70">
        <v>8</v>
      </c>
      <c r="J70">
        <v>239</v>
      </c>
      <c r="K70">
        <v>3383</v>
      </c>
      <c r="L70">
        <v>15.3</v>
      </c>
      <c r="M70">
        <v>0.02</v>
      </c>
      <c r="N70" t="s">
        <v>1489</v>
      </c>
    </row>
    <row r="71" spans="1:14">
      <c r="A71">
        <v>52</v>
      </c>
      <c r="B71" t="s">
        <v>333</v>
      </c>
      <c r="C71" t="s">
        <v>1123</v>
      </c>
      <c r="D71">
        <v>7</v>
      </c>
      <c r="E71">
        <v>38</v>
      </c>
      <c r="F71">
        <v>0</v>
      </c>
      <c r="G71">
        <v>25</v>
      </c>
      <c r="H71">
        <v>0</v>
      </c>
      <c r="I71">
        <v>29</v>
      </c>
      <c r="J71">
        <v>500</v>
      </c>
      <c r="K71">
        <v>3232.95</v>
      </c>
      <c r="L71">
        <v>6.76</v>
      </c>
      <c r="M71">
        <v>0.08</v>
      </c>
      <c r="N71" t="s">
        <v>1487</v>
      </c>
    </row>
    <row r="72" spans="1:14">
      <c r="A72">
        <v>3</v>
      </c>
      <c r="B72" t="s">
        <v>237</v>
      </c>
      <c r="C72" t="s">
        <v>1117</v>
      </c>
      <c r="D72">
        <v>10</v>
      </c>
      <c r="E72">
        <v>13</v>
      </c>
      <c r="F72">
        <v>70</v>
      </c>
      <c r="G72">
        <v>25</v>
      </c>
      <c r="H72">
        <v>0</v>
      </c>
      <c r="I72">
        <v>12</v>
      </c>
      <c r="J72">
        <v>328</v>
      </c>
      <c r="K72">
        <v>3044</v>
      </c>
      <c r="L72">
        <v>9.5</v>
      </c>
      <c r="M72">
        <v>0.04</v>
      </c>
      <c r="N72" t="s">
        <v>1489</v>
      </c>
    </row>
    <row r="73" spans="1:14">
      <c r="A73">
        <v>37</v>
      </c>
      <c r="B73" t="s">
        <v>303</v>
      </c>
      <c r="C73" t="s">
        <v>1129</v>
      </c>
      <c r="D73">
        <v>26</v>
      </c>
      <c r="E73">
        <v>11</v>
      </c>
      <c r="F73">
        <v>50</v>
      </c>
      <c r="G73">
        <v>25</v>
      </c>
      <c r="H73">
        <v>0</v>
      </c>
      <c r="I73">
        <v>6</v>
      </c>
      <c r="J73">
        <v>125</v>
      </c>
      <c r="K73">
        <v>2688.4</v>
      </c>
      <c r="L73">
        <v>23.4</v>
      </c>
      <c r="M73">
        <v>0.09</v>
      </c>
      <c r="N73" t="s">
        <v>1489</v>
      </c>
    </row>
    <row r="74" spans="1:14">
      <c r="A74">
        <v>74</v>
      </c>
      <c r="B74" t="s">
        <v>373</v>
      </c>
      <c r="C74" t="s">
        <v>1127</v>
      </c>
      <c r="D74">
        <v>10</v>
      </c>
      <c r="E74">
        <v>4</v>
      </c>
      <c r="F74">
        <v>20</v>
      </c>
      <c r="G74">
        <v>5</v>
      </c>
      <c r="H74">
        <v>0</v>
      </c>
      <c r="I74">
        <v>13</v>
      </c>
      <c r="J74">
        <v>297</v>
      </c>
      <c r="K74">
        <v>2432.5</v>
      </c>
      <c r="L74">
        <v>8.77</v>
      </c>
      <c r="M74">
        <v>0.01</v>
      </c>
      <c r="N74" t="s">
        <v>1489</v>
      </c>
    </row>
    <row r="75" spans="1:14">
      <c r="A75">
        <v>67</v>
      </c>
      <c r="B75" t="s">
        <v>362</v>
      </c>
      <c r="C75" t="s">
        <v>1115</v>
      </c>
      <c r="D75">
        <v>14</v>
      </c>
      <c r="E75">
        <v>52</v>
      </c>
      <c r="F75">
        <v>0</v>
      </c>
      <c r="G75">
        <v>10</v>
      </c>
      <c r="H75">
        <v>0</v>
      </c>
      <c r="I75">
        <v>10</v>
      </c>
      <c r="J75">
        <v>184</v>
      </c>
      <c r="K75">
        <v>2396.8000000000002</v>
      </c>
      <c r="L75">
        <v>13.72</v>
      </c>
      <c r="M75">
        <v>0.28000000000000003</v>
      </c>
      <c r="N75" t="s">
        <v>1487</v>
      </c>
    </row>
    <row r="76" spans="1:14">
      <c r="A76">
        <v>15</v>
      </c>
      <c r="B76" t="s">
        <v>261</v>
      </c>
      <c r="C76" t="s">
        <v>1117</v>
      </c>
      <c r="D76">
        <v>15.5</v>
      </c>
      <c r="E76">
        <v>39</v>
      </c>
      <c r="F76">
        <v>0</v>
      </c>
      <c r="G76">
        <v>5</v>
      </c>
      <c r="H76">
        <v>0</v>
      </c>
      <c r="I76">
        <v>6</v>
      </c>
      <c r="J76">
        <v>122</v>
      </c>
      <c r="K76">
        <v>1784.82</v>
      </c>
      <c r="L76">
        <v>14.47</v>
      </c>
      <c r="M76">
        <v>0.32</v>
      </c>
      <c r="N76" t="s">
        <v>1487</v>
      </c>
    </row>
    <row r="77" spans="1:14">
      <c r="A77">
        <v>33</v>
      </c>
      <c r="B77" t="s">
        <v>297</v>
      </c>
      <c r="C77" t="s">
        <v>1121</v>
      </c>
      <c r="D77">
        <v>2.5</v>
      </c>
      <c r="E77">
        <v>112</v>
      </c>
      <c r="F77">
        <v>0</v>
      </c>
      <c r="G77">
        <v>20</v>
      </c>
      <c r="H77">
        <v>0</v>
      </c>
      <c r="I77">
        <v>32</v>
      </c>
      <c r="J77">
        <v>755</v>
      </c>
      <c r="K77">
        <v>1648.12</v>
      </c>
      <c r="L77">
        <v>2.33</v>
      </c>
      <c r="M77">
        <v>0.15</v>
      </c>
      <c r="N77" t="s">
        <v>1487</v>
      </c>
    </row>
    <row r="78" spans="1:14">
      <c r="A78">
        <v>48</v>
      </c>
      <c r="B78" t="s">
        <v>325</v>
      </c>
      <c r="C78" t="s">
        <v>1119</v>
      </c>
      <c r="D78">
        <v>12.75</v>
      </c>
      <c r="E78">
        <v>15</v>
      </c>
      <c r="F78">
        <v>70</v>
      </c>
      <c r="G78">
        <v>25</v>
      </c>
      <c r="H78">
        <v>0</v>
      </c>
      <c r="I78">
        <v>6</v>
      </c>
      <c r="J78">
        <v>138</v>
      </c>
      <c r="K78">
        <v>1368.71</v>
      </c>
      <c r="L78">
        <v>11.9</v>
      </c>
      <c r="M78">
        <v>0.11</v>
      </c>
      <c r="N78" t="s">
        <v>1489</v>
      </c>
    </row>
  </sheetData>
  <pageMargins left="0.7" right="0.7" top="0.75" bottom="0.75" header="0.3" footer="0.3"/>
  <tableParts count="1">
    <tablePart r:id="rId1"/>
  </tablePart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DCF45-7761-FE43-8AAD-E9005C7DF026}">
  <dimension ref="A1:J35"/>
  <sheetViews>
    <sheetView showGridLines="0" workbookViewId="0">
      <selection activeCell="B55" sqref="B55"/>
    </sheetView>
  </sheetViews>
  <sheetFormatPr baseColWidth="10" defaultRowHeight="13"/>
  <cols>
    <col min="2" max="2" width="20.33203125" bestFit="1" customWidth="1"/>
    <col min="3" max="3" width="14.1640625" bestFit="1" customWidth="1"/>
    <col min="4" max="4" width="18.83203125" bestFit="1" customWidth="1"/>
    <col min="5" max="5" width="11.33203125" bestFit="1" customWidth="1"/>
    <col min="6" max="6" width="18.83203125" bestFit="1" customWidth="1"/>
    <col min="7" max="7" width="11.33203125" bestFit="1" customWidth="1"/>
    <col min="8" max="8" width="18.83203125" bestFit="1" customWidth="1"/>
    <col min="9" max="9" width="15.6640625" bestFit="1" customWidth="1"/>
    <col min="10" max="10" width="23.33203125" bestFit="1" customWidth="1"/>
  </cols>
  <sheetData>
    <row r="1" spans="1:7" ht="22" thickBot="1">
      <c r="A1" s="19" t="s">
        <v>1611</v>
      </c>
      <c r="B1" s="20" t="s">
        <v>1596</v>
      </c>
      <c r="C1" s="21"/>
      <c r="D1" s="21"/>
      <c r="E1" s="21"/>
      <c r="F1" s="22"/>
      <c r="G1" s="22"/>
    </row>
    <row r="3" spans="1:7">
      <c r="B3" s="12" t="s">
        <v>1634</v>
      </c>
      <c r="C3" s="12" t="s">
        <v>1633</v>
      </c>
    </row>
    <row r="4" spans="1:7">
      <c r="B4" s="12" t="s">
        <v>1632</v>
      </c>
      <c r="C4" t="s">
        <v>814</v>
      </c>
      <c r="D4" t="s">
        <v>807</v>
      </c>
      <c r="E4" t="s">
        <v>788</v>
      </c>
      <c r="F4" t="s">
        <v>1184</v>
      </c>
    </row>
    <row r="5" spans="1:7">
      <c r="B5" s="13" t="s">
        <v>1475</v>
      </c>
      <c r="E5">
        <v>4</v>
      </c>
      <c r="F5">
        <v>4</v>
      </c>
    </row>
    <row r="6" spans="1:7">
      <c r="B6" s="13" t="s">
        <v>1476</v>
      </c>
      <c r="C6">
        <v>3</v>
      </c>
      <c r="F6">
        <v>3</v>
      </c>
    </row>
    <row r="7" spans="1:7">
      <c r="B7" s="13" t="s">
        <v>31</v>
      </c>
      <c r="D7">
        <v>1</v>
      </c>
      <c r="F7">
        <v>1</v>
      </c>
    </row>
    <row r="8" spans="1:7">
      <c r="B8" s="13" t="s">
        <v>1184</v>
      </c>
      <c r="C8">
        <v>3</v>
      </c>
      <c r="D8">
        <v>1</v>
      </c>
      <c r="E8">
        <v>4</v>
      </c>
      <c r="F8">
        <v>8</v>
      </c>
    </row>
    <row r="29" spans="2:10">
      <c r="C29" s="12" t="s">
        <v>1633</v>
      </c>
    </row>
    <row r="30" spans="2:10">
      <c r="C30" t="s">
        <v>814</v>
      </c>
      <c r="E30" t="s">
        <v>807</v>
      </c>
      <c r="G30" t="s">
        <v>788</v>
      </c>
      <c r="I30" t="s">
        <v>1651</v>
      </c>
      <c r="J30" t="s">
        <v>1653</v>
      </c>
    </row>
    <row r="31" spans="2:10">
      <c r="B31" s="12" t="s">
        <v>1632</v>
      </c>
      <c r="C31" t="s">
        <v>1652</v>
      </c>
      <c r="D31" t="s">
        <v>1649</v>
      </c>
      <c r="E31" t="s">
        <v>1652</v>
      </c>
      <c r="F31" t="s">
        <v>1649</v>
      </c>
      <c r="G31" t="s">
        <v>1652</v>
      </c>
      <c r="H31" t="s">
        <v>1649</v>
      </c>
    </row>
    <row r="32" spans="2:10">
      <c r="B32" s="13" t="s">
        <v>833</v>
      </c>
      <c r="G32">
        <v>68</v>
      </c>
      <c r="H32">
        <v>32</v>
      </c>
      <c r="I32">
        <v>68</v>
      </c>
      <c r="J32">
        <v>32</v>
      </c>
    </row>
    <row r="33" spans="2:10">
      <c r="B33" s="13" t="s">
        <v>90</v>
      </c>
      <c r="C33">
        <v>71</v>
      </c>
      <c r="D33">
        <v>32</v>
      </c>
      <c r="I33">
        <v>71</v>
      </c>
      <c r="J33">
        <v>32</v>
      </c>
    </row>
    <row r="34" spans="2:10">
      <c r="B34" s="13" t="s">
        <v>31</v>
      </c>
      <c r="C34">
        <v>63.5</v>
      </c>
      <c r="D34">
        <v>32</v>
      </c>
      <c r="E34">
        <v>88</v>
      </c>
      <c r="F34">
        <v>32</v>
      </c>
      <c r="G34">
        <v>66.333299999999994</v>
      </c>
      <c r="H34">
        <v>33</v>
      </c>
      <c r="I34">
        <v>72.611100000000008</v>
      </c>
      <c r="J34">
        <v>32.333333333333336</v>
      </c>
    </row>
    <row r="35" spans="2:10">
      <c r="B35" s="13" t="s">
        <v>1184</v>
      </c>
      <c r="C35">
        <v>67.25</v>
      </c>
      <c r="D35">
        <v>32</v>
      </c>
      <c r="E35">
        <v>88</v>
      </c>
      <c r="F35">
        <v>32</v>
      </c>
      <c r="G35">
        <v>67.166650000000004</v>
      </c>
      <c r="H35">
        <v>32.5</v>
      </c>
      <c r="I35">
        <v>71.366659999999996</v>
      </c>
      <c r="J35">
        <v>32.200000000000003</v>
      </c>
    </row>
  </sheetData>
  <pageMargins left="0.7" right="0.7" top="0.75" bottom="0.75" header="0.3" footer="0.3"/>
  <drawing r:id="rId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93F95-E375-4612-849E-6155DAB39E21}">
  <dimension ref="A1:W79"/>
  <sheetViews>
    <sheetView showGridLines="0" workbookViewId="0">
      <selection activeCell="A33" sqref="A33"/>
    </sheetView>
  </sheetViews>
  <sheetFormatPr baseColWidth="10" defaultColWidth="8.83203125" defaultRowHeight="13"/>
  <cols>
    <col min="1" max="1" width="12.5" bestFit="1" customWidth="1"/>
    <col min="10" max="10" width="12.1640625" bestFit="1" customWidth="1"/>
    <col min="11" max="11" width="30.83203125" bestFit="1" customWidth="1"/>
    <col min="12" max="12" width="16.83203125" bestFit="1" customWidth="1"/>
    <col min="13" max="13" width="11.5" bestFit="1" customWidth="1"/>
    <col min="14" max="14" width="14.5" bestFit="1" customWidth="1"/>
    <col min="15" max="15" width="15.5" bestFit="1" customWidth="1"/>
    <col min="16" max="16" width="15.6640625" bestFit="1" customWidth="1"/>
    <col min="17" max="17" width="15" bestFit="1" customWidth="1"/>
    <col min="18" max="18" width="16.5" bestFit="1" customWidth="1"/>
    <col min="19" max="19" width="17.5" bestFit="1" customWidth="1"/>
    <col min="20" max="20" width="15.83203125" bestFit="1" customWidth="1"/>
    <col min="21" max="21" width="19.33203125" bestFit="1" customWidth="1"/>
    <col min="22" max="22" width="21.5" bestFit="1" customWidth="1"/>
    <col min="23" max="23" width="14" bestFit="1" customWidth="1"/>
  </cols>
  <sheetData>
    <row r="1" spans="1:23" ht="14" thickBot="1">
      <c r="A1" s="43" t="s">
        <v>1490</v>
      </c>
      <c r="B1" s="44"/>
      <c r="C1" s="44"/>
      <c r="D1" s="44"/>
      <c r="E1" s="44"/>
      <c r="F1" s="44"/>
      <c r="G1" s="44"/>
      <c r="H1" s="45"/>
    </row>
    <row r="2" spans="1:23" ht="15.75" customHeight="1">
      <c r="A2" s="46" t="s">
        <v>1491</v>
      </c>
      <c r="B2" s="47"/>
      <c r="C2" s="47"/>
      <c r="D2" s="47"/>
      <c r="E2" s="47"/>
      <c r="F2" s="47"/>
      <c r="G2" s="47"/>
      <c r="H2" s="48"/>
      <c r="J2" t="s">
        <v>224</v>
      </c>
      <c r="K2" t="s">
        <v>225</v>
      </c>
      <c r="L2" t="s">
        <v>1113</v>
      </c>
      <c r="M2" t="s">
        <v>1483</v>
      </c>
      <c r="N2" t="s">
        <v>229</v>
      </c>
      <c r="O2" t="s">
        <v>230</v>
      </c>
      <c r="P2" t="s">
        <v>231</v>
      </c>
      <c r="Q2" t="s">
        <v>232</v>
      </c>
      <c r="R2" t="s">
        <v>1201</v>
      </c>
      <c r="S2" t="s">
        <v>1484</v>
      </c>
      <c r="T2" t="s">
        <v>1132</v>
      </c>
      <c r="U2" t="s">
        <v>1203</v>
      </c>
      <c r="V2" t="s">
        <v>1485</v>
      </c>
      <c r="W2" t="s">
        <v>1486</v>
      </c>
    </row>
    <row r="3" spans="1:23">
      <c r="A3" s="46"/>
      <c r="B3" s="47"/>
      <c r="C3" s="47"/>
      <c r="D3" s="47"/>
      <c r="E3" s="47"/>
      <c r="F3" s="47"/>
      <c r="G3" s="47"/>
      <c r="H3" s="48"/>
      <c r="J3">
        <v>38</v>
      </c>
      <c r="K3" t="s">
        <v>1204</v>
      </c>
      <c r="L3" t="s">
        <v>1115</v>
      </c>
      <c r="M3">
        <v>263.5</v>
      </c>
      <c r="N3">
        <v>17</v>
      </c>
      <c r="O3">
        <v>0</v>
      </c>
      <c r="P3">
        <v>15</v>
      </c>
      <c r="Q3">
        <v>0</v>
      </c>
      <c r="R3">
        <v>24</v>
      </c>
      <c r="S3">
        <v>623</v>
      </c>
      <c r="T3">
        <v>141396.74</v>
      </c>
      <c r="U3">
        <v>245.93</v>
      </c>
      <c r="V3">
        <v>0.03</v>
      </c>
      <c r="W3" t="s">
        <v>1487</v>
      </c>
    </row>
    <row r="4" spans="1:23">
      <c r="A4" s="46"/>
      <c r="B4" s="47"/>
      <c r="C4" s="47"/>
      <c r="D4" s="47"/>
      <c r="E4" s="47"/>
      <c r="F4" s="47"/>
      <c r="G4" s="47"/>
      <c r="H4" s="48"/>
      <c r="J4">
        <v>29</v>
      </c>
      <c r="K4" t="s">
        <v>1205</v>
      </c>
      <c r="L4" t="s">
        <v>1125</v>
      </c>
      <c r="M4">
        <v>123.79</v>
      </c>
      <c r="N4">
        <v>0</v>
      </c>
      <c r="O4">
        <v>0</v>
      </c>
      <c r="P4">
        <v>0</v>
      </c>
      <c r="Q4">
        <v>1</v>
      </c>
      <c r="R4">
        <v>32</v>
      </c>
      <c r="S4">
        <v>746</v>
      </c>
      <c r="T4">
        <v>80368.67</v>
      </c>
      <c r="U4">
        <v>116.04</v>
      </c>
      <c r="V4">
        <v>0</v>
      </c>
      <c r="W4" t="s">
        <v>1488</v>
      </c>
    </row>
    <row r="5" spans="1:23">
      <c r="A5" s="46"/>
      <c r="B5" s="47"/>
      <c r="C5" s="47"/>
      <c r="D5" s="47"/>
      <c r="E5" s="47"/>
      <c r="F5" s="47"/>
      <c r="G5" s="47"/>
      <c r="H5" s="48"/>
      <c r="J5">
        <v>59</v>
      </c>
      <c r="K5" t="s">
        <v>346</v>
      </c>
      <c r="L5" t="s">
        <v>1121</v>
      </c>
      <c r="M5">
        <v>55</v>
      </c>
      <c r="N5">
        <v>79</v>
      </c>
      <c r="O5">
        <v>0</v>
      </c>
      <c r="P5">
        <v>0</v>
      </c>
      <c r="Q5">
        <v>0</v>
      </c>
      <c r="R5">
        <v>54</v>
      </c>
      <c r="S5">
        <v>1496</v>
      </c>
      <c r="T5">
        <v>71155.7</v>
      </c>
      <c r="U5">
        <v>51.13</v>
      </c>
      <c r="V5">
        <v>0.05</v>
      </c>
      <c r="W5" t="s">
        <v>1487</v>
      </c>
    </row>
    <row r="6" spans="1:23">
      <c r="A6" s="46"/>
      <c r="B6" s="47"/>
      <c r="C6" s="47"/>
      <c r="D6" s="47"/>
      <c r="E6" s="47"/>
      <c r="F6" s="47"/>
      <c r="G6" s="47"/>
      <c r="H6" s="48"/>
      <c r="J6">
        <v>62</v>
      </c>
      <c r="K6" t="s">
        <v>352</v>
      </c>
      <c r="L6" t="s">
        <v>1119</v>
      </c>
      <c r="M6">
        <v>49.3</v>
      </c>
      <c r="N6">
        <v>17</v>
      </c>
      <c r="O6">
        <v>0</v>
      </c>
      <c r="P6">
        <v>0</v>
      </c>
      <c r="Q6">
        <v>0</v>
      </c>
      <c r="R6">
        <v>48</v>
      </c>
      <c r="S6">
        <v>1083</v>
      </c>
      <c r="T6">
        <v>47234.97</v>
      </c>
      <c r="U6">
        <v>46.41</v>
      </c>
      <c r="V6">
        <v>0.02</v>
      </c>
      <c r="W6" t="s">
        <v>1487</v>
      </c>
    </row>
    <row r="7" spans="1:23">
      <c r="A7" s="46"/>
      <c r="B7" s="47"/>
      <c r="C7" s="47"/>
      <c r="D7" s="47"/>
      <c r="E7" s="47"/>
      <c r="F7" s="47"/>
      <c r="G7" s="47"/>
      <c r="H7" s="48"/>
      <c r="J7">
        <v>60</v>
      </c>
      <c r="K7" t="s">
        <v>348</v>
      </c>
      <c r="L7" t="s">
        <v>1121</v>
      </c>
      <c r="M7">
        <v>34</v>
      </c>
      <c r="N7">
        <v>19</v>
      </c>
      <c r="O7">
        <v>0</v>
      </c>
      <c r="P7">
        <v>0</v>
      </c>
      <c r="Q7">
        <v>0</v>
      </c>
      <c r="R7">
        <v>51</v>
      </c>
      <c r="S7">
        <v>1577</v>
      </c>
      <c r="T7">
        <v>46825.48</v>
      </c>
      <c r="U7">
        <v>32.130000000000003</v>
      </c>
      <c r="V7">
        <v>0.01</v>
      </c>
      <c r="W7" t="s">
        <v>1487</v>
      </c>
    </row>
    <row r="8" spans="1:23">
      <c r="A8" s="46"/>
      <c r="B8" s="47"/>
      <c r="C8" s="47"/>
      <c r="D8" s="47"/>
      <c r="E8" s="47"/>
      <c r="F8" s="47"/>
      <c r="G8" s="47"/>
      <c r="H8" s="48"/>
      <c r="J8">
        <v>56</v>
      </c>
      <c r="K8" t="s">
        <v>341</v>
      </c>
      <c r="L8" t="s">
        <v>1123</v>
      </c>
      <c r="M8">
        <v>38</v>
      </c>
      <c r="N8">
        <v>21</v>
      </c>
      <c r="O8">
        <v>10</v>
      </c>
      <c r="P8">
        <v>30</v>
      </c>
      <c r="Q8">
        <v>0</v>
      </c>
      <c r="R8">
        <v>50</v>
      </c>
      <c r="S8">
        <v>1263</v>
      </c>
      <c r="T8">
        <v>42593.06</v>
      </c>
      <c r="U8">
        <v>35.42</v>
      </c>
      <c r="V8">
        <v>0.02</v>
      </c>
      <c r="W8" t="s">
        <v>1489</v>
      </c>
    </row>
    <row r="9" spans="1:23">
      <c r="A9" s="46"/>
      <c r="B9" s="47"/>
      <c r="C9" s="47"/>
      <c r="D9" s="47"/>
      <c r="E9" s="47"/>
      <c r="F9" s="47"/>
      <c r="G9" s="47"/>
      <c r="H9" s="48"/>
      <c r="J9">
        <v>51</v>
      </c>
      <c r="K9" t="s">
        <v>331</v>
      </c>
      <c r="L9" t="s">
        <v>1127</v>
      </c>
      <c r="M9">
        <v>53</v>
      </c>
      <c r="N9">
        <v>20</v>
      </c>
      <c r="O9">
        <v>0</v>
      </c>
      <c r="P9">
        <v>10</v>
      </c>
      <c r="Q9">
        <v>0</v>
      </c>
      <c r="R9">
        <v>39</v>
      </c>
      <c r="S9">
        <v>886</v>
      </c>
      <c r="T9">
        <v>41819.65</v>
      </c>
      <c r="U9">
        <v>50.55</v>
      </c>
      <c r="V9">
        <v>0.02</v>
      </c>
      <c r="W9" t="s">
        <v>1487</v>
      </c>
    </row>
    <row r="10" spans="1:23">
      <c r="A10" s="46"/>
      <c r="B10" s="47"/>
      <c r="C10" s="47"/>
      <c r="D10" s="47"/>
      <c r="E10" s="47"/>
      <c r="F10" s="47"/>
      <c r="G10" s="47"/>
      <c r="H10" s="48"/>
      <c r="J10">
        <v>17</v>
      </c>
      <c r="K10" t="s">
        <v>265</v>
      </c>
      <c r="L10" t="s">
        <v>1125</v>
      </c>
      <c r="M10">
        <v>39</v>
      </c>
      <c r="N10">
        <v>0</v>
      </c>
      <c r="O10">
        <v>0</v>
      </c>
      <c r="P10">
        <v>0</v>
      </c>
      <c r="Q10">
        <v>1</v>
      </c>
      <c r="R10">
        <v>37</v>
      </c>
      <c r="S10">
        <v>978</v>
      </c>
      <c r="T10">
        <v>32698.38</v>
      </c>
      <c r="U10">
        <v>36.47</v>
      </c>
      <c r="V10">
        <v>0</v>
      </c>
      <c r="W10" t="s">
        <v>1488</v>
      </c>
    </row>
    <row r="11" spans="1:23">
      <c r="A11" s="46"/>
      <c r="B11" s="47"/>
      <c r="C11" s="47"/>
      <c r="D11" s="47"/>
      <c r="E11" s="47"/>
      <c r="F11" s="47"/>
      <c r="G11" s="47"/>
      <c r="H11" s="48"/>
      <c r="J11">
        <v>18</v>
      </c>
      <c r="K11" t="s">
        <v>267</v>
      </c>
      <c r="L11" t="s">
        <v>1129</v>
      </c>
      <c r="M11">
        <v>62.5</v>
      </c>
      <c r="N11">
        <v>42</v>
      </c>
      <c r="O11">
        <v>0</v>
      </c>
      <c r="P11">
        <v>0</v>
      </c>
      <c r="Q11">
        <v>0</v>
      </c>
      <c r="R11">
        <v>27</v>
      </c>
      <c r="S11">
        <v>539</v>
      </c>
      <c r="T11">
        <v>29171.88</v>
      </c>
      <c r="U11">
        <v>59.72</v>
      </c>
      <c r="V11">
        <v>0.08</v>
      </c>
      <c r="W11" t="s">
        <v>1487</v>
      </c>
    </row>
    <row r="12" spans="1:23">
      <c r="A12" s="46"/>
      <c r="B12" s="47"/>
      <c r="C12" s="47"/>
      <c r="D12" s="47"/>
      <c r="E12" s="47"/>
      <c r="F12" s="47"/>
      <c r="G12" s="47"/>
      <c r="H12" s="48"/>
      <c r="J12">
        <v>28</v>
      </c>
      <c r="K12" t="s">
        <v>1206</v>
      </c>
      <c r="L12" t="s">
        <v>1127</v>
      </c>
      <c r="M12">
        <v>45.6</v>
      </c>
      <c r="N12">
        <v>26</v>
      </c>
      <c r="O12">
        <v>0</v>
      </c>
      <c r="P12">
        <v>0</v>
      </c>
      <c r="Q12">
        <v>1</v>
      </c>
      <c r="R12">
        <v>33</v>
      </c>
      <c r="S12">
        <v>640</v>
      </c>
      <c r="T12">
        <v>25696.639999999999</v>
      </c>
      <c r="U12">
        <v>41.98</v>
      </c>
      <c r="V12">
        <v>0.04</v>
      </c>
      <c r="W12" t="s">
        <v>1487</v>
      </c>
    </row>
    <row r="13" spans="1:23">
      <c r="A13" s="46"/>
      <c r="B13" s="47"/>
      <c r="C13" s="47"/>
      <c r="D13" s="47"/>
      <c r="E13" s="47"/>
      <c r="F13" s="47"/>
      <c r="G13" s="47"/>
      <c r="H13" s="48"/>
      <c r="J13">
        <v>72</v>
      </c>
      <c r="K13" t="s">
        <v>370</v>
      </c>
      <c r="L13" t="s">
        <v>1121</v>
      </c>
      <c r="M13">
        <v>34.799999999999997</v>
      </c>
      <c r="N13">
        <v>14</v>
      </c>
      <c r="O13">
        <v>0</v>
      </c>
      <c r="P13">
        <v>0</v>
      </c>
      <c r="Q13">
        <v>0</v>
      </c>
      <c r="R13">
        <v>38</v>
      </c>
      <c r="S13">
        <v>806</v>
      </c>
      <c r="T13">
        <v>24900.13</v>
      </c>
      <c r="U13">
        <v>32.04</v>
      </c>
      <c r="V13">
        <v>0.02</v>
      </c>
      <c r="W13" t="s">
        <v>1487</v>
      </c>
    </row>
    <row r="14" spans="1:23">
      <c r="A14" s="46"/>
      <c r="B14" s="47"/>
      <c r="C14" s="47"/>
      <c r="D14" s="47"/>
      <c r="E14" s="47"/>
      <c r="F14" s="47"/>
      <c r="G14" s="47"/>
      <c r="H14" s="48"/>
      <c r="J14">
        <v>43</v>
      </c>
      <c r="K14" t="s">
        <v>315</v>
      </c>
      <c r="L14" t="s">
        <v>1115</v>
      </c>
      <c r="M14">
        <v>46</v>
      </c>
      <c r="N14">
        <v>17</v>
      </c>
      <c r="O14">
        <v>10</v>
      </c>
      <c r="P14">
        <v>25</v>
      </c>
      <c r="Q14">
        <v>0</v>
      </c>
      <c r="R14">
        <v>28</v>
      </c>
      <c r="S14">
        <v>580</v>
      </c>
      <c r="T14">
        <v>23526.7</v>
      </c>
      <c r="U14">
        <v>43.04</v>
      </c>
      <c r="V14">
        <v>0.03</v>
      </c>
      <c r="W14" t="s">
        <v>1489</v>
      </c>
    </row>
    <row r="15" spans="1:23">
      <c r="A15" s="46"/>
      <c r="B15" s="47"/>
      <c r="C15" s="47"/>
      <c r="D15" s="47"/>
      <c r="E15" s="47"/>
      <c r="F15" s="47"/>
      <c r="G15" s="47"/>
      <c r="H15" s="48"/>
      <c r="J15">
        <v>20</v>
      </c>
      <c r="K15" t="s">
        <v>271</v>
      </c>
      <c r="L15" t="s">
        <v>1119</v>
      </c>
      <c r="M15">
        <v>81</v>
      </c>
      <c r="N15">
        <v>40</v>
      </c>
      <c r="O15">
        <v>0</v>
      </c>
      <c r="P15">
        <v>0</v>
      </c>
      <c r="Q15">
        <v>0</v>
      </c>
      <c r="R15">
        <v>16</v>
      </c>
      <c r="S15">
        <v>313</v>
      </c>
      <c r="T15">
        <v>22563.360000000001</v>
      </c>
      <c r="U15">
        <v>75.94</v>
      </c>
      <c r="V15">
        <v>0.13</v>
      </c>
      <c r="W15" t="s">
        <v>1487</v>
      </c>
    </row>
    <row r="16" spans="1:23">
      <c r="A16" s="46"/>
      <c r="B16" s="47"/>
      <c r="C16" s="47"/>
      <c r="D16" s="47"/>
      <c r="E16" s="47"/>
      <c r="F16" s="47"/>
      <c r="G16" s="47"/>
      <c r="H16" s="48"/>
      <c r="J16">
        <v>7</v>
      </c>
      <c r="K16" t="s">
        <v>245</v>
      </c>
      <c r="L16" t="s">
        <v>1127</v>
      </c>
      <c r="M16">
        <v>30</v>
      </c>
      <c r="N16">
        <v>15</v>
      </c>
      <c r="O16">
        <v>0</v>
      </c>
      <c r="P16">
        <v>10</v>
      </c>
      <c r="Q16">
        <v>0</v>
      </c>
      <c r="R16">
        <v>29</v>
      </c>
      <c r="S16">
        <v>763</v>
      </c>
      <c r="T16">
        <v>22044.3</v>
      </c>
      <c r="U16">
        <v>29.17</v>
      </c>
      <c r="V16">
        <v>0.02</v>
      </c>
      <c r="W16" t="s">
        <v>1487</v>
      </c>
    </row>
    <row r="17" spans="1:23">
      <c r="A17" s="46"/>
      <c r="B17" s="47"/>
      <c r="C17" s="47"/>
      <c r="D17" s="47"/>
      <c r="E17" s="47"/>
      <c r="F17" s="47"/>
      <c r="G17" s="47"/>
      <c r="H17" s="48"/>
      <c r="J17">
        <v>64</v>
      </c>
      <c r="K17" t="s">
        <v>1207</v>
      </c>
      <c r="L17" t="s">
        <v>1123</v>
      </c>
      <c r="M17">
        <v>33.25</v>
      </c>
      <c r="N17">
        <v>22</v>
      </c>
      <c r="O17">
        <v>80</v>
      </c>
      <c r="P17">
        <v>30</v>
      </c>
      <c r="Q17">
        <v>0</v>
      </c>
      <c r="R17">
        <v>30</v>
      </c>
      <c r="S17">
        <v>740</v>
      </c>
      <c r="T17">
        <v>21957.97</v>
      </c>
      <c r="U17">
        <v>31.03</v>
      </c>
      <c r="V17">
        <v>0.03</v>
      </c>
      <c r="W17" t="s">
        <v>1489</v>
      </c>
    </row>
    <row r="18" spans="1:23">
      <c r="A18" s="46"/>
      <c r="B18" s="47"/>
      <c r="C18" s="47"/>
      <c r="D18" s="47"/>
      <c r="E18" s="47"/>
      <c r="F18" s="47"/>
      <c r="G18" s="47"/>
      <c r="H18" s="48"/>
      <c r="J18">
        <v>69</v>
      </c>
      <c r="K18" t="s">
        <v>365</v>
      </c>
      <c r="L18" t="s">
        <v>1121</v>
      </c>
      <c r="M18">
        <v>36</v>
      </c>
      <c r="N18">
        <v>26</v>
      </c>
      <c r="O18">
        <v>0</v>
      </c>
      <c r="P18">
        <v>15</v>
      </c>
      <c r="Q18">
        <v>0</v>
      </c>
      <c r="R18">
        <v>31</v>
      </c>
      <c r="S18">
        <v>714</v>
      </c>
      <c r="T18">
        <v>21942.36</v>
      </c>
      <c r="U18">
        <v>33.450000000000003</v>
      </c>
      <c r="V18">
        <v>0.04</v>
      </c>
      <c r="W18" t="s">
        <v>1487</v>
      </c>
    </row>
    <row r="19" spans="1:23">
      <c r="A19" s="46"/>
      <c r="B19" s="47"/>
      <c r="C19" s="47"/>
      <c r="D19" s="47"/>
      <c r="E19" s="47"/>
      <c r="F19" s="47"/>
      <c r="G19" s="47"/>
      <c r="H19" s="48"/>
      <c r="J19">
        <v>10</v>
      </c>
      <c r="K19" t="s">
        <v>251</v>
      </c>
      <c r="L19" t="s">
        <v>1129</v>
      </c>
      <c r="M19">
        <v>31</v>
      </c>
      <c r="N19">
        <v>31</v>
      </c>
      <c r="O19">
        <v>0</v>
      </c>
      <c r="P19">
        <v>0</v>
      </c>
      <c r="Q19">
        <v>0</v>
      </c>
      <c r="R19">
        <v>33</v>
      </c>
      <c r="S19">
        <v>742</v>
      </c>
      <c r="T19">
        <v>20867.34</v>
      </c>
      <c r="U19">
        <v>29.68</v>
      </c>
      <c r="V19">
        <v>0.04</v>
      </c>
      <c r="W19" t="s">
        <v>1487</v>
      </c>
    </row>
    <row r="20" spans="1:23">
      <c r="A20" s="46"/>
      <c r="B20" s="47"/>
      <c r="C20" s="47"/>
      <c r="D20" s="47"/>
      <c r="E20" s="47"/>
      <c r="F20" s="47"/>
      <c r="G20" s="47"/>
      <c r="H20" s="48"/>
      <c r="J20">
        <v>53</v>
      </c>
      <c r="K20" t="s">
        <v>335</v>
      </c>
      <c r="L20" t="s">
        <v>1125</v>
      </c>
      <c r="M20">
        <v>32.799999999999997</v>
      </c>
      <c r="N20">
        <v>0</v>
      </c>
      <c r="O20">
        <v>0</v>
      </c>
      <c r="P20">
        <v>0</v>
      </c>
      <c r="Q20">
        <v>1</v>
      </c>
      <c r="R20">
        <v>30</v>
      </c>
      <c r="S20">
        <v>722</v>
      </c>
      <c r="T20">
        <v>20574.169999999998</v>
      </c>
      <c r="U20">
        <v>30.16</v>
      </c>
      <c r="V20">
        <v>0</v>
      </c>
      <c r="W20" t="s">
        <v>1488</v>
      </c>
    </row>
    <row r="21" spans="1:23">
      <c r="A21" s="46"/>
      <c r="B21" s="47"/>
      <c r="C21" s="47"/>
      <c r="D21" s="47"/>
      <c r="E21" s="47"/>
      <c r="F21" s="47"/>
      <c r="G21" s="47"/>
      <c r="H21" s="48"/>
      <c r="J21">
        <v>26</v>
      </c>
      <c r="K21" t="s">
        <v>1208</v>
      </c>
      <c r="L21" t="s">
        <v>1119</v>
      </c>
      <c r="M21">
        <v>31.23</v>
      </c>
      <c r="N21">
        <v>15</v>
      </c>
      <c r="O21">
        <v>0</v>
      </c>
      <c r="P21">
        <v>0</v>
      </c>
      <c r="Q21">
        <v>0</v>
      </c>
      <c r="R21">
        <v>32</v>
      </c>
      <c r="S21">
        <v>753</v>
      </c>
      <c r="T21">
        <v>19849.14</v>
      </c>
      <c r="U21">
        <v>28.86</v>
      </c>
      <c r="V21">
        <v>0.02</v>
      </c>
      <c r="W21" t="s">
        <v>1487</v>
      </c>
    </row>
    <row r="22" spans="1:23">
      <c r="A22" s="46"/>
      <c r="B22" s="47"/>
      <c r="C22" s="47"/>
      <c r="D22" s="47"/>
      <c r="E22" s="47"/>
      <c r="F22" s="47"/>
      <c r="G22" s="47"/>
      <c r="H22" s="48"/>
      <c r="J22">
        <v>71</v>
      </c>
      <c r="K22" t="s">
        <v>1209</v>
      </c>
      <c r="L22" t="s">
        <v>1121</v>
      </c>
      <c r="M22">
        <v>21.5</v>
      </c>
      <c r="N22">
        <v>26</v>
      </c>
      <c r="O22">
        <v>0</v>
      </c>
      <c r="P22">
        <v>0</v>
      </c>
      <c r="Q22">
        <v>0</v>
      </c>
      <c r="R22">
        <v>42</v>
      </c>
      <c r="S22">
        <v>1057</v>
      </c>
      <c r="T22">
        <v>19551.03</v>
      </c>
      <c r="U22">
        <v>19.760000000000002</v>
      </c>
      <c r="V22">
        <v>0.02</v>
      </c>
      <c r="W22" t="s">
        <v>1487</v>
      </c>
    </row>
    <row r="23" spans="1:23">
      <c r="A23" s="46"/>
      <c r="B23" s="47"/>
      <c r="C23" s="47"/>
      <c r="D23" s="47"/>
      <c r="E23" s="47"/>
      <c r="F23" s="47"/>
      <c r="G23" s="47"/>
      <c r="H23" s="48"/>
      <c r="J23">
        <v>40</v>
      </c>
      <c r="K23" t="s">
        <v>309</v>
      </c>
      <c r="L23" t="s">
        <v>1129</v>
      </c>
      <c r="M23">
        <v>18.399999999999999</v>
      </c>
      <c r="N23">
        <v>123</v>
      </c>
      <c r="O23">
        <v>0</v>
      </c>
      <c r="P23">
        <v>30</v>
      </c>
      <c r="Q23">
        <v>0</v>
      </c>
      <c r="R23">
        <v>41</v>
      </c>
      <c r="S23">
        <v>1103</v>
      </c>
      <c r="T23">
        <v>17910.63</v>
      </c>
      <c r="U23">
        <v>17.23</v>
      </c>
      <c r="V23">
        <v>0.11</v>
      </c>
      <c r="W23" t="s">
        <v>1487</v>
      </c>
    </row>
    <row r="24" spans="1:23">
      <c r="A24" s="46"/>
      <c r="B24" s="47"/>
      <c r="C24" s="47"/>
      <c r="D24" s="47"/>
      <c r="E24" s="47"/>
      <c r="F24" s="47"/>
      <c r="G24" s="47"/>
      <c r="H24" s="48"/>
      <c r="J24">
        <v>55</v>
      </c>
      <c r="K24" t="s">
        <v>1210</v>
      </c>
      <c r="L24" t="s">
        <v>1125</v>
      </c>
      <c r="M24">
        <v>24</v>
      </c>
      <c r="N24">
        <v>115</v>
      </c>
      <c r="O24">
        <v>0</v>
      </c>
      <c r="P24">
        <v>20</v>
      </c>
      <c r="Q24">
        <v>0</v>
      </c>
      <c r="R24">
        <v>33</v>
      </c>
      <c r="S24">
        <v>903</v>
      </c>
      <c r="T24">
        <v>17426.400000000001</v>
      </c>
      <c r="U24">
        <v>22.4</v>
      </c>
      <c r="V24">
        <v>0.13</v>
      </c>
      <c r="W24" t="s">
        <v>1487</v>
      </c>
    </row>
    <row r="25" spans="1:23">
      <c r="A25" s="46"/>
      <c r="B25" s="47"/>
      <c r="C25" s="47"/>
      <c r="D25" s="47"/>
      <c r="E25" s="47"/>
      <c r="F25" s="47"/>
      <c r="G25" s="47"/>
      <c r="H25" s="48"/>
      <c r="J25">
        <v>16</v>
      </c>
      <c r="K25" t="s">
        <v>263</v>
      </c>
      <c r="L25" t="s">
        <v>1119</v>
      </c>
      <c r="M25">
        <v>17.45</v>
      </c>
      <c r="N25">
        <v>29</v>
      </c>
      <c r="O25">
        <v>0</v>
      </c>
      <c r="P25">
        <v>10</v>
      </c>
      <c r="Q25">
        <v>0</v>
      </c>
      <c r="R25">
        <v>43</v>
      </c>
      <c r="S25">
        <v>1158</v>
      </c>
      <c r="T25">
        <v>17215.78</v>
      </c>
      <c r="U25">
        <v>16.38</v>
      </c>
      <c r="V25">
        <v>0.03</v>
      </c>
      <c r="W25" t="s">
        <v>1487</v>
      </c>
    </row>
    <row r="26" spans="1:23">
      <c r="A26" s="46"/>
      <c r="B26" s="47"/>
      <c r="C26" s="47"/>
      <c r="D26" s="47"/>
      <c r="E26" s="47"/>
      <c r="F26" s="47"/>
      <c r="G26" s="47"/>
      <c r="H26" s="48"/>
      <c r="J26">
        <v>63</v>
      </c>
      <c r="K26" t="s">
        <v>354</v>
      </c>
      <c r="L26" t="s">
        <v>1117</v>
      </c>
      <c r="M26">
        <v>43.9</v>
      </c>
      <c r="N26">
        <v>24</v>
      </c>
      <c r="O26">
        <v>0</v>
      </c>
      <c r="P26">
        <v>5</v>
      </c>
      <c r="Q26">
        <v>0</v>
      </c>
      <c r="R26">
        <v>17</v>
      </c>
      <c r="S26">
        <v>445</v>
      </c>
      <c r="T26">
        <v>16701.09</v>
      </c>
      <c r="U26">
        <v>40.79</v>
      </c>
      <c r="V26">
        <v>0.05</v>
      </c>
      <c r="W26" t="s">
        <v>1487</v>
      </c>
    </row>
    <row r="27" spans="1:23">
      <c r="A27" s="46"/>
      <c r="B27" s="47"/>
      <c r="C27" s="47"/>
      <c r="D27" s="47"/>
      <c r="E27" s="47"/>
      <c r="F27" s="47"/>
      <c r="G27" s="47"/>
      <c r="H27" s="48"/>
      <c r="J27">
        <v>2</v>
      </c>
      <c r="K27" t="s">
        <v>235</v>
      </c>
      <c r="L27" t="s">
        <v>1115</v>
      </c>
      <c r="M27">
        <v>19</v>
      </c>
      <c r="N27">
        <v>17</v>
      </c>
      <c r="O27">
        <v>40</v>
      </c>
      <c r="P27">
        <v>25</v>
      </c>
      <c r="Q27">
        <v>0</v>
      </c>
      <c r="R27">
        <v>44</v>
      </c>
      <c r="S27">
        <v>1057</v>
      </c>
      <c r="T27">
        <v>16355.96</v>
      </c>
      <c r="U27">
        <v>17.88</v>
      </c>
      <c r="V27">
        <v>0.02</v>
      </c>
      <c r="W27" t="s">
        <v>1489</v>
      </c>
    </row>
    <row r="28" spans="1:23">
      <c r="A28" s="46"/>
      <c r="B28" s="47"/>
      <c r="C28" s="47"/>
      <c r="D28" s="47"/>
      <c r="E28" s="47"/>
      <c r="F28" s="47"/>
      <c r="G28" s="47"/>
      <c r="H28" s="48"/>
      <c r="J28">
        <v>76</v>
      </c>
      <c r="K28" t="s">
        <v>1211</v>
      </c>
      <c r="L28" t="s">
        <v>1115</v>
      </c>
      <c r="M28">
        <v>18</v>
      </c>
      <c r="N28">
        <v>57</v>
      </c>
      <c r="O28">
        <v>0</v>
      </c>
      <c r="P28">
        <v>20</v>
      </c>
      <c r="Q28">
        <v>0</v>
      </c>
      <c r="R28">
        <v>39</v>
      </c>
      <c r="S28">
        <v>981</v>
      </c>
      <c r="T28">
        <v>15760.44</v>
      </c>
      <c r="U28">
        <v>16.98</v>
      </c>
      <c r="V28">
        <v>0.06</v>
      </c>
      <c r="W28" t="s">
        <v>1487</v>
      </c>
    </row>
    <row r="29" spans="1:23">
      <c r="A29" s="46"/>
      <c r="B29" s="47"/>
      <c r="C29" s="47"/>
      <c r="D29" s="47"/>
      <c r="E29" s="47"/>
      <c r="F29" s="47"/>
      <c r="G29" s="47"/>
      <c r="H29" s="48"/>
      <c r="J29">
        <v>27</v>
      </c>
      <c r="K29" t="s">
        <v>285</v>
      </c>
      <c r="L29" t="s">
        <v>1119</v>
      </c>
      <c r="M29">
        <v>43.9</v>
      </c>
      <c r="N29">
        <v>49</v>
      </c>
      <c r="O29">
        <v>0</v>
      </c>
      <c r="P29">
        <v>30</v>
      </c>
      <c r="Q29">
        <v>0</v>
      </c>
      <c r="R29">
        <v>9</v>
      </c>
      <c r="S29">
        <v>365</v>
      </c>
      <c r="T29">
        <v>15099.88</v>
      </c>
      <c r="U29">
        <v>40.97</v>
      </c>
      <c r="V29">
        <v>0.13</v>
      </c>
      <c r="W29" t="s">
        <v>1487</v>
      </c>
    </row>
    <row r="30" spans="1:23">
      <c r="A30" s="46"/>
      <c r="B30" s="47"/>
      <c r="C30" s="47"/>
      <c r="D30" s="47"/>
      <c r="E30" s="47"/>
      <c r="F30" s="47"/>
      <c r="G30" s="47"/>
      <c r="H30" s="48"/>
      <c r="J30">
        <v>31</v>
      </c>
      <c r="K30" t="s">
        <v>293</v>
      </c>
      <c r="L30" t="s">
        <v>1121</v>
      </c>
      <c r="M30">
        <v>12.5</v>
      </c>
      <c r="N30">
        <v>0</v>
      </c>
      <c r="O30">
        <v>70</v>
      </c>
      <c r="P30">
        <v>20</v>
      </c>
      <c r="Q30">
        <v>0</v>
      </c>
      <c r="R30">
        <v>51</v>
      </c>
      <c r="S30">
        <v>1397</v>
      </c>
      <c r="T30">
        <v>14920.88</v>
      </c>
      <c r="U30">
        <v>11.67</v>
      </c>
      <c r="V30">
        <v>0</v>
      </c>
      <c r="W30" t="s">
        <v>1488</v>
      </c>
    </row>
    <row r="31" spans="1:23" ht="14" thickBot="1">
      <c r="A31" s="49"/>
      <c r="B31" s="50"/>
      <c r="C31" s="50"/>
      <c r="D31" s="50"/>
      <c r="E31" s="50"/>
      <c r="F31" s="50"/>
      <c r="G31" s="50"/>
      <c r="H31" s="51"/>
      <c r="J31">
        <v>61</v>
      </c>
      <c r="K31" t="s">
        <v>1212</v>
      </c>
      <c r="L31" t="s">
        <v>1117</v>
      </c>
      <c r="M31">
        <v>28.5</v>
      </c>
      <c r="N31">
        <v>113</v>
      </c>
      <c r="O31">
        <v>0</v>
      </c>
      <c r="P31">
        <v>25</v>
      </c>
      <c r="Q31">
        <v>0</v>
      </c>
      <c r="R31">
        <v>24</v>
      </c>
      <c r="S31">
        <v>603</v>
      </c>
      <c r="T31">
        <v>14352.6</v>
      </c>
      <c r="U31">
        <v>27.79</v>
      </c>
      <c r="V31">
        <v>0.19</v>
      </c>
      <c r="W31" t="s">
        <v>1487</v>
      </c>
    </row>
    <row r="32" spans="1:23">
      <c r="J32">
        <v>65</v>
      </c>
      <c r="K32" t="s">
        <v>358</v>
      </c>
      <c r="L32" t="s">
        <v>1117</v>
      </c>
      <c r="M32">
        <v>21.05</v>
      </c>
      <c r="N32">
        <v>76</v>
      </c>
      <c r="O32">
        <v>0</v>
      </c>
      <c r="P32">
        <v>0</v>
      </c>
      <c r="Q32">
        <v>0</v>
      </c>
      <c r="R32">
        <v>32</v>
      </c>
      <c r="S32">
        <v>745</v>
      </c>
      <c r="T32">
        <v>13869.89</v>
      </c>
      <c r="U32">
        <v>19.46</v>
      </c>
      <c r="V32">
        <v>0.1</v>
      </c>
      <c r="W32" t="s">
        <v>1487</v>
      </c>
    </row>
    <row r="33" spans="10:23">
      <c r="J33">
        <v>35</v>
      </c>
      <c r="K33" t="s">
        <v>300</v>
      </c>
      <c r="L33" t="s">
        <v>1115</v>
      </c>
      <c r="M33">
        <v>18</v>
      </c>
      <c r="N33">
        <v>20</v>
      </c>
      <c r="O33">
        <v>0</v>
      </c>
      <c r="P33">
        <v>15</v>
      </c>
      <c r="Q33">
        <v>0</v>
      </c>
      <c r="R33">
        <v>36</v>
      </c>
      <c r="S33">
        <v>883</v>
      </c>
      <c r="T33">
        <v>13644</v>
      </c>
      <c r="U33">
        <v>17</v>
      </c>
      <c r="V33">
        <v>0.02</v>
      </c>
      <c r="W33" t="s">
        <v>1487</v>
      </c>
    </row>
    <row r="34" spans="10:23">
      <c r="J34">
        <v>36</v>
      </c>
      <c r="K34" t="s">
        <v>301</v>
      </c>
      <c r="L34" t="s">
        <v>1129</v>
      </c>
      <c r="M34">
        <v>19</v>
      </c>
      <c r="N34">
        <v>112</v>
      </c>
      <c r="O34">
        <v>0</v>
      </c>
      <c r="P34">
        <v>20</v>
      </c>
      <c r="Q34">
        <v>0</v>
      </c>
      <c r="R34">
        <v>31</v>
      </c>
      <c r="S34">
        <v>805</v>
      </c>
      <c r="T34">
        <v>13458.46</v>
      </c>
      <c r="U34">
        <v>17.899999999999999</v>
      </c>
      <c r="V34">
        <v>0.14000000000000001</v>
      </c>
      <c r="W34" t="s">
        <v>1487</v>
      </c>
    </row>
    <row r="35" spans="10:23">
      <c r="J35">
        <v>30</v>
      </c>
      <c r="K35" t="s">
        <v>291</v>
      </c>
      <c r="L35" t="s">
        <v>1129</v>
      </c>
      <c r="M35">
        <v>25.89</v>
      </c>
      <c r="N35">
        <v>10</v>
      </c>
      <c r="O35">
        <v>0</v>
      </c>
      <c r="P35">
        <v>15</v>
      </c>
      <c r="Q35">
        <v>0</v>
      </c>
      <c r="R35">
        <v>32</v>
      </c>
      <c r="S35">
        <v>612</v>
      </c>
      <c r="T35">
        <v>13424.2</v>
      </c>
      <c r="U35">
        <v>24.27</v>
      </c>
      <c r="V35">
        <v>0.02</v>
      </c>
      <c r="W35" t="s">
        <v>1489</v>
      </c>
    </row>
    <row r="36" spans="10:23">
      <c r="J36">
        <v>11</v>
      </c>
      <c r="K36" t="s">
        <v>253</v>
      </c>
      <c r="L36" t="s">
        <v>1121</v>
      </c>
      <c r="M36">
        <v>21</v>
      </c>
      <c r="N36">
        <v>22</v>
      </c>
      <c r="O36">
        <v>30</v>
      </c>
      <c r="P36">
        <v>30</v>
      </c>
      <c r="Q36">
        <v>0</v>
      </c>
      <c r="R36">
        <v>38</v>
      </c>
      <c r="S36">
        <v>706</v>
      </c>
      <c r="T36">
        <v>12901.77</v>
      </c>
      <c r="U36">
        <v>19.600000000000001</v>
      </c>
      <c r="V36">
        <v>0.03</v>
      </c>
      <c r="W36" t="s">
        <v>1489</v>
      </c>
    </row>
    <row r="37" spans="10:23">
      <c r="J37">
        <v>1</v>
      </c>
      <c r="K37" t="s">
        <v>233</v>
      </c>
      <c r="L37" t="s">
        <v>1115</v>
      </c>
      <c r="M37">
        <v>18</v>
      </c>
      <c r="N37">
        <v>39</v>
      </c>
      <c r="O37">
        <v>0</v>
      </c>
      <c r="P37">
        <v>10</v>
      </c>
      <c r="Q37">
        <v>0</v>
      </c>
      <c r="R37">
        <v>38</v>
      </c>
      <c r="S37">
        <v>828</v>
      </c>
      <c r="T37">
        <v>12788.1</v>
      </c>
      <c r="U37">
        <v>17.149999999999999</v>
      </c>
      <c r="V37">
        <v>0.05</v>
      </c>
      <c r="W37" t="s">
        <v>1487</v>
      </c>
    </row>
    <row r="38" spans="10:23">
      <c r="J38">
        <v>8</v>
      </c>
      <c r="K38" t="s">
        <v>247</v>
      </c>
      <c r="L38" t="s">
        <v>1117</v>
      </c>
      <c r="M38">
        <v>40</v>
      </c>
      <c r="N38">
        <v>6</v>
      </c>
      <c r="O38">
        <v>0</v>
      </c>
      <c r="P38">
        <v>0</v>
      </c>
      <c r="Q38">
        <v>0</v>
      </c>
      <c r="R38">
        <v>13</v>
      </c>
      <c r="S38">
        <v>372</v>
      </c>
      <c r="T38">
        <v>12772</v>
      </c>
      <c r="U38">
        <v>38.770000000000003</v>
      </c>
      <c r="V38">
        <v>0.02</v>
      </c>
      <c r="W38" t="s">
        <v>1487</v>
      </c>
    </row>
    <row r="39" spans="10:23">
      <c r="J39">
        <v>39</v>
      </c>
      <c r="K39" t="s">
        <v>307</v>
      </c>
      <c r="L39" t="s">
        <v>1115</v>
      </c>
      <c r="M39">
        <v>18</v>
      </c>
      <c r="N39">
        <v>69</v>
      </c>
      <c r="O39">
        <v>0</v>
      </c>
      <c r="P39">
        <v>5</v>
      </c>
      <c r="Q39">
        <v>0</v>
      </c>
      <c r="R39">
        <v>30</v>
      </c>
      <c r="S39">
        <v>793</v>
      </c>
      <c r="T39">
        <v>12294.54</v>
      </c>
      <c r="U39">
        <v>16.68</v>
      </c>
      <c r="V39">
        <v>0.09</v>
      </c>
      <c r="W39" t="s">
        <v>1487</v>
      </c>
    </row>
    <row r="40" spans="10:23">
      <c r="J40">
        <v>12</v>
      </c>
      <c r="K40" t="s">
        <v>255</v>
      </c>
      <c r="L40" t="s">
        <v>1121</v>
      </c>
      <c r="M40">
        <v>38</v>
      </c>
      <c r="N40">
        <v>86</v>
      </c>
      <c r="O40">
        <v>0</v>
      </c>
      <c r="P40">
        <v>0</v>
      </c>
      <c r="Q40">
        <v>0</v>
      </c>
      <c r="R40">
        <v>14</v>
      </c>
      <c r="S40">
        <v>344</v>
      </c>
      <c r="T40">
        <v>12257.66</v>
      </c>
      <c r="U40">
        <v>36.909999999999997</v>
      </c>
      <c r="V40">
        <v>0.25</v>
      </c>
      <c r="W40" t="s">
        <v>1487</v>
      </c>
    </row>
    <row r="41" spans="10:23">
      <c r="J41">
        <v>70</v>
      </c>
      <c r="K41" t="s">
        <v>367</v>
      </c>
      <c r="L41" t="s">
        <v>1115</v>
      </c>
      <c r="M41">
        <v>15</v>
      </c>
      <c r="N41">
        <v>15</v>
      </c>
      <c r="O41">
        <v>10</v>
      </c>
      <c r="P41">
        <v>30</v>
      </c>
      <c r="Q41">
        <v>0</v>
      </c>
      <c r="R41">
        <v>39</v>
      </c>
      <c r="S41">
        <v>817</v>
      </c>
      <c r="T41">
        <v>10672.65</v>
      </c>
      <c r="U41">
        <v>14.15</v>
      </c>
      <c r="V41">
        <v>0.02</v>
      </c>
      <c r="W41" t="s">
        <v>1489</v>
      </c>
    </row>
    <row r="42" spans="10:23">
      <c r="J42">
        <v>44</v>
      </c>
      <c r="K42" t="s">
        <v>317</v>
      </c>
      <c r="L42" t="s">
        <v>1117</v>
      </c>
      <c r="M42">
        <v>19.45</v>
      </c>
      <c r="N42">
        <v>27</v>
      </c>
      <c r="O42">
        <v>0</v>
      </c>
      <c r="P42">
        <v>15</v>
      </c>
      <c r="Q42">
        <v>0</v>
      </c>
      <c r="R42">
        <v>24</v>
      </c>
      <c r="S42">
        <v>601</v>
      </c>
      <c r="T42">
        <v>9915.94</v>
      </c>
      <c r="U42">
        <v>18.13</v>
      </c>
      <c r="V42">
        <v>0.04</v>
      </c>
      <c r="W42" t="s">
        <v>1487</v>
      </c>
    </row>
    <row r="43" spans="10:23">
      <c r="J43">
        <v>49</v>
      </c>
      <c r="K43" t="s">
        <v>327</v>
      </c>
      <c r="L43" t="s">
        <v>1119</v>
      </c>
      <c r="M43">
        <v>20</v>
      </c>
      <c r="N43">
        <v>10</v>
      </c>
      <c r="O43">
        <v>60</v>
      </c>
      <c r="P43">
        <v>15</v>
      </c>
      <c r="Q43">
        <v>0</v>
      </c>
      <c r="R43">
        <v>21</v>
      </c>
      <c r="S43">
        <v>520</v>
      </c>
      <c r="T43">
        <v>9244.6</v>
      </c>
      <c r="U43">
        <v>18.48</v>
      </c>
      <c r="V43">
        <v>0.02</v>
      </c>
      <c r="W43" t="s">
        <v>1489</v>
      </c>
    </row>
    <row r="44" spans="10:23">
      <c r="J44">
        <v>77</v>
      </c>
      <c r="K44" t="s">
        <v>1213</v>
      </c>
      <c r="L44" t="s">
        <v>1117</v>
      </c>
      <c r="M44">
        <v>13</v>
      </c>
      <c r="N44">
        <v>32</v>
      </c>
      <c r="O44">
        <v>0</v>
      </c>
      <c r="P44">
        <v>15</v>
      </c>
      <c r="Q44">
        <v>0</v>
      </c>
      <c r="R44">
        <v>38</v>
      </c>
      <c r="S44">
        <v>791</v>
      </c>
      <c r="T44">
        <v>9171.6299999999992</v>
      </c>
      <c r="U44">
        <v>12.11</v>
      </c>
      <c r="V44">
        <v>0.04</v>
      </c>
      <c r="W44" t="s">
        <v>1487</v>
      </c>
    </row>
    <row r="45" spans="10:23">
      <c r="J45">
        <v>21</v>
      </c>
      <c r="K45" t="s">
        <v>273</v>
      </c>
      <c r="L45" t="s">
        <v>1119</v>
      </c>
      <c r="M45">
        <v>10</v>
      </c>
      <c r="N45">
        <v>3</v>
      </c>
      <c r="O45">
        <v>40</v>
      </c>
      <c r="P45">
        <v>5</v>
      </c>
      <c r="Q45">
        <v>0</v>
      </c>
      <c r="R45">
        <v>39</v>
      </c>
      <c r="S45">
        <v>1016</v>
      </c>
      <c r="T45">
        <v>9104</v>
      </c>
      <c r="U45">
        <v>9.3800000000000008</v>
      </c>
      <c r="V45">
        <v>0</v>
      </c>
      <c r="W45" t="s">
        <v>1489</v>
      </c>
    </row>
    <row r="46" spans="10:23">
      <c r="J46">
        <v>68</v>
      </c>
      <c r="K46" t="s">
        <v>363</v>
      </c>
      <c r="L46" t="s">
        <v>1119</v>
      </c>
      <c r="M46">
        <v>12.5</v>
      </c>
      <c r="N46">
        <v>6</v>
      </c>
      <c r="O46">
        <v>10</v>
      </c>
      <c r="P46">
        <v>15</v>
      </c>
      <c r="Q46">
        <v>0</v>
      </c>
      <c r="R46">
        <v>34</v>
      </c>
      <c r="S46">
        <v>799</v>
      </c>
      <c r="T46">
        <v>8714</v>
      </c>
      <c r="U46">
        <v>11.54</v>
      </c>
      <c r="V46">
        <v>0.01</v>
      </c>
      <c r="W46" t="s">
        <v>1489</v>
      </c>
    </row>
    <row r="47" spans="10:23">
      <c r="J47">
        <v>41</v>
      </c>
      <c r="K47" t="s">
        <v>311</v>
      </c>
      <c r="L47" t="s">
        <v>1129</v>
      </c>
      <c r="M47">
        <v>9.65</v>
      </c>
      <c r="N47">
        <v>85</v>
      </c>
      <c r="O47">
        <v>0</v>
      </c>
      <c r="P47">
        <v>10</v>
      </c>
      <c r="Q47">
        <v>0</v>
      </c>
      <c r="R47">
        <v>47</v>
      </c>
      <c r="S47">
        <v>981</v>
      </c>
      <c r="T47">
        <v>8680.34</v>
      </c>
      <c r="U47">
        <v>9.19</v>
      </c>
      <c r="V47">
        <v>0.09</v>
      </c>
      <c r="W47" t="s">
        <v>1487</v>
      </c>
    </row>
    <row r="48" spans="10:23">
      <c r="J48">
        <v>42</v>
      </c>
      <c r="K48" t="s">
        <v>313</v>
      </c>
      <c r="L48" t="s">
        <v>1123</v>
      </c>
      <c r="M48">
        <v>14</v>
      </c>
      <c r="N48">
        <v>26</v>
      </c>
      <c r="O48">
        <v>0</v>
      </c>
      <c r="P48">
        <v>0</v>
      </c>
      <c r="Q48">
        <v>1</v>
      </c>
      <c r="R48">
        <v>30</v>
      </c>
      <c r="S48">
        <v>697</v>
      </c>
      <c r="T48">
        <v>8575</v>
      </c>
      <c r="U48">
        <v>13.21</v>
      </c>
      <c r="V48">
        <v>0.04</v>
      </c>
      <c r="W48" t="s">
        <v>1487</v>
      </c>
    </row>
    <row r="49" spans="10:23">
      <c r="J49">
        <v>4</v>
      </c>
      <c r="K49" t="s">
        <v>239</v>
      </c>
      <c r="L49" t="s">
        <v>1117</v>
      </c>
      <c r="M49">
        <v>22</v>
      </c>
      <c r="N49">
        <v>53</v>
      </c>
      <c r="O49">
        <v>0</v>
      </c>
      <c r="P49">
        <v>0</v>
      </c>
      <c r="Q49">
        <v>0</v>
      </c>
      <c r="R49">
        <v>20</v>
      </c>
      <c r="S49">
        <v>453</v>
      </c>
      <c r="T49">
        <v>8567.9</v>
      </c>
      <c r="U49">
        <v>20.68</v>
      </c>
      <c r="V49">
        <v>0.12</v>
      </c>
      <c r="W49" t="s">
        <v>1487</v>
      </c>
    </row>
    <row r="50" spans="10:23">
      <c r="J50">
        <v>32</v>
      </c>
      <c r="K50" t="s">
        <v>295</v>
      </c>
      <c r="L50" t="s">
        <v>1121</v>
      </c>
      <c r="M50">
        <v>32</v>
      </c>
      <c r="N50">
        <v>9</v>
      </c>
      <c r="O50">
        <v>40</v>
      </c>
      <c r="P50">
        <v>25</v>
      </c>
      <c r="Q50">
        <v>0</v>
      </c>
      <c r="R50">
        <v>15</v>
      </c>
      <c r="S50">
        <v>297</v>
      </c>
      <c r="T50">
        <v>8404.16</v>
      </c>
      <c r="U50">
        <v>30.72</v>
      </c>
      <c r="V50">
        <v>0.03</v>
      </c>
      <c r="W50" t="s">
        <v>1489</v>
      </c>
    </row>
    <row r="51" spans="10:23">
      <c r="J51">
        <v>75</v>
      </c>
      <c r="K51" t="s">
        <v>1214</v>
      </c>
      <c r="L51" t="s">
        <v>1115</v>
      </c>
      <c r="M51">
        <v>7.75</v>
      </c>
      <c r="N51">
        <v>125</v>
      </c>
      <c r="O51">
        <v>0</v>
      </c>
      <c r="P51">
        <v>25</v>
      </c>
      <c r="Q51">
        <v>0</v>
      </c>
      <c r="R51">
        <v>46</v>
      </c>
      <c r="S51">
        <v>1155</v>
      </c>
      <c r="T51">
        <v>8177.49</v>
      </c>
      <c r="U51">
        <v>7.38</v>
      </c>
      <c r="V51">
        <v>0.11</v>
      </c>
      <c r="W51" t="s">
        <v>1487</v>
      </c>
    </row>
    <row r="52" spans="10:23">
      <c r="J52">
        <v>14</v>
      </c>
      <c r="K52" t="s">
        <v>259</v>
      </c>
      <c r="L52" t="s">
        <v>1127</v>
      </c>
      <c r="M52">
        <v>23.25</v>
      </c>
      <c r="N52">
        <v>35</v>
      </c>
      <c r="O52">
        <v>0</v>
      </c>
      <c r="P52">
        <v>0</v>
      </c>
      <c r="Q52">
        <v>0</v>
      </c>
      <c r="R52">
        <v>22</v>
      </c>
      <c r="S52">
        <v>404</v>
      </c>
      <c r="T52">
        <v>7991.49</v>
      </c>
      <c r="U52">
        <v>21.35</v>
      </c>
      <c r="V52">
        <v>0.09</v>
      </c>
      <c r="W52" t="s">
        <v>1487</v>
      </c>
    </row>
    <row r="53" spans="10:23">
      <c r="J53">
        <v>57</v>
      </c>
      <c r="K53" t="s">
        <v>343</v>
      </c>
      <c r="L53" t="s">
        <v>1123</v>
      </c>
      <c r="M53">
        <v>19.5</v>
      </c>
      <c r="N53">
        <v>36</v>
      </c>
      <c r="O53">
        <v>0</v>
      </c>
      <c r="P53">
        <v>20</v>
      </c>
      <c r="Q53">
        <v>0</v>
      </c>
      <c r="R53">
        <v>23</v>
      </c>
      <c r="S53">
        <v>434</v>
      </c>
      <c r="T53">
        <v>7661.55</v>
      </c>
      <c r="U53">
        <v>18.14</v>
      </c>
      <c r="V53">
        <v>0.08</v>
      </c>
      <c r="W53" t="s">
        <v>1487</v>
      </c>
    </row>
    <row r="54" spans="10:23">
      <c r="J54">
        <v>9</v>
      </c>
      <c r="K54" t="s">
        <v>249</v>
      </c>
      <c r="L54" t="s">
        <v>1125</v>
      </c>
      <c r="M54">
        <v>97</v>
      </c>
      <c r="N54">
        <v>29</v>
      </c>
      <c r="O54">
        <v>0</v>
      </c>
      <c r="P54">
        <v>0</v>
      </c>
      <c r="Q54">
        <v>1</v>
      </c>
      <c r="R54">
        <v>5</v>
      </c>
      <c r="S54">
        <v>95</v>
      </c>
      <c r="T54">
        <v>7226.5</v>
      </c>
      <c r="U54">
        <v>93.12</v>
      </c>
      <c r="V54">
        <v>0.31</v>
      </c>
      <c r="W54" t="s">
        <v>1487</v>
      </c>
    </row>
    <row r="55" spans="10:23">
      <c r="J55">
        <v>6</v>
      </c>
      <c r="K55" t="s">
        <v>243</v>
      </c>
      <c r="L55" t="s">
        <v>1117</v>
      </c>
      <c r="M55">
        <v>25</v>
      </c>
      <c r="N55">
        <v>120</v>
      </c>
      <c r="O55">
        <v>0</v>
      </c>
      <c r="P55">
        <v>25</v>
      </c>
      <c r="Q55">
        <v>0</v>
      </c>
      <c r="R55">
        <v>12</v>
      </c>
      <c r="S55">
        <v>301</v>
      </c>
      <c r="T55">
        <v>7137</v>
      </c>
      <c r="U55">
        <v>24.17</v>
      </c>
      <c r="V55">
        <v>0.4</v>
      </c>
      <c r="W55" t="s">
        <v>1487</v>
      </c>
    </row>
    <row r="56" spans="10:23">
      <c r="J56">
        <v>22</v>
      </c>
      <c r="K56" t="s">
        <v>1215</v>
      </c>
      <c r="L56" t="s">
        <v>1123</v>
      </c>
      <c r="M56">
        <v>21</v>
      </c>
      <c r="N56">
        <v>104</v>
      </c>
      <c r="O56">
        <v>0</v>
      </c>
      <c r="P56">
        <v>25</v>
      </c>
      <c r="Q56">
        <v>0</v>
      </c>
      <c r="R56">
        <v>14</v>
      </c>
      <c r="S56">
        <v>348</v>
      </c>
      <c r="T56">
        <v>7122.36</v>
      </c>
      <c r="U56">
        <v>20.399999999999999</v>
      </c>
      <c r="V56">
        <v>0.3</v>
      </c>
      <c r="W56" t="s">
        <v>1487</v>
      </c>
    </row>
    <row r="57" spans="10:23">
      <c r="J57">
        <v>34</v>
      </c>
      <c r="K57" t="s">
        <v>299</v>
      </c>
      <c r="L57" t="s">
        <v>1115</v>
      </c>
      <c r="M57">
        <v>14</v>
      </c>
      <c r="N57">
        <v>111</v>
      </c>
      <c r="O57">
        <v>0</v>
      </c>
      <c r="P57">
        <v>15</v>
      </c>
      <c r="Q57">
        <v>0</v>
      </c>
      <c r="R57">
        <v>19</v>
      </c>
      <c r="S57">
        <v>506</v>
      </c>
      <c r="T57">
        <v>6350.4</v>
      </c>
      <c r="U57">
        <v>12.97</v>
      </c>
      <c r="V57">
        <v>0.22</v>
      </c>
      <c r="W57" t="s">
        <v>1487</v>
      </c>
    </row>
    <row r="58" spans="10:23">
      <c r="J58">
        <v>46</v>
      </c>
      <c r="K58" t="s">
        <v>321</v>
      </c>
      <c r="L58" t="s">
        <v>1129</v>
      </c>
      <c r="M58">
        <v>12</v>
      </c>
      <c r="N58">
        <v>95</v>
      </c>
      <c r="O58">
        <v>0</v>
      </c>
      <c r="P58">
        <v>0</v>
      </c>
      <c r="Q58">
        <v>0</v>
      </c>
      <c r="R58">
        <v>27</v>
      </c>
      <c r="S58">
        <v>548</v>
      </c>
      <c r="T58">
        <v>5883</v>
      </c>
      <c r="U58">
        <v>11.11</v>
      </c>
      <c r="V58">
        <v>0.17</v>
      </c>
      <c r="W58" t="s">
        <v>1487</v>
      </c>
    </row>
    <row r="59" spans="10:23">
      <c r="J59">
        <v>58</v>
      </c>
      <c r="K59" t="s">
        <v>344</v>
      </c>
      <c r="L59" t="s">
        <v>1129</v>
      </c>
      <c r="M59">
        <v>13.25</v>
      </c>
      <c r="N59">
        <v>62</v>
      </c>
      <c r="O59">
        <v>0</v>
      </c>
      <c r="P59">
        <v>20</v>
      </c>
      <c r="Q59">
        <v>0</v>
      </c>
      <c r="R59">
        <v>18</v>
      </c>
      <c r="S59">
        <v>534</v>
      </c>
      <c r="T59">
        <v>5881.68</v>
      </c>
      <c r="U59">
        <v>12.66</v>
      </c>
      <c r="V59">
        <v>0.12</v>
      </c>
      <c r="W59" t="s">
        <v>1487</v>
      </c>
    </row>
    <row r="60" spans="10:23">
      <c r="J60">
        <v>19</v>
      </c>
      <c r="K60" t="s">
        <v>269</v>
      </c>
      <c r="L60" t="s">
        <v>1119</v>
      </c>
      <c r="M60">
        <v>9.1999999999999993</v>
      </c>
      <c r="N60">
        <v>25</v>
      </c>
      <c r="O60">
        <v>0</v>
      </c>
      <c r="P60">
        <v>5</v>
      </c>
      <c r="Q60">
        <v>0</v>
      </c>
      <c r="R60">
        <v>37</v>
      </c>
      <c r="S60">
        <v>723</v>
      </c>
      <c r="T60">
        <v>5862.62</v>
      </c>
      <c r="U60">
        <v>8.5299999999999994</v>
      </c>
      <c r="V60">
        <v>0.03</v>
      </c>
      <c r="W60" t="s">
        <v>1487</v>
      </c>
    </row>
    <row r="61" spans="10:23">
      <c r="J61">
        <v>5</v>
      </c>
      <c r="K61" t="s">
        <v>241</v>
      </c>
      <c r="L61" t="s">
        <v>1117</v>
      </c>
      <c r="M61">
        <v>21.35</v>
      </c>
      <c r="N61">
        <v>0</v>
      </c>
      <c r="O61">
        <v>0</v>
      </c>
      <c r="P61">
        <v>0</v>
      </c>
      <c r="Q61">
        <v>1</v>
      </c>
      <c r="R61">
        <v>10</v>
      </c>
      <c r="S61">
        <v>298</v>
      </c>
      <c r="T61">
        <v>5347.2</v>
      </c>
      <c r="U61">
        <v>19.61</v>
      </c>
      <c r="V61">
        <v>0</v>
      </c>
      <c r="W61" t="s">
        <v>1488</v>
      </c>
    </row>
    <row r="62" spans="10:23">
      <c r="J62">
        <v>13</v>
      </c>
      <c r="K62" t="s">
        <v>257</v>
      </c>
      <c r="L62" t="s">
        <v>1129</v>
      </c>
      <c r="M62">
        <v>6</v>
      </c>
      <c r="N62">
        <v>24</v>
      </c>
      <c r="O62">
        <v>0</v>
      </c>
      <c r="P62">
        <v>5</v>
      </c>
      <c r="Q62">
        <v>0</v>
      </c>
      <c r="R62">
        <v>40</v>
      </c>
      <c r="S62">
        <v>891</v>
      </c>
      <c r="T62">
        <v>4960.4399999999996</v>
      </c>
      <c r="U62">
        <v>5.76</v>
      </c>
      <c r="V62">
        <v>0.03</v>
      </c>
      <c r="W62" t="s">
        <v>1487</v>
      </c>
    </row>
    <row r="63" spans="10:23">
      <c r="J63">
        <v>54</v>
      </c>
      <c r="K63" t="s">
        <v>1216</v>
      </c>
      <c r="L63" t="s">
        <v>1125</v>
      </c>
      <c r="M63">
        <v>7.45</v>
      </c>
      <c r="N63">
        <v>21</v>
      </c>
      <c r="O63">
        <v>0</v>
      </c>
      <c r="P63">
        <v>10</v>
      </c>
      <c r="Q63">
        <v>0</v>
      </c>
      <c r="R63">
        <v>36</v>
      </c>
      <c r="S63">
        <v>755</v>
      </c>
      <c r="T63">
        <v>4728.24</v>
      </c>
      <c r="U63">
        <v>6.8</v>
      </c>
      <c r="V63">
        <v>0.03</v>
      </c>
      <c r="W63" t="s">
        <v>1487</v>
      </c>
    </row>
    <row r="64" spans="10:23">
      <c r="J64">
        <v>23</v>
      </c>
      <c r="K64" t="s">
        <v>1217</v>
      </c>
      <c r="L64" t="s">
        <v>1123</v>
      </c>
      <c r="M64">
        <v>9</v>
      </c>
      <c r="N64">
        <v>61</v>
      </c>
      <c r="O64">
        <v>0</v>
      </c>
      <c r="P64">
        <v>25</v>
      </c>
      <c r="Q64">
        <v>0</v>
      </c>
      <c r="R64">
        <v>20</v>
      </c>
      <c r="S64">
        <v>580</v>
      </c>
      <c r="T64">
        <v>4601.7</v>
      </c>
      <c r="U64">
        <v>8.3699999999999992</v>
      </c>
      <c r="V64">
        <v>0.11</v>
      </c>
      <c r="W64" t="s">
        <v>1487</v>
      </c>
    </row>
    <row r="65" spans="10:23">
      <c r="J65">
        <v>24</v>
      </c>
      <c r="K65" t="s">
        <v>1218</v>
      </c>
      <c r="L65" t="s">
        <v>1115</v>
      </c>
      <c r="M65">
        <v>4.5</v>
      </c>
      <c r="N65">
        <v>20</v>
      </c>
      <c r="O65">
        <v>0</v>
      </c>
      <c r="P65">
        <v>0</v>
      </c>
      <c r="Q65">
        <v>1</v>
      </c>
      <c r="R65">
        <v>51</v>
      </c>
      <c r="S65">
        <v>1125</v>
      </c>
      <c r="T65">
        <v>4504.37</v>
      </c>
      <c r="U65">
        <v>4.24</v>
      </c>
      <c r="V65">
        <v>0.02</v>
      </c>
      <c r="W65" t="s">
        <v>1487</v>
      </c>
    </row>
    <row r="66" spans="10:23">
      <c r="J66">
        <v>45</v>
      </c>
      <c r="K66" t="s">
        <v>1219</v>
      </c>
      <c r="L66" t="s">
        <v>1129</v>
      </c>
      <c r="M66">
        <v>9.5</v>
      </c>
      <c r="N66">
        <v>5</v>
      </c>
      <c r="O66">
        <v>70</v>
      </c>
      <c r="P66">
        <v>15</v>
      </c>
      <c r="Q66">
        <v>0</v>
      </c>
      <c r="R66">
        <v>14</v>
      </c>
      <c r="S66">
        <v>508</v>
      </c>
      <c r="T66">
        <v>4338.18</v>
      </c>
      <c r="U66">
        <v>9.23</v>
      </c>
      <c r="V66">
        <v>0.01</v>
      </c>
      <c r="W66" t="s">
        <v>1489</v>
      </c>
    </row>
    <row r="67" spans="10:23">
      <c r="J67">
        <v>73</v>
      </c>
      <c r="K67" t="s">
        <v>1220</v>
      </c>
      <c r="L67" t="s">
        <v>1129</v>
      </c>
      <c r="M67">
        <v>15</v>
      </c>
      <c r="N67">
        <v>101</v>
      </c>
      <c r="O67">
        <v>0</v>
      </c>
      <c r="P67">
        <v>5</v>
      </c>
      <c r="Q67">
        <v>0</v>
      </c>
      <c r="R67">
        <v>14</v>
      </c>
      <c r="S67">
        <v>293</v>
      </c>
      <c r="T67">
        <v>3997.2</v>
      </c>
      <c r="U67">
        <v>14.36</v>
      </c>
      <c r="V67">
        <v>0.34</v>
      </c>
      <c r="W67" t="s">
        <v>1487</v>
      </c>
    </row>
    <row r="68" spans="10:23">
      <c r="J68">
        <v>47</v>
      </c>
      <c r="K68" t="s">
        <v>323</v>
      </c>
      <c r="L68" t="s">
        <v>1119</v>
      </c>
      <c r="M68">
        <v>9.5</v>
      </c>
      <c r="N68">
        <v>36</v>
      </c>
      <c r="O68">
        <v>0</v>
      </c>
      <c r="P68">
        <v>0</v>
      </c>
      <c r="Q68">
        <v>0</v>
      </c>
      <c r="R68">
        <v>21</v>
      </c>
      <c r="S68">
        <v>485</v>
      </c>
      <c r="T68">
        <v>3958.08</v>
      </c>
      <c r="U68">
        <v>9.14</v>
      </c>
      <c r="V68">
        <v>7.0000000000000007E-2</v>
      </c>
      <c r="W68" t="s">
        <v>1487</v>
      </c>
    </row>
    <row r="69" spans="10:23">
      <c r="J69">
        <v>25</v>
      </c>
      <c r="K69" t="s">
        <v>1221</v>
      </c>
      <c r="L69" t="s">
        <v>1119</v>
      </c>
      <c r="M69">
        <v>14</v>
      </c>
      <c r="N69">
        <v>76</v>
      </c>
      <c r="O69">
        <v>0</v>
      </c>
      <c r="P69">
        <v>30</v>
      </c>
      <c r="Q69">
        <v>0</v>
      </c>
      <c r="R69">
        <v>18</v>
      </c>
      <c r="S69">
        <v>318</v>
      </c>
      <c r="T69">
        <v>3704.4</v>
      </c>
      <c r="U69">
        <v>13.07</v>
      </c>
      <c r="V69">
        <v>0.24</v>
      </c>
      <c r="W69" t="s">
        <v>1487</v>
      </c>
    </row>
    <row r="70" spans="10:23">
      <c r="J70">
        <v>50</v>
      </c>
      <c r="K70" t="s">
        <v>329</v>
      </c>
      <c r="L70" t="s">
        <v>1119</v>
      </c>
      <c r="M70">
        <v>16.25</v>
      </c>
      <c r="N70">
        <v>65</v>
      </c>
      <c r="O70">
        <v>0</v>
      </c>
      <c r="P70">
        <v>30</v>
      </c>
      <c r="Q70">
        <v>0</v>
      </c>
      <c r="R70">
        <v>10</v>
      </c>
      <c r="S70">
        <v>235</v>
      </c>
      <c r="T70">
        <v>3437.69</v>
      </c>
      <c r="U70">
        <v>14.95</v>
      </c>
      <c r="V70">
        <v>0.28000000000000003</v>
      </c>
      <c r="W70" t="s">
        <v>1487</v>
      </c>
    </row>
    <row r="71" spans="10:23">
      <c r="J71">
        <v>66</v>
      </c>
      <c r="K71" t="s">
        <v>360</v>
      </c>
      <c r="L71" t="s">
        <v>1117</v>
      </c>
      <c r="M71">
        <v>17</v>
      </c>
      <c r="N71">
        <v>4</v>
      </c>
      <c r="O71">
        <v>100</v>
      </c>
      <c r="P71">
        <v>20</v>
      </c>
      <c r="Q71">
        <v>0</v>
      </c>
      <c r="R71">
        <v>8</v>
      </c>
      <c r="S71">
        <v>239</v>
      </c>
      <c r="T71">
        <v>3383</v>
      </c>
      <c r="U71">
        <v>15.3</v>
      </c>
      <c r="V71">
        <v>0.02</v>
      </c>
      <c r="W71" t="s">
        <v>1489</v>
      </c>
    </row>
    <row r="72" spans="10:23">
      <c r="J72">
        <v>52</v>
      </c>
      <c r="K72" t="s">
        <v>333</v>
      </c>
      <c r="L72" t="s">
        <v>1123</v>
      </c>
      <c r="M72">
        <v>7</v>
      </c>
      <c r="N72">
        <v>38</v>
      </c>
      <c r="O72">
        <v>0</v>
      </c>
      <c r="P72">
        <v>25</v>
      </c>
      <c r="Q72">
        <v>0</v>
      </c>
      <c r="R72">
        <v>29</v>
      </c>
      <c r="S72">
        <v>500</v>
      </c>
      <c r="T72">
        <v>3232.95</v>
      </c>
      <c r="U72">
        <v>6.76</v>
      </c>
      <c r="V72">
        <v>0.08</v>
      </c>
      <c r="W72" t="s">
        <v>1487</v>
      </c>
    </row>
    <row r="73" spans="10:23">
      <c r="J73">
        <v>3</v>
      </c>
      <c r="K73" t="s">
        <v>237</v>
      </c>
      <c r="L73" t="s">
        <v>1117</v>
      </c>
      <c r="M73">
        <v>10</v>
      </c>
      <c r="N73">
        <v>13</v>
      </c>
      <c r="O73">
        <v>70</v>
      </c>
      <c r="P73">
        <v>25</v>
      </c>
      <c r="Q73">
        <v>0</v>
      </c>
      <c r="R73">
        <v>12</v>
      </c>
      <c r="S73">
        <v>328</v>
      </c>
      <c r="T73">
        <v>3044</v>
      </c>
      <c r="U73">
        <v>9.5</v>
      </c>
      <c r="V73">
        <v>0.04</v>
      </c>
      <c r="W73" t="s">
        <v>1489</v>
      </c>
    </row>
    <row r="74" spans="10:23">
      <c r="J74">
        <v>37</v>
      </c>
      <c r="K74" t="s">
        <v>303</v>
      </c>
      <c r="L74" t="s">
        <v>1129</v>
      </c>
      <c r="M74">
        <v>26</v>
      </c>
      <c r="N74">
        <v>11</v>
      </c>
      <c r="O74">
        <v>50</v>
      </c>
      <c r="P74">
        <v>25</v>
      </c>
      <c r="Q74">
        <v>0</v>
      </c>
      <c r="R74">
        <v>6</v>
      </c>
      <c r="S74">
        <v>125</v>
      </c>
      <c r="T74">
        <v>2688.4</v>
      </c>
      <c r="U74">
        <v>23.4</v>
      </c>
      <c r="V74">
        <v>0.09</v>
      </c>
      <c r="W74" t="s">
        <v>1489</v>
      </c>
    </row>
    <row r="75" spans="10:23">
      <c r="J75">
        <v>74</v>
      </c>
      <c r="K75" t="s">
        <v>373</v>
      </c>
      <c r="L75" t="s">
        <v>1127</v>
      </c>
      <c r="M75">
        <v>10</v>
      </c>
      <c r="N75">
        <v>4</v>
      </c>
      <c r="O75">
        <v>20</v>
      </c>
      <c r="P75">
        <v>5</v>
      </c>
      <c r="Q75">
        <v>0</v>
      </c>
      <c r="R75">
        <v>13</v>
      </c>
      <c r="S75">
        <v>297</v>
      </c>
      <c r="T75">
        <v>2432.5</v>
      </c>
      <c r="U75">
        <v>8.77</v>
      </c>
      <c r="V75">
        <v>0.01</v>
      </c>
      <c r="W75" t="s">
        <v>1489</v>
      </c>
    </row>
    <row r="76" spans="10:23">
      <c r="J76">
        <v>67</v>
      </c>
      <c r="K76" t="s">
        <v>362</v>
      </c>
      <c r="L76" t="s">
        <v>1115</v>
      </c>
      <c r="M76">
        <v>14</v>
      </c>
      <c r="N76">
        <v>52</v>
      </c>
      <c r="O76">
        <v>0</v>
      </c>
      <c r="P76">
        <v>10</v>
      </c>
      <c r="Q76">
        <v>0</v>
      </c>
      <c r="R76">
        <v>10</v>
      </c>
      <c r="S76">
        <v>184</v>
      </c>
      <c r="T76">
        <v>2396.8000000000002</v>
      </c>
      <c r="U76">
        <v>13.72</v>
      </c>
      <c r="V76">
        <v>0.28000000000000003</v>
      </c>
      <c r="W76" t="s">
        <v>1487</v>
      </c>
    </row>
    <row r="77" spans="10:23">
      <c r="J77">
        <v>15</v>
      </c>
      <c r="K77" t="s">
        <v>261</v>
      </c>
      <c r="L77" t="s">
        <v>1117</v>
      </c>
      <c r="M77">
        <v>15.5</v>
      </c>
      <c r="N77">
        <v>39</v>
      </c>
      <c r="O77">
        <v>0</v>
      </c>
      <c r="P77">
        <v>5</v>
      </c>
      <c r="Q77">
        <v>0</v>
      </c>
      <c r="R77">
        <v>6</v>
      </c>
      <c r="S77">
        <v>122</v>
      </c>
      <c r="T77">
        <v>1784.82</v>
      </c>
      <c r="U77">
        <v>14.47</v>
      </c>
      <c r="V77">
        <v>0.32</v>
      </c>
      <c r="W77" t="s">
        <v>1487</v>
      </c>
    </row>
    <row r="78" spans="10:23">
      <c r="J78">
        <v>33</v>
      </c>
      <c r="K78" t="s">
        <v>297</v>
      </c>
      <c r="L78" t="s">
        <v>1121</v>
      </c>
      <c r="M78">
        <v>2.5</v>
      </c>
      <c r="N78">
        <v>112</v>
      </c>
      <c r="O78">
        <v>0</v>
      </c>
      <c r="P78">
        <v>20</v>
      </c>
      <c r="Q78">
        <v>0</v>
      </c>
      <c r="R78">
        <v>32</v>
      </c>
      <c r="S78">
        <v>755</v>
      </c>
      <c r="T78">
        <v>1648.12</v>
      </c>
      <c r="U78">
        <v>2.33</v>
      </c>
      <c r="V78">
        <v>0.15</v>
      </c>
      <c r="W78" t="s">
        <v>1487</v>
      </c>
    </row>
    <row r="79" spans="10:23">
      <c r="J79">
        <v>48</v>
      </c>
      <c r="K79" t="s">
        <v>325</v>
      </c>
      <c r="L79" t="s">
        <v>1119</v>
      </c>
      <c r="M79">
        <v>12.75</v>
      </c>
      <c r="N79">
        <v>15</v>
      </c>
      <c r="O79">
        <v>70</v>
      </c>
      <c r="P79">
        <v>25</v>
      </c>
      <c r="Q79">
        <v>0</v>
      </c>
      <c r="R79">
        <v>6</v>
      </c>
      <c r="S79">
        <v>138</v>
      </c>
      <c r="T79">
        <v>1368.71</v>
      </c>
      <c r="U79">
        <v>11.9</v>
      </c>
      <c r="V79">
        <v>0.11</v>
      </c>
      <c r="W79" t="s">
        <v>1489</v>
      </c>
    </row>
  </sheetData>
  <mergeCells count="2">
    <mergeCell ref="A2:H31"/>
    <mergeCell ref="A1:H1"/>
  </mergeCells>
  <pageMargins left="0.7" right="0.7" top="0.75" bottom="0.75" header="0.3" footer="0.3"/>
  <tableParts count="1">
    <tablePart r:id="rId1"/>
  </tableParts>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2369F-C43D-4134-B083-50AB24E73811}">
  <dimension ref="A1:I177"/>
  <sheetViews>
    <sheetView topLeftCell="A141" workbookViewId="0">
      <selection activeCell="J145" sqref="J145"/>
    </sheetView>
  </sheetViews>
  <sheetFormatPr baseColWidth="10" defaultColWidth="8.83203125" defaultRowHeight="13"/>
  <cols>
    <col min="1" max="1" width="13.1640625" bestFit="1" customWidth="1"/>
    <col min="2" max="2" width="14.83203125" bestFit="1" customWidth="1"/>
    <col min="3" max="3" width="15.1640625" bestFit="1" customWidth="1"/>
    <col min="4" max="4" width="9.83203125" bestFit="1" customWidth="1"/>
    <col min="5" max="5" width="11" bestFit="1" customWidth="1"/>
    <col min="6" max="6" width="16.83203125" bestFit="1" customWidth="1"/>
    <col min="7" max="7" width="16.33203125" bestFit="1" customWidth="1"/>
    <col min="8" max="8" width="12.33203125" bestFit="1" customWidth="1"/>
    <col min="9" max="9" width="19.1640625" bestFit="1" customWidth="1"/>
  </cols>
  <sheetData>
    <row r="1" spans="1:9">
      <c r="A1" t="s">
        <v>1492</v>
      </c>
      <c r="B1" t="s">
        <v>1493</v>
      </c>
      <c r="C1" t="s">
        <v>1494</v>
      </c>
      <c r="D1" t="s">
        <v>1495</v>
      </c>
      <c r="E1" t="s">
        <v>1496</v>
      </c>
      <c r="F1" t="s">
        <v>1113</v>
      </c>
      <c r="G1" t="s">
        <v>1497</v>
      </c>
      <c r="H1" t="s">
        <v>1198</v>
      </c>
      <c r="I1" t="s">
        <v>1498</v>
      </c>
    </row>
    <row r="2" spans="1:9">
      <c r="A2">
        <v>1994</v>
      </c>
      <c r="B2">
        <v>8</v>
      </c>
      <c r="C2" t="s">
        <v>1499</v>
      </c>
      <c r="D2">
        <v>3</v>
      </c>
      <c r="E2" t="s">
        <v>1500</v>
      </c>
      <c r="F2" t="s">
        <v>1115</v>
      </c>
      <c r="G2">
        <v>11</v>
      </c>
      <c r="H2">
        <v>272</v>
      </c>
      <c r="I2">
        <v>3182.5</v>
      </c>
    </row>
    <row r="3" spans="1:9">
      <c r="A3">
        <v>1994</v>
      </c>
      <c r="B3">
        <v>8</v>
      </c>
      <c r="C3" t="s">
        <v>1499</v>
      </c>
      <c r="D3">
        <v>3</v>
      </c>
      <c r="E3" t="s">
        <v>1500</v>
      </c>
      <c r="F3" t="s">
        <v>1117</v>
      </c>
      <c r="G3">
        <v>6</v>
      </c>
      <c r="H3">
        <v>139</v>
      </c>
      <c r="I3">
        <v>1878.2</v>
      </c>
    </row>
    <row r="4" spans="1:9">
      <c r="A4">
        <v>1994</v>
      </c>
      <c r="B4">
        <v>8</v>
      </c>
      <c r="C4" t="s">
        <v>1499</v>
      </c>
      <c r="D4">
        <v>3</v>
      </c>
      <c r="E4" t="s">
        <v>1500</v>
      </c>
      <c r="F4" t="s">
        <v>1119</v>
      </c>
      <c r="G4">
        <v>8</v>
      </c>
      <c r="H4">
        <v>245</v>
      </c>
      <c r="I4">
        <v>5775.15</v>
      </c>
    </row>
    <row r="5" spans="1:9">
      <c r="A5">
        <v>1994</v>
      </c>
      <c r="B5">
        <v>8</v>
      </c>
      <c r="C5" t="s">
        <v>1499</v>
      </c>
      <c r="D5">
        <v>3</v>
      </c>
      <c r="E5" t="s">
        <v>1500</v>
      </c>
      <c r="F5" t="s">
        <v>1121</v>
      </c>
      <c r="G5">
        <v>9</v>
      </c>
      <c r="H5">
        <v>304</v>
      </c>
      <c r="I5">
        <v>6838.34</v>
      </c>
    </row>
    <row r="6" spans="1:9">
      <c r="A6">
        <v>1994</v>
      </c>
      <c r="B6">
        <v>8</v>
      </c>
      <c r="C6" t="s">
        <v>1499</v>
      </c>
      <c r="D6">
        <v>3</v>
      </c>
      <c r="E6" t="s">
        <v>1500</v>
      </c>
      <c r="F6" t="s">
        <v>1123</v>
      </c>
      <c r="G6">
        <v>4</v>
      </c>
      <c r="H6">
        <v>83</v>
      </c>
      <c r="I6">
        <v>1256.8599999999999</v>
      </c>
    </row>
    <row r="7" spans="1:9">
      <c r="A7">
        <v>1994</v>
      </c>
      <c r="B7">
        <v>8</v>
      </c>
      <c r="C7" t="s">
        <v>1499</v>
      </c>
      <c r="D7">
        <v>3</v>
      </c>
      <c r="E7" t="s">
        <v>1500</v>
      </c>
      <c r="F7" t="s">
        <v>1125</v>
      </c>
      <c r="G7">
        <v>4</v>
      </c>
      <c r="H7">
        <v>76</v>
      </c>
      <c r="I7">
        <v>2661.72</v>
      </c>
    </row>
    <row r="8" spans="1:9">
      <c r="A8">
        <v>1994</v>
      </c>
      <c r="B8">
        <v>8</v>
      </c>
      <c r="C8" t="s">
        <v>1499</v>
      </c>
      <c r="D8">
        <v>3</v>
      </c>
      <c r="E8" t="s">
        <v>1500</v>
      </c>
      <c r="F8" t="s">
        <v>1127</v>
      </c>
      <c r="G8">
        <v>5</v>
      </c>
      <c r="H8">
        <v>156</v>
      </c>
      <c r="I8">
        <v>3868.8</v>
      </c>
    </row>
    <row r="9" spans="1:9">
      <c r="A9">
        <v>1994</v>
      </c>
      <c r="B9">
        <v>8</v>
      </c>
      <c r="C9" t="s">
        <v>1499</v>
      </c>
      <c r="D9">
        <v>3</v>
      </c>
      <c r="E9" t="s">
        <v>1500</v>
      </c>
      <c r="F9" t="s">
        <v>1129</v>
      </c>
      <c r="G9">
        <v>7</v>
      </c>
      <c r="H9">
        <v>187</v>
      </c>
      <c r="I9">
        <v>2400.3200000000002</v>
      </c>
    </row>
    <row r="10" spans="1:9">
      <c r="A10">
        <v>1994</v>
      </c>
      <c r="B10">
        <v>9</v>
      </c>
      <c r="C10" t="s">
        <v>1501</v>
      </c>
      <c r="D10">
        <v>3</v>
      </c>
      <c r="E10" t="s">
        <v>1500</v>
      </c>
      <c r="F10" t="s">
        <v>1115</v>
      </c>
      <c r="G10">
        <v>11</v>
      </c>
      <c r="H10">
        <v>347</v>
      </c>
      <c r="I10">
        <v>4866.88</v>
      </c>
    </row>
    <row r="11" spans="1:9">
      <c r="A11">
        <v>1994</v>
      </c>
      <c r="B11">
        <v>9</v>
      </c>
      <c r="C11" t="s">
        <v>1501</v>
      </c>
      <c r="D11">
        <v>3</v>
      </c>
      <c r="E11" t="s">
        <v>1500</v>
      </c>
      <c r="F11" t="s">
        <v>1117</v>
      </c>
      <c r="G11">
        <v>7</v>
      </c>
      <c r="H11">
        <v>154</v>
      </c>
      <c r="I11">
        <v>2296.6</v>
      </c>
    </row>
    <row r="12" spans="1:9">
      <c r="A12">
        <v>1994</v>
      </c>
      <c r="B12">
        <v>9</v>
      </c>
      <c r="C12" t="s">
        <v>1501</v>
      </c>
      <c r="D12">
        <v>3</v>
      </c>
      <c r="E12" t="s">
        <v>1500</v>
      </c>
      <c r="F12" t="s">
        <v>1119</v>
      </c>
      <c r="G12">
        <v>10</v>
      </c>
      <c r="H12">
        <v>170</v>
      </c>
      <c r="I12">
        <v>5006.7700000000004</v>
      </c>
    </row>
    <row r="13" spans="1:9">
      <c r="A13">
        <v>1994</v>
      </c>
      <c r="B13">
        <v>9</v>
      </c>
      <c r="C13" t="s">
        <v>1501</v>
      </c>
      <c r="D13">
        <v>3</v>
      </c>
      <c r="E13" t="s">
        <v>1500</v>
      </c>
      <c r="F13" t="s">
        <v>1121</v>
      </c>
      <c r="G13">
        <v>9</v>
      </c>
      <c r="H13">
        <v>250</v>
      </c>
      <c r="I13">
        <v>4761.7</v>
      </c>
    </row>
    <row r="14" spans="1:9">
      <c r="A14">
        <v>1994</v>
      </c>
      <c r="B14">
        <v>9</v>
      </c>
      <c r="C14" t="s">
        <v>1501</v>
      </c>
      <c r="D14">
        <v>3</v>
      </c>
      <c r="E14" t="s">
        <v>1500</v>
      </c>
      <c r="F14" t="s">
        <v>1123</v>
      </c>
      <c r="G14">
        <v>2</v>
      </c>
      <c r="H14">
        <v>11</v>
      </c>
      <c r="I14">
        <v>270.60000000000002</v>
      </c>
    </row>
    <row r="15" spans="1:9">
      <c r="A15">
        <v>1994</v>
      </c>
      <c r="B15">
        <v>9</v>
      </c>
      <c r="C15" t="s">
        <v>1501</v>
      </c>
      <c r="D15">
        <v>3</v>
      </c>
      <c r="E15" t="s">
        <v>1500</v>
      </c>
      <c r="F15" t="s">
        <v>1125</v>
      </c>
      <c r="G15">
        <v>6</v>
      </c>
      <c r="H15">
        <v>111</v>
      </c>
      <c r="I15">
        <v>3495.66</v>
      </c>
    </row>
    <row r="16" spans="1:9">
      <c r="A16">
        <v>1994</v>
      </c>
      <c r="B16">
        <v>9</v>
      </c>
      <c r="C16" t="s">
        <v>1501</v>
      </c>
      <c r="D16">
        <v>3</v>
      </c>
      <c r="E16" t="s">
        <v>1500</v>
      </c>
      <c r="F16" t="s">
        <v>1127</v>
      </c>
      <c r="G16">
        <v>2</v>
      </c>
      <c r="H16">
        <v>22</v>
      </c>
      <c r="I16">
        <v>804.32</v>
      </c>
    </row>
    <row r="17" spans="1:9">
      <c r="A17">
        <v>1994</v>
      </c>
      <c r="B17">
        <v>9</v>
      </c>
      <c r="C17" t="s">
        <v>1501</v>
      </c>
      <c r="D17">
        <v>3</v>
      </c>
      <c r="E17" t="s">
        <v>1500</v>
      </c>
      <c r="F17" t="s">
        <v>1129</v>
      </c>
      <c r="G17">
        <v>9</v>
      </c>
      <c r="H17">
        <v>257</v>
      </c>
      <c r="I17">
        <v>3982.74</v>
      </c>
    </row>
    <row r="18" spans="1:9">
      <c r="A18">
        <v>1994</v>
      </c>
      <c r="B18">
        <v>10</v>
      </c>
      <c r="C18" t="s">
        <v>1502</v>
      </c>
      <c r="D18">
        <v>4</v>
      </c>
      <c r="E18" t="s">
        <v>1503</v>
      </c>
      <c r="F18" t="s">
        <v>1115</v>
      </c>
      <c r="G18">
        <v>10</v>
      </c>
      <c r="H18">
        <v>285</v>
      </c>
      <c r="I18">
        <v>5088.3999999999996</v>
      </c>
    </row>
    <row r="19" spans="1:9">
      <c r="A19">
        <v>1994</v>
      </c>
      <c r="B19">
        <v>10</v>
      </c>
      <c r="C19" t="s">
        <v>1502</v>
      </c>
      <c r="D19">
        <v>4</v>
      </c>
      <c r="E19" t="s">
        <v>1503</v>
      </c>
      <c r="F19" t="s">
        <v>1117</v>
      </c>
      <c r="G19">
        <v>3</v>
      </c>
      <c r="H19">
        <v>110</v>
      </c>
      <c r="I19">
        <v>1813.6</v>
      </c>
    </row>
    <row r="20" spans="1:9">
      <c r="A20">
        <v>1994</v>
      </c>
      <c r="B20">
        <v>10</v>
      </c>
      <c r="C20" t="s">
        <v>1502</v>
      </c>
      <c r="D20">
        <v>4</v>
      </c>
      <c r="E20" t="s">
        <v>1503</v>
      </c>
      <c r="F20" t="s">
        <v>1119</v>
      </c>
      <c r="G20">
        <v>10</v>
      </c>
      <c r="H20">
        <v>248</v>
      </c>
      <c r="I20">
        <v>6337</v>
      </c>
    </row>
    <row r="21" spans="1:9">
      <c r="A21">
        <v>1994</v>
      </c>
      <c r="B21">
        <v>10</v>
      </c>
      <c r="C21" t="s">
        <v>1502</v>
      </c>
      <c r="D21">
        <v>4</v>
      </c>
      <c r="E21" t="s">
        <v>1503</v>
      </c>
      <c r="F21" t="s">
        <v>1121</v>
      </c>
      <c r="G21">
        <v>8</v>
      </c>
      <c r="H21">
        <v>140</v>
      </c>
      <c r="I21">
        <v>3857.6</v>
      </c>
    </row>
    <row r="22" spans="1:9">
      <c r="A22">
        <v>1994</v>
      </c>
      <c r="B22">
        <v>10</v>
      </c>
      <c r="C22" t="s">
        <v>1502</v>
      </c>
      <c r="D22">
        <v>4</v>
      </c>
      <c r="E22" t="s">
        <v>1503</v>
      </c>
      <c r="F22" t="s">
        <v>1123</v>
      </c>
      <c r="G22">
        <v>4</v>
      </c>
      <c r="H22">
        <v>32</v>
      </c>
      <c r="I22">
        <v>819.2</v>
      </c>
    </row>
    <row r="23" spans="1:9">
      <c r="A23">
        <v>1994</v>
      </c>
      <c r="B23">
        <v>10</v>
      </c>
      <c r="C23" t="s">
        <v>1502</v>
      </c>
      <c r="D23">
        <v>4</v>
      </c>
      <c r="E23" t="s">
        <v>1503</v>
      </c>
      <c r="F23" t="s">
        <v>1125</v>
      </c>
      <c r="G23">
        <v>4</v>
      </c>
      <c r="H23">
        <v>100</v>
      </c>
      <c r="I23">
        <v>4291</v>
      </c>
    </row>
    <row r="24" spans="1:9">
      <c r="A24">
        <v>1994</v>
      </c>
      <c r="B24">
        <v>10</v>
      </c>
      <c r="C24" t="s">
        <v>1502</v>
      </c>
      <c r="D24">
        <v>4</v>
      </c>
      <c r="E24" t="s">
        <v>1503</v>
      </c>
      <c r="F24" t="s">
        <v>1127</v>
      </c>
      <c r="G24">
        <v>2</v>
      </c>
      <c r="H24">
        <v>32</v>
      </c>
      <c r="I24">
        <v>1164.8</v>
      </c>
    </row>
    <row r="25" spans="1:9">
      <c r="A25">
        <v>1994</v>
      </c>
      <c r="B25">
        <v>10</v>
      </c>
      <c r="C25" t="s">
        <v>1502</v>
      </c>
      <c r="D25">
        <v>4</v>
      </c>
      <c r="E25" t="s">
        <v>1503</v>
      </c>
      <c r="F25" t="s">
        <v>1129</v>
      </c>
      <c r="G25">
        <v>8</v>
      </c>
      <c r="H25">
        <v>177</v>
      </c>
      <c r="I25">
        <v>3009.8</v>
      </c>
    </row>
    <row r="26" spans="1:9">
      <c r="A26">
        <v>1994</v>
      </c>
      <c r="B26">
        <v>11</v>
      </c>
      <c r="C26" t="s">
        <v>1504</v>
      </c>
      <c r="D26">
        <v>4</v>
      </c>
      <c r="E26" t="s">
        <v>1503</v>
      </c>
      <c r="F26" t="s">
        <v>1115</v>
      </c>
      <c r="G26">
        <v>11</v>
      </c>
      <c r="H26">
        <v>286</v>
      </c>
      <c r="I26">
        <v>7971.36</v>
      </c>
    </row>
    <row r="27" spans="1:9">
      <c r="A27">
        <v>1994</v>
      </c>
      <c r="B27">
        <v>11</v>
      </c>
      <c r="C27" t="s">
        <v>1504</v>
      </c>
      <c r="D27">
        <v>4</v>
      </c>
      <c r="E27" t="s">
        <v>1503</v>
      </c>
      <c r="F27" t="s">
        <v>1117</v>
      </c>
      <c r="G27">
        <v>7</v>
      </c>
      <c r="H27">
        <v>183</v>
      </c>
      <c r="I27">
        <v>4124.32</v>
      </c>
    </row>
    <row r="28" spans="1:9">
      <c r="A28">
        <v>1994</v>
      </c>
      <c r="B28">
        <v>11</v>
      </c>
      <c r="C28" t="s">
        <v>1504</v>
      </c>
      <c r="D28">
        <v>4</v>
      </c>
      <c r="E28" t="s">
        <v>1503</v>
      </c>
      <c r="F28" t="s">
        <v>1119</v>
      </c>
      <c r="G28">
        <v>10</v>
      </c>
      <c r="H28">
        <v>183</v>
      </c>
      <c r="I28">
        <v>3490.59</v>
      </c>
    </row>
    <row r="29" spans="1:9">
      <c r="A29">
        <v>1994</v>
      </c>
      <c r="B29">
        <v>11</v>
      </c>
      <c r="C29" t="s">
        <v>1504</v>
      </c>
      <c r="D29">
        <v>4</v>
      </c>
      <c r="E29" t="s">
        <v>1503</v>
      </c>
      <c r="F29" t="s">
        <v>1121</v>
      </c>
      <c r="G29">
        <v>11</v>
      </c>
      <c r="H29">
        <v>367</v>
      </c>
      <c r="I29">
        <v>7260.43</v>
      </c>
    </row>
    <row r="30" spans="1:9">
      <c r="A30">
        <v>1994</v>
      </c>
      <c r="B30">
        <v>11</v>
      </c>
      <c r="C30" t="s">
        <v>1504</v>
      </c>
      <c r="D30">
        <v>4</v>
      </c>
      <c r="E30" t="s">
        <v>1503</v>
      </c>
      <c r="F30" t="s">
        <v>1123</v>
      </c>
      <c r="G30">
        <v>6</v>
      </c>
      <c r="H30">
        <v>106</v>
      </c>
      <c r="I30">
        <v>1130.56</v>
      </c>
    </row>
    <row r="31" spans="1:9">
      <c r="A31">
        <v>1994</v>
      </c>
      <c r="B31">
        <v>11</v>
      </c>
      <c r="C31" t="s">
        <v>1504</v>
      </c>
      <c r="D31">
        <v>4</v>
      </c>
      <c r="E31" t="s">
        <v>1503</v>
      </c>
      <c r="F31" t="s">
        <v>1125</v>
      </c>
      <c r="G31">
        <v>5</v>
      </c>
      <c r="H31">
        <v>153</v>
      </c>
      <c r="I31">
        <v>3651.3</v>
      </c>
    </row>
    <row r="32" spans="1:9">
      <c r="A32">
        <v>1994</v>
      </c>
      <c r="B32">
        <v>11</v>
      </c>
      <c r="C32" t="s">
        <v>1504</v>
      </c>
      <c r="D32">
        <v>4</v>
      </c>
      <c r="E32" t="s">
        <v>1503</v>
      </c>
      <c r="F32" t="s">
        <v>1127</v>
      </c>
      <c r="G32">
        <v>4</v>
      </c>
      <c r="H32">
        <v>81</v>
      </c>
      <c r="I32">
        <v>2491.16</v>
      </c>
    </row>
    <row r="33" spans="1:9">
      <c r="A33">
        <v>1994</v>
      </c>
      <c r="B33">
        <v>11</v>
      </c>
      <c r="C33" t="s">
        <v>1504</v>
      </c>
      <c r="D33">
        <v>4</v>
      </c>
      <c r="E33" t="s">
        <v>1503</v>
      </c>
      <c r="F33" t="s">
        <v>1129</v>
      </c>
      <c r="G33">
        <v>10</v>
      </c>
      <c r="H33">
        <v>310</v>
      </c>
      <c r="I33">
        <v>5812</v>
      </c>
    </row>
    <row r="34" spans="1:9">
      <c r="A34">
        <v>1994</v>
      </c>
      <c r="B34">
        <v>12</v>
      </c>
      <c r="C34" t="s">
        <v>1505</v>
      </c>
      <c r="D34">
        <v>4</v>
      </c>
      <c r="E34" t="s">
        <v>1503</v>
      </c>
      <c r="F34" t="s">
        <v>1115</v>
      </c>
      <c r="G34">
        <v>13</v>
      </c>
      <c r="H34">
        <v>347</v>
      </c>
      <c r="I34">
        <v>17378.060000000001</v>
      </c>
    </row>
    <row r="35" spans="1:9">
      <c r="A35">
        <v>1994</v>
      </c>
      <c r="B35">
        <v>12</v>
      </c>
      <c r="C35" t="s">
        <v>1505</v>
      </c>
      <c r="D35">
        <v>4</v>
      </c>
      <c r="E35" t="s">
        <v>1503</v>
      </c>
      <c r="F35" t="s">
        <v>1117</v>
      </c>
      <c r="G35">
        <v>5</v>
      </c>
      <c r="H35">
        <v>294</v>
      </c>
      <c r="I35">
        <v>6290.22</v>
      </c>
    </row>
    <row r="36" spans="1:9">
      <c r="A36">
        <v>1994</v>
      </c>
      <c r="B36">
        <v>12</v>
      </c>
      <c r="C36" t="s">
        <v>1505</v>
      </c>
      <c r="D36">
        <v>4</v>
      </c>
      <c r="E36" t="s">
        <v>1503</v>
      </c>
      <c r="F36" t="s">
        <v>1119</v>
      </c>
      <c r="G36">
        <v>9</v>
      </c>
      <c r="H36">
        <v>271</v>
      </c>
      <c r="I36">
        <v>3203.38</v>
      </c>
    </row>
    <row r="37" spans="1:9">
      <c r="A37">
        <v>1994</v>
      </c>
      <c r="B37">
        <v>12</v>
      </c>
      <c r="C37" t="s">
        <v>1505</v>
      </c>
      <c r="D37">
        <v>4</v>
      </c>
      <c r="E37" t="s">
        <v>1503</v>
      </c>
      <c r="F37" t="s">
        <v>1121</v>
      </c>
      <c r="G37">
        <v>9</v>
      </c>
      <c r="H37">
        <v>372</v>
      </c>
      <c r="I37">
        <v>7309.72</v>
      </c>
    </row>
    <row r="38" spans="1:9">
      <c r="A38">
        <v>1994</v>
      </c>
      <c r="B38">
        <v>12</v>
      </c>
      <c r="C38" t="s">
        <v>1505</v>
      </c>
      <c r="D38">
        <v>4</v>
      </c>
      <c r="E38" t="s">
        <v>1503</v>
      </c>
      <c r="F38" t="s">
        <v>1123</v>
      </c>
      <c r="G38">
        <v>6</v>
      </c>
      <c r="H38">
        <v>189</v>
      </c>
      <c r="I38">
        <v>3836.7</v>
      </c>
    </row>
    <row r="39" spans="1:9">
      <c r="A39">
        <v>1994</v>
      </c>
      <c r="B39">
        <v>12</v>
      </c>
      <c r="C39" t="s">
        <v>1505</v>
      </c>
      <c r="D39">
        <v>4</v>
      </c>
      <c r="E39" t="s">
        <v>1503</v>
      </c>
      <c r="F39" t="s">
        <v>1125</v>
      </c>
      <c r="G39">
        <v>8</v>
      </c>
      <c r="H39">
        <v>201</v>
      </c>
      <c r="I39">
        <v>5757.18</v>
      </c>
    </row>
    <row r="40" spans="1:9">
      <c r="A40">
        <v>1994</v>
      </c>
      <c r="B40">
        <v>12</v>
      </c>
      <c r="C40" t="s">
        <v>1505</v>
      </c>
      <c r="D40">
        <v>4</v>
      </c>
      <c r="E40" t="s">
        <v>1503</v>
      </c>
      <c r="F40" t="s">
        <v>1127</v>
      </c>
      <c r="G40">
        <v>3</v>
      </c>
      <c r="H40">
        <v>63</v>
      </c>
      <c r="I40">
        <v>2365.88</v>
      </c>
    </row>
    <row r="41" spans="1:9">
      <c r="A41">
        <v>1994</v>
      </c>
      <c r="B41">
        <v>12</v>
      </c>
      <c r="C41" t="s">
        <v>1505</v>
      </c>
      <c r="D41">
        <v>4</v>
      </c>
      <c r="E41" t="s">
        <v>1503</v>
      </c>
      <c r="F41" t="s">
        <v>1129</v>
      </c>
      <c r="G41">
        <v>4</v>
      </c>
      <c r="H41">
        <v>67</v>
      </c>
      <c r="I41">
        <v>1042.9000000000001</v>
      </c>
    </row>
    <row r="42" spans="1:9">
      <c r="A42">
        <v>1995</v>
      </c>
      <c r="B42">
        <v>1</v>
      </c>
      <c r="C42" t="s">
        <v>1506</v>
      </c>
      <c r="D42">
        <v>1</v>
      </c>
      <c r="E42" t="s">
        <v>1507</v>
      </c>
      <c r="F42" t="s">
        <v>1115</v>
      </c>
      <c r="G42">
        <v>11</v>
      </c>
      <c r="H42">
        <v>305</v>
      </c>
      <c r="I42">
        <v>9431.7999999999993</v>
      </c>
    </row>
    <row r="43" spans="1:9">
      <c r="A43">
        <v>1995</v>
      </c>
      <c r="B43">
        <v>1</v>
      </c>
      <c r="C43" t="s">
        <v>1506</v>
      </c>
      <c r="D43">
        <v>1</v>
      </c>
      <c r="E43" t="s">
        <v>1507</v>
      </c>
      <c r="F43" t="s">
        <v>1117</v>
      </c>
      <c r="G43">
        <v>3</v>
      </c>
      <c r="H43">
        <v>82</v>
      </c>
      <c r="I43">
        <v>1497.44</v>
      </c>
    </row>
    <row r="44" spans="1:9">
      <c r="A44">
        <v>1995</v>
      </c>
      <c r="B44">
        <v>1</v>
      </c>
      <c r="C44" t="s">
        <v>1506</v>
      </c>
      <c r="D44">
        <v>1</v>
      </c>
      <c r="E44" t="s">
        <v>1507</v>
      </c>
      <c r="F44" t="s">
        <v>1119</v>
      </c>
      <c r="G44">
        <v>9</v>
      </c>
      <c r="H44">
        <v>240</v>
      </c>
      <c r="I44">
        <v>5872.65</v>
      </c>
    </row>
    <row r="45" spans="1:9">
      <c r="A45">
        <v>1995</v>
      </c>
      <c r="B45">
        <v>1</v>
      </c>
      <c r="C45" t="s">
        <v>1506</v>
      </c>
      <c r="D45">
        <v>1</v>
      </c>
      <c r="E45" t="s">
        <v>1507</v>
      </c>
      <c r="F45" t="s">
        <v>1121</v>
      </c>
      <c r="G45">
        <v>16</v>
      </c>
      <c r="H45">
        <v>653</v>
      </c>
      <c r="I45">
        <v>10952.66</v>
      </c>
    </row>
    <row r="46" spans="1:9">
      <c r="A46">
        <v>1995</v>
      </c>
      <c r="B46">
        <v>1</v>
      </c>
      <c r="C46" t="s">
        <v>1506</v>
      </c>
      <c r="D46">
        <v>1</v>
      </c>
      <c r="E46" t="s">
        <v>1507</v>
      </c>
      <c r="F46" t="s">
        <v>1123</v>
      </c>
      <c r="G46">
        <v>5</v>
      </c>
      <c r="H46">
        <v>128</v>
      </c>
      <c r="I46">
        <v>2194</v>
      </c>
    </row>
    <row r="47" spans="1:9">
      <c r="A47">
        <v>1995</v>
      </c>
      <c r="B47">
        <v>1</v>
      </c>
      <c r="C47" t="s">
        <v>1506</v>
      </c>
      <c r="D47">
        <v>1</v>
      </c>
      <c r="E47" t="s">
        <v>1507</v>
      </c>
      <c r="F47" t="s">
        <v>1125</v>
      </c>
      <c r="G47">
        <v>8</v>
      </c>
      <c r="H47">
        <v>309</v>
      </c>
      <c r="I47">
        <v>8956.7999999999993</v>
      </c>
    </row>
    <row r="48" spans="1:9">
      <c r="A48">
        <v>1995</v>
      </c>
      <c r="B48">
        <v>1</v>
      </c>
      <c r="C48" t="s">
        <v>1506</v>
      </c>
      <c r="D48">
        <v>1</v>
      </c>
      <c r="E48" t="s">
        <v>1507</v>
      </c>
      <c r="F48" t="s">
        <v>1127</v>
      </c>
      <c r="G48">
        <v>9</v>
      </c>
      <c r="H48">
        <v>195</v>
      </c>
      <c r="I48">
        <v>3190.82</v>
      </c>
    </row>
    <row r="49" spans="1:9">
      <c r="A49">
        <v>1995</v>
      </c>
      <c r="B49">
        <v>1</v>
      </c>
      <c r="C49" t="s">
        <v>1506</v>
      </c>
      <c r="D49">
        <v>1</v>
      </c>
      <c r="E49" t="s">
        <v>1507</v>
      </c>
      <c r="F49" t="s">
        <v>1129</v>
      </c>
      <c r="G49">
        <v>13</v>
      </c>
      <c r="H49">
        <v>288</v>
      </c>
      <c r="I49">
        <v>3143.46</v>
      </c>
    </row>
    <row r="50" spans="1:9">
      <c r="A50">
        <v>1995</v>
      </c>
      <c r="B50">
        <v>2</v>
      </c>
      <c r="C50" t="s">
        <v>1508</v>
      </c>
      <c r="D50">
        <v>1</v>
      </c>
      <c r="E50" t="s">
        <v>1507</v>
      </c>
      <c r="F50" t="s">
        <v>1115</v>
      </c>
      <c r="G50">
        <v>8</v>
      </c>
      <c r="H50">
        <v>330</v>
      </c>
      <c r="I50">
        <v>21904.16</v>
      </c>
    </row>
    <row r="51" spans="1:9">
      <c r="A51">
        <v>1995</v>
      </c>
      <c r="B51">
        <v>2</v>
      </c>
      <c r="C51" t="s">
        <v>1508</v>
      </c>
      <c r="D51">
        <v>1</v>
      </c>
      <c r="E51" t="s">
        <v>1507</v>
      </c>
      <c r="F51" t="s">
        <v>1117</v>
      </c>
      <c r="G51">
        <v>7</v>
      </c>
      <c r="H51">
        <v>236</v>
      </c>
      <c r="I51">
        <v>4330.7</v>
      </c>
    </row>
    <row r="52" spans="1:9">
      <c r="A52">
        <v>1995</v>
      </c>
      <c r="B52">
        <v>2</v>
      </c>
      <c r="C52" t="s">
        <v>1508</v>
      </c>
      <c r="D52">
        <v>1</v>
      </c>
      <c r="E52" t="s">
        <v>1507</v>
      </c>
      <c r="F52" t="s">
        <v>1119</v>
      </c>
      <c r="G52">
        <v>14</v>
      </c>
      <c r="H52">
        <v>493</v>
      </c>
      <c r="I52">
        <v>7788.11</v>
      </c>
    </row>
    <row r="53" spans="1:9">
      <c r="A53">
        <v>1995</v>
      </c>
      <c r="B53">
        <v>2</v>
      </c>
      <c r="C53" t="s">
        <v>1508</v>
      </c>
      <c r="D53">
        <v>1</v>
      </c>
      <c r="E53" t="s">
        <v>1507</v>
      </c>
      <c r="F53" t="s">
        <v>1121</v>
      </c>
      <c r="G53">
        <v>8</v>
      </c>
      <c r="H53">
        <v>378</v>
      </c>
      <c r="I53">
        <v>6602.4</v>
      </c>
    </row>
    <row r="54" spans="1:9">
      <c r="A54">
        <v>1995</v>
      </c>
      <c r="B54">
        <v>2</v>
      </c>
      <c r="C54" t="s">
        <v>1508</v>
      </c>
      <c r="D54">
        <v>1</v>
      </c>
      <c r="E54" t="s">
        <v>1507</v>
      </c>
      <c r="F54" t="s">
        <v>1123</v>
      </c>
      <c r="G54">
        <v>5</v>
      </c>
      <c r="H54">
        <v>202</v>
      </c>
      <c r="I54">
        <v>3635.8</v>
      </c>
    </row>
    <row r="55" spans="1:9">
      <c r="A55">
        <v>1995</v>
      </c>
      <c r="B55">
        <v>2</v>
      </c>
      <c r="C55" t="s">
        <v>1508</v>
      </c>
      <c r="D55">
        <v>1</v>
      </c>
      <c r="E55" t="s">
        <v>1507</v>
      </c>
      <c r="F55" t="s">
        <v>1125</v>
      </c>
      <c r="G55">
        <v>7</v>
      </c>
      <c r="H55">
        <v>84</v>
      </c>
      <c r="I55">
        <v>4313.6499999999996</v>
      </c>
    </row>
    <row r="56" spans="1:9">
      <c r="A56">
        <v>1995</v>
      </c>
      <c r="B56">
        <v>2</v>
      </c>
      <c r="C56" t="s">
        <v>1508</v>
      </c>
      <c r="D56">
        <v>1</v>
      </c>
      <c r="E56" t="s">
        <v>1507</v>
      </c>
      <c r="F56" t="s">
        <v>1127</v>
      </c>
      <c r="G56">
        <v>5</v>
      </c>
      <c r="H56">
        <v>124</v>
      </c>
      <c r="I56">
        <v>2704.92</v>
      </c>
    </row>
    <row r="57" spans="1:9">
      <c r="A57">
        <v>1995</v>
      </c>
      <c r="B57">
        <v>2</v>
      </c>
      <c r="C57" t="s">
        <v>1508</v>
      </c>
      <c r="D57">
        <v>1</v>
      </c>
      <c r="E57" t="s">
        <v>1507</v>
      </c>
      <c r="F57" t="s">
        <v>1129</v>
      </c>
      <c r="G57">
        <v>7</v>
      </c>
      <c r="H57">
        <v>104</v>
      </c>
      <c r="I57">
        <v>1260.5</v>
      </c>
    </row>
    <row r="58" spans="1:9">
      <c r="A58">
        <v>1995</v>
      </c>
      <c r="B58">
        <v>3</v>
      </c>
      <c r="C58" t="s">
        <v>1509</v>
      </c>
      <c r="D58">
        <v>1</v>
      </c>
      <c r="E58" t="s">
        <v>1507</v>
      </c>
      <c r="F58" t="s">
        <v>1115</v>
      </c>
      <c r="G58">
        <v>12</v>
      </c>
      <c r="H58">
        <v>220</v>
      </c>
      <c r="I58">
        <v>2845.84</v>
      </c>
    </row>
    <row r="59" spans="1:9">
      <c r="A59">
        <v>1995</v>
      </c>
      <c r="B59">
        <v>3</v>
      </c>
      <c r="C59" t="s">
        <v>1509</v>
      </c>
      <c r="D59">
        <v>1</v>
      </c>
      <c r="E59" t="s">
        <v>1507</v>
      </c>
      <c r="F59" t="s">
        <v>1117</v>
      </c>
      <c r="G59">
        <v>7</v>
      </c>
      <c r="H59">
        <v>428</v>
      </c>
      <c r="I59">
        <v>7050.24</v>
      </c>
    </row>
    <row r="60" spans="1:9">
      <c r="A60">
        <v>1995</v>
      </c>
      <c r="B60">
        <v>3</v>
      </c>
      <c r="C60" t="s">
        <v>1509</v>
      </c>
      <c r="D60">
        <v>1</v>
      </c>
      <c r="E60" t="s">
        <v>1507</v>
      </c>
      <c r="F60" t="s">
        <v>1119</v>
      </c>
      <c r="G60">
        <v>19</v>
      </c>
      <c r="H60">
        <v>555</v>
      </c>
      <c r="I60">
        <v>8318.8799999999992</v>
      </c>
    </row>
    <row r="61" spans="1:9">
      <c r="A61">
        <v>1995</v>
      </c>
      <c r="B61">
        <v>3</v>
      </c>
      <c r="C61" t="s">
        <v>1509</v>
      </c>
      <c r="D61">
        <v>1</v>
      </c>
      <c r="E61" t="s">
        <v>1507</v>
      </c>
      <c r="F61" t="s">
        <v>1121</v>
      </c>
      <c r="G61">
        <v>13</v>
      </c>
      <c r="H61">
        <v>318</v>
      </c>
      <c r="I61">
        <v>8048.84</v>
      </c>
    </row>
    <row r="62" spans="1:9">
      <c r="A62">
        <v>1995</v>
      </c>
      <c r="B62">
        <v>3</v>
      </c>
      <c r="C62" t="s">
        <v>1509</v>
      </c>
      <c r="D62">
        <v>1</v>
      </c>
      <c r="E62" t="s">
        <v>1507</v>
      </c>
      <c r="F62" t="s">
        <v>1123</v>
      </c>
      <c r="G62">
        <v>10</v>
      </c>
      <c r="H62">
        <v>246</v>
      </c>
      <c r="I62">
        <v>5605.7</v>
      </c>
    </row>
    <row r="63" spans="1:9">
      <c r="A63">
        <v>1995</v>
      </c>
      <c r="B63">
        <v>3</v>
      </c>
      <c r="C63" t="s">
        <v>1509</v>
      </c>
      <c r="D63">
        <v>1</v>
      </c>
      <c r="E63" t="s">
        <v>1507</v>
      </c>
      <c r="F63" t="s">
        <v>1125</v>
      </c>
      <c r="G63">
        <v>12</v>
      </c>
      <c r="H63">
        <v>515</v>
      </c>
      <c r="I63">
        <v>10090.219999999999</v>
      </c>
    </row>
    <row r="64" spans="1:9">
      <c r="A64">
        <v>1995</v>
      </c>
      <c r="B64">
        <v>3</v>
      </c>
      <c r="C64" t="s">
        <v>1509</v>
      </c>
      <c r="D64">
        <v>1</v>
      </c>
      <c r="E64" t="s">
        <v>1507</v>
      </c>
      <c r="F64" t="s">
        <v>1127</v>
      </c>
      <c r="G64">
        <v>5</v>
      </c>
      <c r="H64">
        <v>103</v>
      </c>
      <c r="I64">
        <v>2679.6</v>
      </c>
    </row>
    <row r="65" spans="1:9">
      <c r="A65">
        <v>1995</v>
      </c>
      <c r="B65">
        <v>3</v>
      </c>
      <c r="C65" t="s">
        <v>1509</v>
      </c>
      <c r="D65">
        <v>1</v>
      </c>
      <c r="E65" t="s">
        <v>1507</v>
      </c>
      <c r="F65" t="s">
        <v>1129</v>
      </c>
      <c r="G65">
        <v>9</v>
      </c>
      <c r="H65">
        <v>197</v>
      </c>
      <c r="I65">
        <v>2562.15</v>
      </c>
    </row>
    <row r="66" spans="1:9">
      <c r="A66">
        <v>1995</v>
      </c>
      <c r="B66">
        <v>4</v>
      </c>
      <c r="C66" t="s">
        <v>1510</v>
      </c>
      <c r="D66">
        <v>2</v>
      </c>
      <c r="E66" t="s">
        <v>1511</v>
      </c>
      <c r="F66" t="s">
        <v>1115</v>
      </c>
      <c r="G66">
        <v>13</v>
      </c>
      <c r="H66">
        <v>435</v>
      </c>
      <c r="I66">
        <v>10413.68</v>
      </c>
    </row>
    <row r="67" spans="1:9">
      <c r="A67">
        <v>1995</v>
      </c>
      <c r="B67">
        <v>4</v>
      </c>
      <c r="C67" t="s">
        <v>1510</v>
      </c>
      <c r="D67">
        <v>2</v>
      </c>
      <c r="E67" t="s">
        <v>1511</v>
      </c>
      <c r="F67" t="s">
        <v>1117</v>
      </c>
      <c r="G67">
        <v>5</v>
      </c>
      <c r="H67">
        <v>128</v>
      </c>
      <c r="I67">
        <v>1385.63</v>
      </c>
    </row>
    <row r="68" spans="1:9">
      <c r="A68">
        <v>1995</v>
      </c>
      <c r="B68">
        <v>4</v>
      </c>
      <c r="C68" t="s">
        <v>1510</v>
      </c>
      <c r="D68">
        <v>2</v>
      </c>
      <c r="E68" t="s">
        <v>1511</v>
      </c>
      <c r="F68" t="s">
        <v>1119</v>
      </c>
      <c r="G68">
        <v>10</v>
      </c>
      <c r="H68">
        <v>235</v>
      </c>
      <c r="I68">
        <v>2909.92</v>
      </c>
    </row>
    <row r="69" spans="1:9">
      <c r="A69">
        <v>1995</v>
      </c>
      <c r="B69">
        <v>4</v>
      </c>
      <c r="C69" t="s">
        <v>1510</v>
      </c>
      <c r="D69">
        <v>2</v>
      </c>
      <c r="E69" t="s">
        <v>1511</v>
      </c>
      <c r="F69" t="s">
        <v>1121</v>
      </c>
      <c r="G69">
        <v>10</v>
      </c>
      <c r="H69">
        <v>251</v>
      </c>
      <c r="I69">
        <v>7088.9</v>
      </c>
    </row>
    <row r="70" spans="1:9">
      <c r="A70">
        <v>1995</v>
      </c>
      <c r="B70">
        <v>4</v>
      </c>
      <c r="C70" t="s">
        <v>1510</v>
      </c>
      <c r="D70">
        <v>2</v>
      </c>
      <c r="E70" t="s">
        <v>1511</v>
      </c>
      <c r="F70" t="s">
        <v>1123</v>
      </c>
      <c r="G70">
        <v>6</v>
      </c>
      <c r="H70">
        <v>174</v>
      </c>
      <c r="I70">
        <v>3167.6</v>
      </c>
    </row>
    <row r="71" spans="1:9">
      <c r="A71">
        <v>1995</v>
      </c>
      <c r="B71">
        <v>4</v>
      </c>
      <c r="C71" t="s">
        <v>1510</v>
      </c>
      <c r="D71">
        <v>2</v>
      </c>
      <c r="E71" t="s">
        <v>1511</v>
      </c>
      <c r="F71" t="s">
        <v>1125</v>
      </c>
      <c r="G71">
        <v>5</v>
      </c>
      <c r="H71">
        <v>102</v>
      </c>
      <c r="I71">
        <v>2998.48</v>
      </c>
    </row>
    <row r="72" spans="1:9">
      <c r="A72">
        <v>1995</v>
      </c>
      <c r="B72">
        <v>4</v>
      </c>
      <c r="C72" t="s">
        <v>1510</v>
      </c>
      <c r="D72">
        <v>2</v>
      </c>
      <c r="E72" t="s">
        <v>1511</v>
      </c>
      <c r="F72" t="s">
        <v>1127</v>
      </c>
      <c r="G72">
        <v>5</v>
      </c>
      <c r="H72">
        <v>122</v>
      </c>
      <c r="I72">
        <v>3676.8</v>
      </c>
    </row>
    <row r="73" spans="1:9">
      <c r="A73">
        <v>1995</v>
      </c>
      <c r="B73">
        <v>4</v>
      </c>
      <c r="C73" t="s">
        <v>1510</v>
      </c>
      <c r="D73">
        <v>2</v>
      </c>
      <c r="E73" t="s">
        <v>1511</v>
      </c>
      <c r="F73" t="s">
        <v>1129</v>
      </c>
      <c r="G73">
        <v>10</v>
      </c>
      <c r="H73">
        <v>175</v>
      </c>
      <c r="I73">
        <v>3483.5</v>
      </c>
    </row>
    <row r="74" spans="1:9">
      <c r="A74">
        <v>1995</v>
      </c>
      <c r="B74">
        <v>5</v>
      </c>
      <c r="C74" t="s">
        <v>1512</v>
      </c>
      <c r="D74">
        <v>2</v>
      </c>
      <c r="E74" t="s">
        <v>1511</v>
      </c>
      <c r="F74" t="s">
        <v>1115</v>
      </c>
      <c r="G74">
        <v>15</v>
      </c>
      <c r="H74">
        <v>304</v>
      </c>
      <c r="I74">
        <v>7297.55</v>
      </c>
    </row>
    <row r="75" spans="1:9">
      <c r="A75">
        <v>1995</v>
      </c>
      <c r="B75">
        <v>5</v>
      </c>
      <c r="C75" t="s">
        <v>1512</v>
      </c>
      <c r="D75">
        <v>2</v>
      </c>
      <c r="E75" t="s">
        <v>1511</v>
      </c>
      <c r="F75" t="s">
        <v>1117</v>
      </c>
      <c r="G75">
        <v>12</v>
      </c>
      <c r="H75">
        <v>281</v>
      </c>
      <c r="I75">
        <v>5803.91</v>
      </c>
    </row>
    <row r="76" spans="1:9">
      <c r="A76">
        <v>1995</v>
      </c>
      <c r="B76">
        <v>5</v>
      </c>
      <c r="C76" t="s">
        <v>1512</v>
      </c>
      <c r="D76">
        <v>2</v>
      </c>
      <c r="E76" t="s">
        <v>1511</v>
      </c>
      <c r="F76" t="s">
        <v>1119</v>
      </c>
      <c r="G76">
        <v>12</v>
      </c>
      <c r="H76">
        <v>424</v>
      </c>
      <c r="I76">
        <v>11838.61</v>
      </c>
    </row>
    <row r="77" spans="1:9">
      <c r="A77">
        <v>1995</v>
      </c>
      <c r="B77">
        <v>5</v>
      </c>
      <c r="C77" t="s">
        <v>1512</v>
      </c>
      <c r="D77">
        <v>2</v>
      </c>
      <c r="E77" t="s">
        <v>1511</v>
      </c>
      <c r="F77" t="s">
        <v>1121</v>
      </c>
      <c r="G77">
        <v>9</v>
      </c>
      <c r="H77">
        <v>291</v>
      </c>
      <c r="I77">
        <v>8415.6</v>
      </c>
    </row>
    <row r="78" spans="1:9">
      <c r="A78">
        <v>1995</v>
      </c>
      <c r="B78">
        <v>5</v>
      </c>
      <c r="C78" t="s">
        <v>1512</v>
      </c>
      <c r="D78">
        <v>2</v>
      </c>
      <c r="E78" t="s">
        <v>1511</v>
      </c>
      <c r="F78" t="s">
        <v>1123</v>
      </c>
      <c r="G78">
        <v>9</v>
      </c>
      <c r="H78">
        <v>240</v>
      </c>
      <c r="I78">
        <v>6544.4</v>
      </c>
    </row>
    <row r="79" spans="1:9">
      <c r="A79">
        <v>1995</v>
      </c>
      <c r="B79">
        <v>5</v>
      </c>
      <c r="C79" t="s">
        <v>1512</v>
      </c>
      <c r="D79">
        <v>2</v>
      </c>
      <c r="E79" t="s">
        <v>1511</v>
      </c>
      <c r="F79" t="s">
        <v>1125</v>
      </c>
      <c r="G79">
        <v>6</v>
      </c>
      <c r="H79">
        <v>93</v>
      </c>
      <c r="I79">
        <v>6613.44</v>
      </c>
    </row>
    <row r="80" spans="1:9">
      <c r="A80">
        <v>1995</v>
      </c>
      <c r="B80">
        <v>5</v>
      </c>
      <c r="C80" t="s">
        <v>1512</v>
      </c>
      <c r="D80">
        <v>2</v>
      </c>
      <c r="E80" t="s">
        <v>1511</v>
      </c>
      <c r="F80" t="s">
        <v>1127</v>
      </c>
      <c r="G80">
        <v>6</v>
      </c>
      <c r="H80">
        <v>186</v>
      </c>
      <c r="I80">
        <v>5893.86</v>
      </c>
    </row>
    <row r="81" spans="1:9">
      <c r="A81">
        <v>1995</v>
      </c>
      <c r="B81">
        <v>5</v>
      </c>
      <c r="C81" t="s">
        <v>1512</v>
      </c>
      <c r="D81">
        <v>2</v>
      </c>
      <c r="E81" t="s">
        <v>1511</v>
      </c>
      <c r="F81" t="s">
        <v>1129</v>
      </c>
      <c r="G81">
        <v>9</v>
      </c>
      <c r="H81">
        <v>241</v>
      </c>
      <c r="I81">
        <v>4048.29</v>
      </c>
    </row>
    <row r="82" spans="1:9">
      <c r="A82">
        <v>1995</v>
      </c>
      <c r="B82">
        <v>6</v>
      </c>
      <c r="C82" t="s">
        <v>1513</v>
      </c>
      <c r="D82">
        <v>2</v>
      </c>
      <c r="E82" t="s">
        <v>1511</v>
      </c>
      <c r="F82" t="s">
        <v>1115</v>
      </c>
      <c r="G82">
        <v>12</v>
      </c>
      <c r="H82">
        <v>322</v>
      </c>
      <c r="I82">
        <v>15422.25</v>
      </c>
    </row>
    <row r="83" spans="1:9">
      <c r="A83">
        <v>1995</v>
      </c>
      <c r="B83">
        <v>6</v>
      </c>
      <c r="C83" t="s">
        <v>1513</v>
      </c>
      <c r="D83">
        <v>2</v>
      </c>
      <c r="E83" t="s">
        <v>1511</v>
      </c>
      <c r="F83" t="s">
        <v>1117</v>
      </c>
      <c r="G83">
        <v>9</v>
      </c>
      <c r="H83">
        <v>300</v>
      </c>
      <c r="I83">
        <v>5453.02</v>
      </c>
    </row>
    <row r="84" spans="1:9">
      <c r="A84">
        <v>1995</v>
      </c>
      <c r="B84">
        <v>6</v>
      </c>
      <c r="C84" t="s">
        <v>1513</v>
      </c>
      <c r="D84">
        <v>2</v>
      </c>
      <c r="E84" t="s">
        <v>1511</v>
      </c>
      <c r="F84" t="s">
        <v>1119</v>
      </c>
      <c r="G84">
        <v>9</v>
      </c>
      <c r="H84">
        <v>291</v>
      </c>
      <c r="I84">
        <v>7689.82</v>
      </c>
    </row>
    <row r="85" spans="1:9">
      <c r="A85">
        <v>1995</v>
      </c>
      <c r="B85">
        <v>6</v>
      </c>
      <c r="C85" t="s">
        <v>1513</v>
      </c>
      <c r="D85">
        <v>2</v>
      </c>
      <c r="E85" t="s">
        <v>1511</v>
      </c>
      <c r="F85" t="s">
        <v>1121</v>
      </c>
      <c r="G85">
        <v>17</v>
      </c>
      <c r="H85">
        <v>494</v>
      </c>
      <c r="I85">
        <v>10435.58</v>
      </c>
    </row>
    <row r="86" spans="1:9">
      <c r="A86">
        <v>1995</v>
      </c>
      <c r="B86">
        <v>6</v>
      </c>
      <c r="C86" t="s">
        <v>1513</v>
      </c>
      <c r="D86">
        <v>2</v>
      </c>
      <c r="E86" t="s">
        <v>1511</v>
      </c>
      <c r="F86" t="s">
        <v>1123</v>
      </c>
      <c r="G86">
        <v>5</v>
      </c>
      <c r="H86">
        <v>149</v>
      </c>
      <c r="I86">
        <v>2267.25</v>
      </c>
    </row>
    <row r="87" spans="1:9">
      <c r="A87">
        <v>1995</v>
      </c>
      <c r="B87">
        <v>6</v>
      </c>
      <c r="C87" t="s">
        <v>1513</v>
      </c>
      <c r="D87">
        <v>2</v>
      </c>
      <c r="E87" t="s">
        <v>1511</v>
      </c>
      <c r="F87" t="s">
        <v>1125</v>
      </c>
      <c r="G87">
        <v>7</v>
      </c>
      <c r="H87">
        <v>136</v>
      </c>
      <c r="I87">
        <v>3395.51</v>
      </c>
    </row>
    <row r="88" spans="1:9">
      <c r="A88">
        <v>1995</v>
      </c>
      <c r="B88">
        <v>6</v>
      </c>
      <c r="C88" t="s">
        <v>1513</v>
      </c>
      <c r="D88">
        <v>2</v>
      </c>
      <c r="E88" t="s">
        <v>1511</v>
      </c>
      <c r="F88" t="s">
        <v>1127</v>
      </c>
      <c r="G88">
        <v>4</v>
      </c>
      <c r="H88">
        <v>71</v>
      </c>
      <c r="I88">
        <v>3099.6</v>
      </c>
    </row>
    <row r="89" spans="1:9">
      <c r="A89">
        <v>1995</v>
      </c>
      <c r="B89">
        <v>6</v>
      </c>
      <c r="C89" t="s">
        <v>1513</v>
      </c>
      <c r="D89">
        <v>2</v>
      </c>
      <c r="E89" t="s">
        <v>1511</v>
      </c>
      <c r="F89" t="s">
        <v>1129</v>
      </c>
      <c r="G89">
        <v>14</v>
      </c>
      <c r="H89">
        <v>401</v>
      </c>
      <c r="I89">
        <v>6018.26</v>
      </c>
    </row>
    <row r="90" spans="1:9">
      <c r="A90">
        <v>1995</v>
      </c>
      <c r="B90">
        <v>7</v>
      </c>
      <c r="C90" t="s">
        <v>1514</v>
      </c>
      <c r="D90">
        <v>3</v>
      </c>
      <c r="E90" t="s">
        <v>1500</v>
      </c>
      <c r="F90" t="s">
        <v>1115</v>
      </c>
      <c r="G90">
        <v>14</v>
      </c>
      <c r="H90">
        <v>313</v>
      </c>
      <c r="I90">
        <v>3485.42</v>
      </c>
    </row>
    <row r="91" spans="1:9">
      <c r="A91">
        <v>1995</v>
      </c>
      <c r="B91">
        <v>7</v>
      </c>
      <c r="C91" t="s">
        <v>1514</v>
      </c>
      <c r="D91">
        <v>3</v>
      </c>
      <c r="E91" t="s">
        <v>1500</v>
      </c>
      <c r="F91" t="s">
        <v>1117</v>
      </c>
      <c r="G91">
        <v>6</v>
      </c>
      <c r="H91">
        <v>95</v>
      </c>
      <c r="I91">
        <v>1855.28</v>
      </c>
    </row>
    <row r="92" spans="1:9">
      <c r="A92">
        <v>1995</v>
      </c>
      <c r="B92">
        <v>7</v>
      </c>
      <c r="C92" t="s">
        <v>1514</v>
      </c>
      <c r="D92">
        <v>3</v>
      </c>
      <c r="E92" t="s">
        <v>1500</v>
      </c>
      <c r="F92" t="s">
        <v>1119</v>
      </c>
      <c r="G92">
        <v>6</v>
      </c>
      <c r="H92">
        <v>107</v>
      </c>
      <c r="I92">
        <v>2174.89</v>
      </c>
    </row>
    <row r="93" spans="1:9">
      <c r="A93">
        <v>1995</v>
      </c>
      <c r="B93">
        <v>7</v>
      </c>
      <c r="C93" t="s">
        <v>1514</v>
      </c>
      <c r="D93">
        <v>3</v>
      </c>
      <c r="E93" t="s">
        <v>1500</v>
      </c>
      <c r="F93" t="s">
        <v>1121</v>
      </c>
      <c r="G93">
        <v>13</v>
      </c>
      <c r="H93">
        <v>405</v>
      </c>
      <c r="I93">
        <v>8455.7999999999993</v>
      </c>
    </row>
    <row r="94" spans="1:9">
      <c r="A94">
        <v>1995</v>
      </c>
      <c r="B94">
        <v>7</v>
      </c>
      <c r="C94" t="s">
        <v>1514</v>
      </c>
      <c r="D94">
        <v>3</v>
      </c>
      <c r="E94" t="s">
        <v>1500</v>
      </c>
      <c r="F94" t="s">
        <v>1123</v>
      </c>
      <c r="G94">
        <v>10</v>
      </c>
      <c r="H94">
        <v>292</v>
      </c>
      <c r="I94">
        <v>6345.85</v>
      </c>
    </row>
    <row r="95" spans="1:9">
      <c r="A95">
        <v>1995</v>
      </c>
      <c r="B95">
        <v>7</v>
      </c>
      <c r="C95" t="s">
        <v>1514</v>
      </c>
      <c r="D95">
        <v>3</v>
      </c>
      <c r="E95" t="s">
        <v>1500</v>
      </c>
      <c r="F95" t="s">
        <v>1125</v>
      </c>
      <c r="G95">
        <v>5</v>
      </c>
      <c r="H95">
        <v>130</v>
      </c>
      <c r="I95">
        <v>4923.5</v>
      </c>
    </row>
    <row r="96" spans="1:9">
      <c r="A96">
        <v>1995</v>
      </c>
      <c r="B96">
        <v>7</v>
      </c>
      <c r="C96" t="s">
        <v>1514</v>
      </c>
      <c r="D96">
        <v>3</v>
      </c>
      <c r="E96" t="s">
        <v>1500</v>
      </c>
      <c r="F96" t="s">
        <v>1127</v>
      </c>
      <c r="G96">
        <v>6</v>
      </c>
      <c r="H96">
        <v>149</v>
      </c>
      <c r="I96">
        <v>5823.7</v>
      </c>
    </row>
    <row r="97" spans="1:9">
      <c r="A97">
        <v>1995</v>
      </c>
      <c r="B97">
        <v>7</v>
      </c>
      <c r="C97" t="s">
        <v>1514</v>
      </c>
      <c r="D97">
        <v>3</v>
      </c>
      <c r="E97" t="s">
        <v>1500</v>
      </c>
      <c r="F97" t="s">
        <v>1129</v>
      </c>
      <c r="G97">
        <v>9</v>
      </c>
      <c r="H97">
        <v>144</v>
      </c>
      <c r="I97">
        <v>3298.37</v>
      </c>
    </row>
    <row r="98" spans="1:9">
      <c r="A98">
        <v>1995</v>
      </c>
      <c r="B98">
        <v>8</v>
      </c>
      <c r="C98" t="s">
        <v>1499</v>
      </c>
      <c r="D98">
        <v>3</v>
      </c>
      <c r="E98" t="s">
        <v>1500</v>
      </c>
      <c r="F98" t="s">
        <v>1115</v>
      </c>
      <c r="G98">
        <v>14</v>
      </c>
      <c r="H98">
        <v>327</v>
      </c>
      <c r="I98">
        <v>7889.22</v>
      </c>
    </row>
    <row r="99" spans="1:9">
      <c r="A99">
        <v>1995</v>
      </c>
      <c r="B99">
        <v>8</v>
      </c>
      <c r="C99" t="s">
        <v>1499</v>
      </c>
      <c r="D99">
        <v>3</v>
      </c>
      <c r="E99" t="s">
        <v>1500</v>
      </c>
      <c r="F99" t="s">
        <v>1117</v>
      </c>
      <c r="G99">
        <v>9</v>
      </c>
      <c r="H99">
        <v>300</v>
      </c>
      <c r="I99">
        <v>5519.84</v>
      </c>
    </row>
    <row r="100" spans="1:9">
      <c r="A100">
        <v>1995</v>
      </c>
      <c r="B100">
        <v>8</v>
      </c>
      <c r="C100" t="s">
        <v>1499</v>
      </c>
      <c r="D100">
        <v>3</v>
      </c>
      <c r="E100" t="s">
        <v>1500</v>
      </c>
      <c r="F100" t="s">
        <v>1119</v>
      </c>
      <c r="G100">
        <v>13</v>
      </c>
      <c r="H100">
        <v>210</v>
      </c>
      <c r="I100">
        <v>6462.6</v>
      </c>
    </row>
    <row r="101" spans="1:9">
      <c r="A101">
        <v>1995</v>
      </c>
      <c r="B101">
        <v>8</v>
      </c>
      <c r="C101" t="s">
        <v>1499</v>
      </c>
      <c r="D101">
        <v>3</v>
      </c>
      <c r="E101" t="s">
        <v>1500</v>
      </c>
      <c r="F101" t="s">
        <v>1121</v>
      </c>
      <c r="G101">
        <v>11</v>
      </c>
      <c r="H101">
        <v>374</v>
      </c>
      <c r="I101">
        <v>12387.35</v>
      </c>
    </row>
    <row r="102" spans="1:9">
      <c r="A102">
        <v>1995</v>
      </c>
      <c r="B102">
        <v>8</v>
      </c>
      <c r="C102" t="s">
        <v>1499</v>
      </c>
      <c r="D102">
        <v>3</v>
      </c>
      <c r="E102" t="s">
        <v>1500</v>
      </c>
      <c r="F102" t="s">
        <v>1123</v>
      </c>
      <c r="G102">
        <v>8</v>
      </c>
      <c r="H102">
        <v>243</v>
      </c>
      <c r="I102">
        <v>4457.8</v>
      </c>
    </row>
    <row r="103" spans="1:9">
      <c r="A103">
        <v>1995</v>
      </c>
      <c r="B103">
        <v>8</v>
      </c>
      <c r="C103" t="s">
        <v>1499</v>
      </c>
      <c r="D103">
        <v>3</v>
      </c>
      <c r="E103" t="s">
        <v>1500</v>
      </c>
      <c r="F103" t="s">
        <v>1125</v>
      </c>
      <c r="G103">
        <v>5</v>
      </c>
      <c r="H103">
        <v>179</v>
      </c>
      <c r="I103">
        <v>4806.3</v>
      </c>
    </row>
    <row r="104" spans="1:9">
      <c r="A104">
        <v>1995</v>
      </c>
      <c r="B104">
        <v>8</v>
      </c>
      <c r="C104" t="s">
        <v>1499</v>
      </c>
      <c r="D104">
        <v>3</v>
      </c>
      <c r="E104" t="s">
        <v>1500</v>
      </c>
      <c r="F104" t="s">
        <v>1127</v>
      </c>
      <c r="G104">
        <v>2</v>
      </c>
      <c r="H104">
        <v>55</v>
      </c>
      <c r="I104">
        <v>1650</v>
      </c>
    </row>
    <row r="105" spans="1:9">
      <c r="A105">
        <v>1995</v>
      </c>
      <c r="B105">
        <v>8</v>
      </c>
      <c r="C105" t="s">
        <v>1499</v>
      </c>
      <c r="D105">
        <v>3</v>
      </c>
      <c r="E105" t="s">
        <v>1500</v>
      </c>
      <c r="F105" t="s">
        <v>1129</v>
      </c>
      <c r="G105">
        <v>9</v>
      </c>
      <c r="H105">
        <v>366</v>
      </c>
      <c r="I105">
        <v>7847.75</v>
      </c>
    </row>
    <row r="106" spans="1:9">
      <c r="A106">
        <v>1995</v>
      </c>
      <c r="B106">
        <v>9</v>
      </c>
      <c r="C106" t="s">
        <v>1501</v>
      </c>
      <c r="D106">
        <v>3</v>
      </c>
      <c r="E106" t="s">
        <v>1500</v>
      </c>
      <c r="F106" t="s">
        <v>1115</v>
      </c>
      <c r="G106">
        <v>16</v>
      </c>
      <c r="H106">
        <v>334</v>
      </c>
      <c r="I106">
        <v>5836.92</v>
      </c>
    </row>
    <row r="107" spans="1:9">
      <c r="A107">
        <v>1995</v>
      </c>
      <c r="B107">
        <v>9</v>
      </c>
      <c r="C107" t="s">
        <v>1501</v>
      </c>
      <c r="D107">
        <v>3</v>
      </c>
      <c r="E107" t="s">
        <v>1500</v>
      </c>
      <c r="F107" t="s">
        <v>1117</v>
      </c>
      <c r="G107">
        <v>7</v>
      </c>
      <c r="H107">
        <v>206</v>
      </c>
      <c r="I107">
        <v>4220.0200000000004</v>
      </c>
    </row>
    <row r="108" spans="1:9">
      <c r="A108">
        <v>1995</v>
      </c>
      <c r="B108">
        <v>9</v>
      </c>
      <c r="C108" t="s">
        <v>1501</v>
      </c>
      <c r="D108">
        <v>3</v>
      </c>
      <c r="E108" t="s">
        <v>1500</v>
      </c>
      <c r="F108" t="s">
        <v>1119</v>
      </c>
      <c r="G108">
        <v>10</v>
      </c>
      <c r="H108">
        <v>335</v>
      </c>
      <c r="I108">
        <v>7105.63</v>
      </c>
    </row>
    <row r="109" spans="1:9">
      <c r="A109">
        <v>1995</v>
      </c>
      <c r="B109">
        <v>9</v>
      </c>
      <c r="C109" t="s">
        <v>1501</v>
      </c>
      <c r="D109">
        <v>3</v>
      </c>
      <c r="E109" t="s">
        <v>1500</v>
      </c>
      <c r="F109" t="s">
        <v>1121</v>
      </c>
      <c r="G109">
        <v>10</v>
      </c>
      <c r="H109">
        <v>256</v>
      </c>
      <c r="I109">
        <v>6826.55</v>
      </c>
    </row>
    <row r="110" spans="1:9">
      <c r="A110">
        <v>1995</v>
      </c>
      <c r="B110">
        <v>9</v>
      </c>
      <c r="C110" t="s">
        <v>1501</v>
      </c>
      <c r="D110">
        <v>3</v>
      </c>
      <c r="E110" t="s">
        <v>1500</v>
      </c>
      <c r="F110" t="s">
        <v>1123</v>
      </c>
      <c r="G110">
        <v>9</v>
      </c>
      <c r="H110">
        <v>204</v>
      </c>
      <c r="I110">
        <v>5415.25</v>
      </c>
    </row>
    <row r="111" spans="1:9">
      <c r="A111">
        <v>1995</v>
      </c>
      <c r="B111">
        <v>9</v>
      </c>
      <c r="C111" t="s">
        <v>1501</v>
      </c>
      <c r="D111">
        <v>3</v>
      </c>
      <c r="E111" t="s">
        <v>1500</v>
      </c>
      <c r="F111" t="s">
        <v>1125</v>
      </c>
      <c r="G111">
        <v>5</v>
      </c>
      <c r="H111">
        <v>105</v>
      </c>
      <c r="I111">
        <v>4888.24</v>
      </c>
    </row>
    <row r="112" spans="1:9">
      <c r="A112">
        <v>1995</v>
      </c>
      <c r="B112">
        <v>9</v>
      </c>
      <c r="C112" t="s">
        <v>1501</v>
      </c>
      <c r="D112">
        <v>3</v>
      </c>
      <c r="E112" t="s">
        <v>1500</v>
      </c>
      <c r="F112" t="s">
        <v>1127</v>
      </c>
      <c r="G112">
        <v>6</v>
      </c>
      <c r="H112">
        <v>119</v>
      </c>
      <c r="I112">
        <v>4284</v>
      </c>
    </row>
    <row r="113" spans="1:9">
      <c r="A113">
        <v>1995</v>
      </c>
      <c r="B113">
        <v>9</v>
      </c>
      <c r="C113" t="s">
        <v>1501</v>
      </c>
      <c r="D113">
        <v>3</v>
      </c>
      <c r="E113" t="s">
        <v>1500</v>
      </c>
      <c r="F113" t="s">
        <v>1129</v>
      </c>
      <c r="G113">
        <v>12</v>
      </c>
      <c r="H113">
        <v>302</v>
      </c>
      <c r="I113">
        <v>8711.0499999999993</v>
      </c>
    </row>
    <row r="114" spans="1:9">
      <c r="A114">
        <v>1995</v>
      </c>
      <c r="B114">
        <v>10</v>
      </c>
      <c r="C114" t="s">
        <v>1502</v>
      </c>
      <c r="D114">
        <v>4</v>
      </c>
      <c r="E114" t="s">
        <v>1503</v>
      </c>
      <c r="F114" t="s">
        <v>1115</v>
      </c>
      <c r="G114">
        <v>8</v>
      </c>
      <c r="H114">
        <v>174</v>
      </c>
      <c r="I114">
        <v>5726.7</v>
      </c>
    </row>
    <row r="115" spans="1:9">
      <c r="A115">
        <v>1995</v>
      </c>
      <c r="B115">
        <v>10</v>
      </c>
      <c r="C115" t="s">
        <v>1502</v>
      </c>
      <c r="D115">
        <v>4</v>
      </c>
      <c r="E115" t="s">
        <v>1503</v>
      </c>
      <c r="F115" t="s">
        <v>1117</v>
      </c>
      <c r="G115">
        <v>9</v>
      </c>
      <c r="H115">
        <v>222</v>
      </c>
      <c r="I115">
        <v>3575.18</v>
      </c>
    </row>
    <row r="116" spans="1:9">
      <c r="A116">
        <v>1995</v>
      </c>
      <c r="B116">
        <v>10</v>
      </c>
      <c r="C116" t="s">
        <v>1502</v>
      </c>
      <c r="D116">
        <v>4</v>
      </c>
      <c r="E116" t="s">
        <v>1503</v>
      </c>
      <c r="F116" t="s">
        <v>1119</v>
      </c>
      <c r="G116">
        <v>16</v>
      </c>
      <c r="H116">
        <v>371</v>
      </c>
      <c r="I116">
        <v>6708.59</v>
      </c>
    </row>
    <row r="117" spans="1:9">
      <c r="A117">
        <v>1995</v>
      </c>
      <c r="B117">
        <v>10</v>
      </c>
      <c r="C117" t="s">
        <v>1502</v>
      </c>
      <c r="D117">
        <v>4</v>
      </c>
      <c r="E117" t="s">
        <v>1503</v>
      </c>
      <c r="F117" t="s">
        <v>1121</v>
      </c>
      <c r="G117">
        <v>14</v>
      </c>
      <c r="H117">
        <v>435</v>
      </c>
      <c r="I117">
        <v>11420.3</v>
      </c>
    </row>
    <row r="118" spans="1:9">
      <c r="A118">
        <v>1995</v>
      </c>
      <c r="B118">
        <v>10</v>
      </c>
      <c r="C118" t="s">
        <v>1502</v>
      </c>
      <c r="D118">
        <v>4</v>
      </c>
      <c r="E118" t="s">
        <v>1503</v>
      </c>
      <c r="F118" t="s">
        <v>1123</v>
      </c>
      <c r="G118">
        <v>12</v>
      </c>
      <c r="H118">
        <v>262</v>
      </c>
      <c r="I118">
        <v>5371.48</v>
      </c>
    </row>
    <row r="119" spans="1:9">
      <c r="A119">
        <v>1995</v>
      </c>
      <c r="B119">
        <v>10</v>
      </c>
      <c r="C119" t="s">
        <v>1502</v>
      </c>
      <c r="D119">
        <v>4</v>
      </c>
      <c r="E119" t="s">
        <v>1503</v>
      </c>
      <c r="F119" t="s">
        <v>1125</v>
      </c>
      <c r="G119">
        <v>7</v>
      </c>
      <c r="H119">
        <v>176</v>
      </c>
      <c r="I119">
        <v>10945.97</v>
      </c>
    </row>
    <row r="120" spans="1:9">
      <c r="A120">
        <v>1995</v>
      </c>
      <c r="B120">
        <v>10</v>
      </c>
      <c r="C120" t="s">
        <v>1502</v>
      </c>
      <c r="D120">
        <v>4</v>
      </c>
      <c r="E120" t="s">
        <v>1503</v>
      </c>
      <c r="F120" t="s">
        <v>1127</v>
      </c>
      <c r="G120">
        <v>4</v>
      </c>
      <c r="H120">
        <v>73</v>
      </c>
      <c r="I120">
        <v>2827.28</v>
      </c>
    </row>
    <row r="121" spans="1:9">
      <c r="A121">
        <v>1995</v>
      </c>
      <c r="B121">
        <v>10</v>
      </c>
      <c r="C121" t="s">
        <v>1502</v>
      </c>
      <c r="D121">
        <v>4</v>
      </c>
      <c r="E121" t="s">
        <v>1503</v>
      </c>
      <c r="F121" t="s">
        <v>1129</v>
      </c>
      <c r="G121">
        <v>16</v>
      </c>
      <c r="H121">
        <v>630</v>
      </c>
      <c r="I121">
        <v>9053.76</v>
      </c>
    </row>
    <row r="122" spans="1:9">
      <c r="A122">
        <v>1995</v>
      </c>
      <c r="B122">
        <v>11</v>
      </c>
      <c r="C122" t="s">
        <v>1504</v>
      </c>
      <c r="D122">
        <v>4</v>
      </c>
      <c r="E122" t="s">
        <v>1503</v>
      </c>
      <c r="F122" t="s">
        <v>1115</v>
      </c>
      <c r="G122">
        <v>17</v>
      </c>
      <c r="H122">
        <v>491</v>
      </c>
      <c r="I122">
        <v>8374.9</v>
      </c>
    </row>
    <row r="123" spans="1:9">
      <c r="A123">
        <v>1995</v>
      </c>
      <c r="B123">
        <v>11</v>
      </c>
      <c r="C123" t="s">
        <v>1504</v>
      </c>
      <c r="D123">
        <v>4</v>
      </c>
      <c r="E123" t="s">
        <v>1503</v>
      </c>
      <c r="F123" t="s">
        <v>1117</v>
      </c>
      <c r="G123">
        <v>12</v>
      </c>
      <c r="H123">
        <v>270</v>
      </c>
      <c r="I123">
        <v>6565.91</v>
      </c>
    </row>
    <row r="124" spans="1:9">
      <c r="A124">
        <v>1995</v>
      </c>
      <c r="B124">
        <v>11</v>
      </c>
      <c r="C124" t="s">
        <v>1504</v>
      </c>
      <c r="D124">
        <v>4</v>
      </c>
      <c r="E124" t="s">
        <v>1503</v>
      </c>
      <c r="F124" t="s">
        <v>1119</v>
      </c>
      <c r="G124">
        <v>15</v>
      </c>
      <c r="H124">
        <v>390</v>
      </c>
      <c r="I124">
        <v>7800.7</v>
      </c>
    </row>
    <row r="125" spans="1:9">
      <c r="A125">
        <v>1995</v>
      </c>
      <c r="B125">
        <v>11</v>
      </c>
      <c r="C125" t="s">
        <v>1504</v>
      </c>
      <c r="D125">
        <v>4</v>
      </c>
      <c r="E125" t="s">
        <v>1503</v>
      </c>
      <c r="F125" t="s">
        <v>1121</v>
      </c>
      <c r="G125">
        <v>15</v>
      </c>
      <c r="H125">
        <v>422</v>
      </c>
      <c r="I125">
        <v>12869</v>
      </c>
    </row>
    <row r="126" spans="1:9">
      <c r="A126">
        <v>1995</v>
      </c>
      <c r="B126">
        <v>11</v>
      </c>
      <c r="C126" t="s">
        <v>1504</v>
      </c>
      <c r="D126">
        <v>4</v>
      </c>
      <c r="E126" t="s">
        <v>1503</v>
      </c>
      <c r="F126" t="s">
        <v>1123</v>
      </c>
      <c r="G126">
        <v>4</v>
      </c>
      <c r="H126">
        <v>108</v>
      </c>
      <c r="I126">
        <v>3003</v>
      </c>
    </row>
    <row r="127" spans="1:9">
      <c r="A127">
        <v>1995</v>
      </c>
      <c r="B127">
        <v>11</v>
      </c>
      <c r="C127" t="s">
        <v>1504</v>
      </c>
      <c r="D127">
        <v>4</v>
      </c>
      <c r="E127" t="s">
        <v>1503</v>
      </c>
      <c r="F127" t="s">
        <v>1125</v>
      </c>
      <c r="G127">
        <v>10</v>
      </c>
      <c r="H127">
        <v>372</v>
      </c>
      <c r="I127">
        <v>14059.64</v>
      </c>
    </row>
    <row r="128" spans="1:9">
      <c r="A128">
        <v>1995</v>
      </c>
      <c r="B128">
        <v>11</v>
      </c>
      <c r="C128" t="s">
        <v>1504</v>
      </c>
      <c r="D128">
        <v>4</v>
      </c>
      <c r="E128" t="s">
        <v>1503</v>
      </c>
      <c r="F128" t="s">
        <v>1127</v>
      </c>
      <c r="G128">
        <v>4</v>
      </c>
      <c r="H128">
        <v>185</v>
      </c>
      <c r="I128">
        <v>7017.4</v>
      </c>
    </row>
    <row r="129" spans="1:9">
      <c r="A129">
        <v>1995</v>
      </c>
      <c r="B129">
        <v>11</v>
      </c>
      <c r="C129" t="s">
        <v>1504</v>
      </c>
      <c r="D129">
        <v>4</v>
      </c>
      <c r="E129" t="s">
        <v>1503</v>
      </c>
      <c r="F129" t="s">
        <v>1129</v>
      </c>
      <c r="G129">
        <v>13</v>
      </c>
      <c r="H129">
        <v>419</v>
      </c>
      <c r="I129">
        <v>6770.88</v>
      </c>
    </row>
    <row r="130" spans="1:9">
      <c r="A130">
        <v>1995</v>
      </c>
      <c r="B130">
        <v>12</v>
      </c>
      <c r="C130" t="s">
        <v>1505</v>
      </c>
      <c r="D130">
        <v>4</v>
      </c>
      <c r="E130" t="s">
        <v>1503</v>
      </c>
      <c r="F130" t="s">
        <v>1115</v>
      </c>
      <c r="G130">
        <v>10</v>
      </c>
      <c r="H130">
        <v>248</v>
      </c>
      <c r="I130">
        <v>3851</v>
      </c>
    </row>
    <row r="131" spans="1:9">
      <c r="A131">
        <v>1995</v>
      </c>
      <c r="B131">
        <v>12</v>
      </c>
      <c r="C131" t="s">
        <v>1505</v>
      </c>
      <c r="D131">
        <v>4</v>
      </c>
      <c r="E131" t="s">
        <v>1503</v>
      </c>
      <c r="F131" t="s">
        <v>1117</v>
      </c>
      <c r="G131">
        <v>8</v>
      </c>
      <c r="H131">
        <v>172</v>
      </c>
      <c r="I131">
        <v>3784.68</v>
      </c>
    </row>
    <row r="132" spans="1:9">
      <c r="A132">
        <v>1995</v>
      </c>
      <c r="B132">
        <v>12</v>
      </c>
      <c r="C132" t="s">
        <v>1505</v>
      </c>
      <c r="D132">
        <v>4</v>
      </c>
      <c r="E132" t="s">
        <v>1503</v>
      </c>
      <c r="F132" t="s">
        <v>1119</v>
      </c>
      <c r="G132">
        <v>10</v>
      </c>
      <c r="H132">
        <v>255</v>
      </c>
      <c r="I132">
        <v>5081.8500000000004</v>
      </c>
    </row>
    <row r="133" spans="1:9">
      <c r="A133">
        <v>1995</v>
      </c>
      <c r="B133">
        <v>12</v>
      </c>
      <c r="C133" t="s">
        <v>1505</v>
      </c>
      <c r="D133">
        <v>4</v>
      </c>
      <c r="E133" t="s">
        <v>1503</v>
      </c>
      <c r="F133" t="s">
        <v>1121</v>
      </c>
      <c r="G133">
        <v>15</v>
      </c>
      <c r="H133">
        <v>344</v>
      </c>
      <c r="I133">
        <v>12992.48</v>
      </c>
    </row>
    <row r="134" spans="1:9">
      <c r="A134">
        <v>1995</v>
      </c>
      <c r="B134">
        <v>12</v>
      </c>
      <c r="C134" t="s">
        <v>1505</v>
      </c>
      <c r="D134">
        <v>4</v>
      </c>
      <c r="E134" t="s">
        <v>1503</v>
      </c>
      <c r="F134" t="s">
        <v>1123</v>
      </c>
      <c r="G134">
        <v>11</v>
      </c>
      <c r="H134">
        <v>314</v>
      </c>
      <c r="I134">
        <v>5815.35</v>
      </c>
    </row>
    <row r="135" spans="1:9">
      <c r="A135">
        <v>1995</v>
      </c>
      <c r="B135">
        <v>12</v>
      </c>
      <c r="C135" t="s">
        <v>1505</v>
      </c>
      <c r="D135">
        <v>4</v>
      </c>
      <c r="E135" t="s">
        <v>1503</v>
      </c>
      <c r="F135" t="s">
        <v>1125</v>
      </c>
      <c r="G135">
        <v>3</v>
      </c>
      <c r="H135">
        <v>38</v>
      </c>
      <c r="I135">
        <v>1173</v>
      </c>
    </row>
    <row r="136" spans="1:9">
      <c r="A136">
        <v>1995</v>
      </c>
      <c r="B136">
        <v>12</v>
      </c>
      <c r="C136" t="s">
        <v>1505</v>
      </c>
      <c r="D136">
        <v>4</v>
      </c>
      <c r="E136" t="s">
        <v>1503</v>
      </c>
      <c r="F136" t="s">
        <v>1127</v>
      </c>
      <c r="G136">
        <v>5</v>
      </c>
      <c r="H136">
        <v>81</v>
      </c>
      <c r="I136">
        <v>3125.71</v>
      </c>
    </row>
    <row r="137" spans="1:9">
      <c r="A137">
        <v>1995</v>
      </c>
      <c r="B137">
        <v>12</v>
      </c>
      <c r="C137" t="s">
        <v>1505</v>
      </c>
      <c r="D137">
        <v>4</v>
      </c>
      <c r="E137" t="s">
        <v>1503</v>
      </c>
      <c r="F137" t="s">
        <v>1129</v>
      </c>
      <c r="G137">
        <v>17</v>
      </c>
      <c r="H137">
        <v>426</v>
      </c>
      <c r="I137">
        <v>7997.55</v>
      </c>
    </row>
    <row r="138" spans="1:9">
      <c r="A138">
        <v>1996</v>
      </c>
      <c r="B138">
        <v>1</v>
      </c>
      <c r="C138" t="s">
        <v>1506</v>
      </c>
      <c r="D138">
        <v>1</v>
      </c>
      <c r="E138" t="s">
        <v>1507</v>
      </c>
      <c r="F138" t="s">
        <v>1115</v>
      </c>
      <c r="G138">
        <v>20</v>
      </c>
      <c r="H138">
        <v>498</v>
      </c>
      <c r="I138">
        <v>10876.65</v>
      </c>
    </row>
    <row r="139" spans="1:9">
      <c r="A139">
        <v>1996</v>
      </c>
      <c r="B139">
        <v>1</v>
      </c>
      <c r="C139" t="s">
        <v>1506</v>
      </c>
      <c r="D139">
        <v>1</v>
      </c>
      <c r="E139" t="s">
        <v>1507</v>
      </c>
      <c r="F139" t="s">
        <v>1117</v>
      </c>
      <c r="G139">
        <v>9</v>
      </c>
      <c r="H139">
        <v>257</v>
      </c>
      <c r="I139">
        <v>5824.2</v>
      </c>
    </row>
    <row r="140" spans="1:9">
      <c r="A140">
        <v>1996</v>
      </c>
      <c r="B140">
        <v>1</v>
      </c>
      <c r="C140" t="s">
        <v>1506</v>
      </c>
      <c r="D140">
        <v>1</v>
      </c>
      <c r="E140" t="s">
        <v>1507</v>
      </c>
      <c r="F140" t="s">
        <v>1119</v>
      </c>
      <c r="G140">
        <v>16</v>
      </c>
      <c r="H140">
        <v>471</v>
      </c>
      <c r="I140">
        <v>8778.15</v>
      </c>
    </row>
    <row r="141" spans="1:9">
      <c r="A141">
        <v>1996</v>
      </c>
      <c r="B141">
        <v>1</v>
      </c>
      <c r="C141" t="s">
        <v>1506</v>
      </c>
      <c r="D141">
        <v>1</v>
      </c>
      <c r="E141" t="s">
        <v>1507</v>
      </c>
      <c r="F141" t="s">
        <v>1121</v>
      </c>
      <c r="G141">
        <v>16</v>
      </c>
      <c r="H141">
        <v>406</v>
      </c>
      <c r="I141">
        <v>9844.85</v>
      </c>
    </row>
    <row r="142" spans="1:9">
      <c r="A142">
        <v>1996</v>
      </c>
      <c r="B142">
        <v>1</v>
      </c>
      <c r="C142" t="s">
        <v>1506</v>
      </c>
      <c r="D142">
        <v>1</v>
      </c>
      <c r="E142" t="s">
        <v>1507</v>
      </c>
      <c r="F142" t="s">
        <v>1123</v>
      </c>
      <c r="G142">
        <v>11</v>
      </c>
      <c r="H142">
        <v>202</v>
      </c>
      <c r="I142">
        <v>5242.3500000000004</v>
      </c>
    </row>
    <row r="143" spans="1:9">
      <c r="A143">
        <v>1996</v>
      </c>
      <c r="B143">
        <v>1</v>
      </c>
      <c r="C143" t="s">
        <v>1506</v>
      </c>
      <c r="D143">
        <v>1</v>
      </c>
      <c r="E143" t="s">
        <v>1507</v>
      </c>
      <c r="F143" t="s">
        <v>1125</v>
      </c>
      <c r="G143">
        <v>11</v>
      </c>
      <c r="H143">
        <v>259</v>
      </c>
      <c r="I143">
        <v>12767.16</v>
      </c>
    </row>
    <row r="144" spans="1:9">
      <c r="A144">
        <v>1996</v>
      </c>
      <c r="B144">
        <v>1</v>
      </c>
      <c r="C144" t="s">
        <v>1506</v>
      </c>
      <c r="D144">
        <v>1</v>
      </c>
      <c r="E144" t="s">
        <v>1507</v>
      </c>
      <c r="F144" t="s">
        <v>1127</v>
      </c>
      <c r="G144">
        <v>10</v>
      </c>
      <c r="H144">
        <v>315</v>
      </c>
      <c r="I144">
        <v>12157.9</v>
      </c>
    </row>
    <row r="145" spans="1:9">
      <c r="A145">
        <v>1996</v>
      </c>
      <c r="B145">
        <v>1</v>
      </c>
      <c r="C145" t="s">
        <v>1506</v>
      </c>
      <c r="D145">
        <v>1</v>
      </c>
      <c r="E145" t="s">
        <v>1507</v>
      </c>
      <c r="F145" t="s">
        <v>1129</v>
      </c>
      <c r="G145">
        <v>14</v>
      </c>
      <c r="H145">
        <v>274</v>
      </c>
      <c r="I145">
        <v>5907.17</v>
      </c>
    </row>
    <row r="146" spans="1:9">
      <c r="A146">
        <v>1996</v>
      </c>
      <c r="B146">
        <v>2</v>
      </c>
      <c r="C146" t="s">
        <v>1508</v>
      </c>
      <c r="D146">
        <v>1</v>
      </c>
      <c r="E146" t="s">
        <v>1507</v>
      </c>
      <c r="F146" t="s">
        <v>1115</v>
      </c>
      <c r="G146">
        <v>30</v>
      </c>
      <c r="H146">
        <v>622</v>
      </c>
      <c r="I146">
        <v>27245.4</v>
      </c>
    </row>
    <row r="147" spans="1:9">
      <c r="A147">
        <v>1996</v>
      </c>
      <c r="B147">
        <v>2</v>
      </c>
      <c r="C147" t="s">
        <v>1508</v>
      </c>
      <c r="D147">
        <v>1</v>
      </c>
      <c r="E147" t="s">
        <v>1507</v>
      </c>
      <c r="F147" t="s">
        <v>1117</v>
      </c>
      <c r="G147">
        <v>13</v>
      </c>
      <c r="H147">
        <v>269</v>
      </c>
      <c r="I147">
        <v>4737.8999999999996</v>
      </c>
    </row>
    <row r="148" spans="1:9">
      <c r="A148">
        <v>1996</v>
      </c>
      <c r="B148">
        <v>2</v>
      </c>
      <c r="C148" t="s">
        <v>1508</v>
      </c>
      <c r="D148">
        <v>1</v>
      </c>
      <c r="E148" t="s">
        <v>1507</v>
      </c>
      <c r="F148" t="s">
        <v>1119</v>
      </c>
      <c r="G148">
        <v>22</v>
      </c>
      <c r="H148">
        <v>440</v>
      </c>
      <c r="I148">
        <v>10834.53</v>
      </c>
    </row>
    <row r="149" spans="1:9">
      <c r="A149">
        <v>1996</v>
      </c>
      <c r="B149">
        <v>2</v>
      </c>
      <c r="C149" t="s">
        <v>1508</v>
      </c>
      <c r="D149">
        <v>1</v>
      </c>
      <c r="E149" t="s">
        <v>1507</v>
      </c>
      <c r="F149" t="s">
        <v>1121</v>
      </c>
      <c r="G149">
        <v>17</v>
      </c>
      <c r="H149">
        <v>562</v>
      </c>
      <c r="I149">
        <v>17691.349999999999</v>
      </c>
    </row>
    <row r="150" spans="1:9">
      <c r="A150">
        <v>1996</v>
      </c>
      <c r="B150">
        <v>2</v>
      </c>
      <c r="C150" t="s">
        <v>1508</v>
      </c>
      <c r="D150">
        <v>1</v>
      </c>
      <c r="E150" t="s">
        <v>1507</v>
      </c>
      <c r="F150" t="s">
        <v>1123</v>
      </c>
      <c r="G150">
        <v>15</v>
      </c>
      <c r="H150">
        <v>536</v>
      </c>
      <c r="I150">
        <v>12022.82</v>
      </c>
    </row>
    <row r="151" spans="1:9">
      <c r="A151">
        <v>1996</v>
      </c>
      <c r="B151">
        <v>2</v>
      </c>
      <c r="C151" t="s">
        <v>1508</v>
      </c>
      <c r="D151">
        <v>1</v>
      </c>
      <c r="E151" t="s">
        <v>1507</v>
      </c>
      <c r="F151" t="s">
        <v>1125</v>
      </c>
      <c r="G151">
        <v>7</v>
      </c>
      <c r="H151">
        <v>91</v>
      </c>
      <c r="I151">
        <v>3511.47</v>
      </c>
    </row>
    <row r="152" spans="1:9">
      <c r="A152">
        <v>1996</v>
      </c>
      <c r="B152">
        <v>2</v>
      </c>
      <c r="C152" t="s">
        <v>1508</v>
      </c>
      <c r="D152">
        <v>1</v>
      </c>
      <c r="E152" t="s">
        <v>1507</v>
      </c>
      <c r="F152" t="s">
        <v>1127</v>
      </c>
      <c r="G152">
        <v>6</v>
      </c>
      <c r="H152">
        <v>58</v>
      </c>
      <c r="I152">
        <v>1526</v>
      </c>
    </row>
    <row r="153" spans="1:9">
      <c r="A153">
        <v>1996</v>
      </c>
      <c r="B153">
        <v>2</v>
      </c>
      <c r="C153" t="s">
        <v>1508</v>
      </c>
      <c r="D153">
        <v>1</v>
      </c>
      <c r="E153" t="s">
        <v>1507</v>
      </c>
      <c r="F153" t="s">
        <v>1129</v>
      </c>
      <c r="G153">
        <v>19</v>
      </c>
      <c r="H153">
        <v>715</v>
      </c>
      <c r="I153">
        <v>12548.23</v>
      </c>
    </row>
    <row r="154" spans="1:9">
      <c r="A154">
        <v>1996</v>
      </c>
      <c r="B154">
        <v>3</v>
      </c>
      <c r="C154" t="s">
        <v>1509</v>
      </c>
      <c r="D154">
        <v>1</v>
      </c>
      <c r="E154" t="s">
        <v>1507</v>
      </c>
      <c r="F154" t="s">
        <v>1115</v>
      </c>
      <c r="G154">
        <v>22</v>
      </c>
      <c r="H154">
        <v>834</v>
      </c>
      <c r="I154">
        <v>34599.15</v>
      </c>
    </row>
    <row r="155" spans="1:9">
      <c r="A155">
        <v>1996</v>
      </c>
      <c r="B155">
        <v>3</v>
      </c>
      <c r="C155" t="s">
        <v>1509</v>
      </c>
      <c r="D155">
        <v>1</v>
      </c>
      <c r="E155" t="s">
        <v>1507</v>
      </c>
      <c r="F155" t="s">
        <v>1117</v>
      </c>
      <c r="G155">
        <v>12</v>
      </c>
      <c r="H155">
        <v>289</v>
      </c>
      <c r="I155">
        <v>6293.97</v>
      </c>
    </row>
    <row r="156" spans="1:9">
      <c r="A156">
        <v>1996</v>
      </c>
      <c r="B156">
        <v>3</v>
      </c>
      <c r="C156" t="s">
        <v>1509</v>
      </c>
      <c r="D156">
        <v>1</v>
      </c>
      <c r="E156" t="s">
        <v>1507</v>
      </c>
      <c r="F156" t="s">
        <v>1119</v>
      </c>
      <c r="G156">
        <v>19</v>
      </c>
      <c r="H156">
        <v>475</v>
      </c>
      <c r="I156">
        <v>10074.08</v>
      </c>
    </row>
    <row r="157" spans="1:9">
      <c r="A157">
        <v>1996</v>
      </c>
      <c r="B157">
        <v>3</v>
      </c>
      <c r="C157" t="s">
        <v>1509</v>
      </c>
      <c r="D157">
        <v>1</v>
      </c>
      <c r="E157" t="s">
        <v>1507</v>
      </c>
      <c r="F157" t="s">
        <v>1121</v>
      </c>
      <c r="G157">
        <v>14</v>
      </c>
      <c r="H157">
        <v>506</v>
      </c>
      <c r="I157">
        <v>11454.5</v>
      </c>
    </row>
    <row r="158" spans="1:9">
      <c r="A158">
        <v>1996</v>
      </c>
      <c r="B158">
        <v>3</v>
      </c>
      <c r="C158" t="s">
        <v>1509</v>
      </c>
      <c r="D158">
        <v>1</v>
      </c>
      <c r="E158" t="s">
        <v>1507</v>
      </c>
      <c r="F158" t="s">
        <v>1123</v>
      </c>
      <c r="G158">
        <v>10</v>
      </c>
      <c r="H158">
        <v>219</v>
      </c>
      <c r="I158">
        <v>4060.01</v>
      </c>
    </row>
    <row r="159" spans="1:9">
      <c r="A159">
        <v>1996</v>
      </c>
      <c r="B159">
        <v>3</v>
      </c>
      <c r="C159" t="s">
        <v>1509</v>
      </c>
      <c r="D159">
        <v>1</v>
      </c>
      <c r="E159" t="s">
        <v>1507</v>
      </c>
      <c r="F159" t="s">
        <v>1125</v>
      </c>
      <c r="G159">
        <v>12</v>
      </c>
      <c r="H159">
        <v>344</v>
      </c>
      <c r="I159">
        <v>23334.05</v>
      </c>
    </row>
    <row r="160" spans="1:9">
      <c r="A160">
        <v>1996</v>
      </c>
      <c r="B160">
        <v>3</v>
      </c>
      <c r="C160" t="s">
        <v>1509</v>
      </c>
      <c r="D160">
        <v>1</v>
      </c>
      <c r="E160" t="s">
        <v>1507</v>
      </c>
      <c r="F160" t="s">
        <v>1127</v>
      </c>
      <c r="G160">
        <v>4</v>
      </c>
      <c r="H160">
        <v>37</v>
      </c>
      <c r="I160">
        <v>1172.8</v>
      </c>
    </row>
    <row r="161" spans="1:9">
      <c r="A161">
        <v>1996</v>
      </c>
      <c r="B161">
        <v>3</v>
      </c>
      <c r="C161" t="s">
        <v>1509</v>
      </c>
      <c r="D161">
        <v>1</v>
      </c>
      <c r="E161" t="s">
        <v>1507</v>
      </c>
      <c r="F161" t="s">
        <v>1129</v>
      </c>
      <c r="G161">
        <v>22</v>
      </c>
      <c r="H161">
        <v>584</v>
      </c>
      <c r="I161">
        <v>12531.12</v>
      </c>
    </row>
    <row r="162" spans="1:9">
      <c r="A162">
        <v>1996</v>
      </c>
      <c r="B162">
        <v>4</v>
      </c>
      <c r="C162" t="s">
        <v>1510</v>
      </c>
      <c r="D162">
        <v>2</v>
      </c>
      <c r="E162" t="s">
        <v>1511</v>
      </c>
      <c r="F162" t="s">
        <v>1115</v>
      </c>
      <c r="G162">
        <v>33</v>
      </c>
      <c r="H162">
        <v>925</v>
      </c>
      <c r="I162">
        <v>27761.58</v>
      </c>
    </row>
    <row r="163" spans="1:9">
      <c r="A163">
        <v>1996</v>
      </c>
      <c r="B163">
        <v>4</v>
      </c>
      <c r="C163" t="s">
        <v>1510</v>
      </c>
      <c r="D163">
        <v>2</v>
      </c>
      <c r="E163" t="s">
        <v>1511</v>
      </c>
      <c r="F163" t="s">
        <v>1117</v>
      </c>
      <c r="G163">
        <v>17</v>
      </c>
      <c r="H163">
        <v>378</v>
      </c>
      <c r="I163">
        <v>10773.27</v>
      </c>
    </row>
    <row r="164" spans="1:9">
      <c r="A164">
        <v>1996</v>
      </c>
      <c r="B164">
        <v>4</v>
      </c>
      <c r="C164" t="s">
        <v>1510</v>
      </c>
      <c r="D164">
        <v>2</v>
      </c>
      <c r="E164" t="s">
        <v>1511</v>
      </c>
      <c r="F164" t="s">
        <v>1119</v>
      </c>
      <c r="G164">
        <v>25</v>
      </c>
      <c r="H164">
        <v>880</v>
      </c>
      <c r="I164">
        <v>22877.18</v>
      </c>
    </row>
    <row r="165" spans="1:9">
      <c r="A165">
        <v>1996</v>
      </c>
      <c r="B165">
        <v>4</v>
      </c>
      <c r="C165" t="s">
        <v>1510</v>
      </c>
      <c r="D165">
        <v>2</v>
      </c>
      <c r="E165" t="s">
        <v>1511</v>
      </c>
      <c r="F165" t="s">
        <v>1121</v>
      </c>
      <c r="G165">
        <v>23</v>
      </c>
      <c r="H165">
        <v>581</v>
      </c>
      <c r="I165">
        <v>13685.32</v>
      </c>
    </row>
    <row r="166" spans="1:9">
      <c r="A166">
        <v>1996</v>
      </c>
      <c r="B166">
        <v>4</v>
      </c>
      <c r="C166" t="s">
        <v>1510</v>
      </c>
      <c r="D166">
        <v>2</v>
      </c>
      <c r="E166" t="s">
        <v>1511</v>
      </c>
      <c r="F166" t="s">
        <v>1123</v>
      </c>
      <c r="G166">
        <v>13</v>
      </c>
      <c r="H166">
        <v>189</v>
      </c>
      <c r="I166">
        <v>3325.4</v>
      </c>
    </row>
    <row r="167" spans="1:9">
      <c r="A167">
        <v>1996</v>
      </c>
      <c r="B167">
        <v>4</v>
      </c>
      <c r="C167" t="s">
        <v>1510</v>
      </c>
      <c r="D167">
        <v>2</v>
      </c>
      <c r="E167" t="s">
        <v>1511</v>
      </c>
      <c r="F167" t="s">
        <v>1125</v>
      </c>
      <c r="G167">
        <v>8</v>
      </c>
      <c r="H167">
        <v>92</v>
      </c>
      <c r="I167">
        <v>4083.66</v>
      </c>
    </row>
    <row r="168" spans="1:9">
      <c r="A168">
        <v>1996</v>
      </c>
      <c r="B168">
        <v>4</v>
      </c>
      <c r="C168" t="s">
        <v>1510</v>
      </c>
      <c r="D168">
        <v>2</v>
      </c>
      <c r="E168" t="s">
        <v>1511</v>
      </c>
      <c r="F168" t="s">
        <v>1127</v>
      </c>
      <c r="G168">
        <v>15</v>
      </c>
      <c r="H168">
        <v>351</v>
      </c>
      <c r="I168">
        <v>13031.2</v>
      </c>
    </row>
    <row r="169" spans="1:9">
      <c r="A169">
        <v>1996</v>
      </c>
      <c r="B169">
        <v>4</v>
      </c>
      <c r="C169" t="s">
        <v>1510</v>
      </c>
      <c r="D169">
        <v>2</v>
      </c>
      <c r="E169" t="s">
        <v>1511</v>
      </c>
      <c r="F169" t="s">
        <v>1129</v>
      </c>
      <c r="G169">
        <v>29</v>
      </c>
      <c r="H169">
        <v>669</v>
      </c>
      <c r="I169">
        <v>9316.5400000000009</v>
      </c>
    </row>
    <row r="170" spans="1:9">
      <c r="A170">
        <v>1996</v>
      </c>
      <c r="B170">
        <v>5</v>
      </c>
      <c r="C170" t="s">
        <v>1512</v>
      </c>
      <c r="D170">
        <v>2</v>
      </c>
      <c r="E170" t="s">
        <v>1511</v>
      </c>
      <c r="F170" t="s">
        <v>1115</v>
      </c>
      <c r="G170">
        <v>9</v>
      </c>
      <c r="H170">
        <v>327</v>
      </c>
      <c r="I170">
        <v>3987.25</v>
      </c>
    </row>
    <row r="171" spans="1:9">
      <c r="A171">
        <v>1996</v>
      </c>
      <c r="B171">
        <v>5</v>
      </c>
      <c r="C171" t="s">
        <v>1512</v>
      </c>
      <c r="D171">
        <v>2</v>
      </c>
      <c r="E171" t="s">
        <v>1511</v>
      </c>
      <c r="F171" t="s">
        <v>1117</v>
      </c>
      <c r="G171">
        <v>5</v>
      </c>
      <c r="H171">
        <v>179</v>
      </c>
      <c r="I171">
        <v>4060.2</v>
      </c>
    </row>
    <row r="172" spans="1:9">
      <c r="A172">
        <v>1996</v>
      </c>
      <c r="B172">
        <v>5</v>
      </c>
      <c r="C172" t="s">
        <v>1512</v>
      </c>
      <c r="D172">
        <v>2</v>
      </c>
      <c r="E172" t="s">
        <v>1511</v>
      </c>
      <c r="F172" t="s">
        <v>1119</v>
      </c>
      <c r="G172">
        <v>2</v>
      </c>
      <c r="H172">
        <v>71</v>
      </c>
      <c r="I172">
        <v>837.38</v>
      </c>
    </row>
    <row r="173" spans="1:9">
      <c r="A173">
        <v>1996</v>
      </c>
      <c r="B173">
        <v>5</v>
      </c>
      <c r="C173" t="s">
        <v>1512</v>
      </c>
      <c r="D173">
        <v>2</v>
      </c>
      <c r="E173" t="s">
        <v>1511</v>
      </c>
      <c r="F173" t="s">
        <v>1121</v>
      </c>
      <c r="G173">
        <v>5</v>
      </c>
      <c r="H173">
        <v>84</v>
      </c>
      <c r="I173">
        <v>3296.1</v>
      </c>
    </row>
    <row r="174" spans="1:9">
      <c r="A174">
        <v>1996</v>
      </c>
      <c r="B174">
        <v>5</v>
      </c>
      <c r="C174" t="s">
        <v>1512</v>
      </c>
      <c r="D174">
        <v>2</v>
      </c>
      <c r="E174" t="s">
        <v>1511</v>
      </c>
      <c r="F174" t="s">
        <v>1123</v>
      </c>
      <c r="G174">
        <v>6</v>
      </c>
      <c r="H174">
        <v>133</v>
      </c>
      <c r="I174">
        <v>1741.6</v>
      </c>
    </row>
    <row r="175" spans="1:9">
      <c r="A175">
        <v>1996</v>
      </c>
      <c r="B175">
        <v>5</v>
      </c>
      <c r="C175" t="s">
        <v>1512</v>
      </c>
      <c r="D175">
        <v>2</v>
      </c>
      <c r="E175" t="s">
        <v>1511</v>
      </c>
      <c r="F175" t="s">
        <v>1125</v>
      </c>
      <c r="G175">
        <v>6</v>
      </c>
      <c r="H175">
        <v>173</v>
      </c>
      <c r="I175">
        <v>8495.7099999999991</v>
      </c>
    </row>
    <row r="176" spans="1:9">
      <c r="A176">
        <v>1996</v>
      </c>
      <c r="B176">
        <v>5</v>
      </c>
      <c r="C176" t="s">
        <v>1512</v>
      </c>
      <c r="D176">
        <v>2</v>
      </c>
      <c r="E176" t="s">
        <v>1511</v>
      </c>
      <c r="F176" t="s">
        <v>1127</v>
      </c>
      <c r="G176">
        <v>4</v>
      </c>
      <c r="H176">
        <v>115</v>
      </c>
      <c r="I176">
        <v>3815.25</v>
      </c>
    </row>
    <row r="177" spans="1:9">
      <c r="A177">
        <v>1996</v>
      </c>
      <c r="B177">
        <v>5</v>
      </c>
      <c r="C177" t="s">
        <v>1512</v>
      </c>
      <c r="D177">
        <v>2</v>
      </c>
      <c r="E177" t="s">
        <v>1511</v>
      </c>
      <c r="F177" t="s">
        <v>1129</v>
      </c>
      <c r="G177">
        <v>6</v>
      </c>
      <c r="H177">
        <v>166</v>
      </c>
      <c r="I177">
        <v>1436.66</v>
      </c>
    </row>
  </sheetData>
  <pageMargins left="0.7" right="0.7" top="0.75" bottom="0.75" header="0.3" footer="0.3"/>
  <tableParts count="1">
    <tablePart r:id="rId1"/>
  </tableParts>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79C495-54F6-7644-8859-C334BB910983}">
  <dimension ref="A1:H55"/>
  <sheetViews>
    <sheetView showGridLines="0" zoomScale="83" workbookViewId="0">
      <selection activeCell="E70" sqref="E70"/>
    </sheetView>
  </sheetViews>
  <sheetFormatPr baseColWidth="10" defaultRowHeight="13"/>
  <cols>
    <col min="2" max="2" width="12.5" bestFit="1" customWidth="1"/>
    <col min="3" max="3" width="16.5" bestFit="1" customWidth="1"/>
    <col min="4" max="5" width="17.83203125" bestFit="1" customWidth="1"/>
    <col min="6" max="6" width="13" bestFit="1" customWidth="1"/>
    <col min="7" max="7" width="16.6640625" bestFit="1" customWidth="1"/>
    <col min="8" max="8" width="15.33203125" bestFit="1" customWidth="1"/>
    <col min="9" max="9" width="4.83203125" bestFit="1" customWidth="1"/>
    <col min="10" max="10" width="6.33203125" bestFit="1" customWidth="1"/>
    <col min="11" max="11" width="14.83203125" bestFit="1" customWidth="1"/>
    <col min="12" max="12" width="26" bestFit="1" customWidth="1"/>
    <col min="13" max="13" width="21.1640625" bestFit="1" customWidth="1"/>
    <col min="14" max="14" width="9.83203125" bestFit="1" customWidth="1"/>
    <col min="15" max="15" width="21.6640625" bestFit="1" customWidth="1"/>
    <col min="16" max="16" width="7.5" bestFit="1" customWidth="1"/>
    <col min="17" max="17" width="11.6640625" bestFit="1" customWidth="1"/>
    <col min="18" max="18" width="7" bestFit="1" customWidth="1"/>
    <col min="19" max="19" width="13.1640625" bestFit="1" customWidth="1"/>
    <col min="20" max="20" width="20.33203125" bestFit="1" customWidth="1"/>
    <col min="21" max="21" width="16" bestFit="1" customWidth="1"/>
    <col min="22" max="22" width="27.83203125" bestFit="1" customWidth="1"/>
    <col min="23" max="23" width="10.1640625" bestFit="1" customWidth="1"/>
    <col min="24" max="24" width="18.5" bestFit="1" customWidth="1"/>
    <col min="25" max="25" width="16.33203125" bestFit="1" customWidth="1"/>
    <col min="26" max="26" width="12.33203125" bestFit="1" customWidth="1"/>
    <col min="27" max="27" width="23" bestFit="1" customWidth="1"/>
    <col min="28" max="28" width="20.33203125" bestFit="1" customWidth="1"/>
    <col min="29" max="29" width="5.33203125" bestFit="1" customWidth="1"/>
    <col min="30" max="30" width="9.33203125" bestFit="1" customWidth="1"/>
    <col min="31" max="31" width="10.33203125" bestFit="1" customWidth="1"/>
    <col min="32" max="32" width="30.5" bestFit="1" customWidth="1"/>
    <col min="33" max="33" width="6.33203125" bestFit="1" customWidth="1"/>
    <col min="34" max="34" width="13.1640625" bestFit="1" customWidth="1"/>
    <col min="35" max="35" width="24.33203125" bestFit="1" customWidth="1"/>
    <col min="36" max="36" width="11.6640625" bestFit="1" customWidth="1"/>
    <col min="37" max="37" width="29.5" bestFit="1" customWidth="1"/>
    <col min="38" max="38" width="23.33203125" bestFit="1" customWidth="1"/>
    <col min="39" max="39" width="20.1640625" bestFit="1" customWidth="1"/>
    <col min="40" max="40" width="17.33203125" bestFit="1" customWidth="1"/>
    <col min="41" max="41" width="8.5" bestFit="1" customWidth="1"/>
    <col min="42" max="42" width="14.33203125" bestFit="1" customWidth="1"/>
    <col min="43" max="43" width="19.83203125" bestFit="1" customWidth="1"/>
    <col min="44" max="44" width="19.5" bestFit="1" customWidth="1"/>
    <col min="45" max="45" width="25.5" bestFit="1" customWidth="1"/>
    <col min="46" max="46" width="25.1640625" bestFit="1" customWidth="1"/>
    <col min="47" max="47" width="29.83203125" bestFit="1" customWidth="1"/>
    <col min="48" max="48" width="13.1640625" bestFit="1" customWidth="1"/>
    <col min="49" max="49" width="13.6640625" bestFit="1" customWidth="1"/>
    <col min="50" max="50" width="7.83203125" bestFit="1" customWidth="1"/>
    <col min="51" max="51" width="12.1640625" bestFit="1" customWidth="1"/>
    <col min="52" max="52" width="14.33203125" bestFit="1" customWidth="1"/>
    <col min="53" max="53" width="25" bestFit="1" customWidth="1"/>
    <col min="54" max="54" width="11" bestFit="1" customWidth="1"/>
    <col min="55" max="55" width="17" bestFit="1" customWidth="1"/>
    <col min="56" max="56" width="11.33203125" bestFit="1" customWidth="1"/>
    <col min="57" max="57" width="18.33203125" bestFit="1" customWidth="1"/>
    <col min="58" max="58" width="13" bestFit="1" customWidth="1"/>
    <col min="59" max="59" width="20.83203125" bestFit="1" customWidth="1"/>
    <col min="60" max="60" width="13" bestFit="1" customWidth="1"/>
    <col min="61" max="62" width="18.1640625" bestFit="1" customWidth="1"/>
    <col min="63" max="63" width="27.6640625" bestFit="1" customWidth="1"/>
    <col min="64" max="64" width="21.1640625" bestFit="1" customWidth="1"/>
    <col min="65" max="65" width="18.33203125" bestFit="1" customWidth="1"/>
    <col min="66" max="66" width="13.6640625" bestFit="1" customWidth="1"/>
    <col min="67" max="67" width="9.33203125" bestFit="1" customWidth="1"/>
    <col min="68" max="69" width="13" bestFit="1" customWidth="1"/>
    <col min="70" max="70" width="23.83203125" bestFit="1" customWidth="1"/>
    <col min="71" max="71" width="22.6640625" bestFit="1" customWidth="1"/>
    <col min="72" max="72" width="6.1640625" bestFit="1" customWidth="1"/>
    <col min="73" max="73" width="9.1640625" bestFit="1" customWidth="1"/>
    <col min="74" max="74" width="10" bestFit="1" customWidth="1"/>
    <col min="75" max="75" width="28.5" bestFit="1" customWidth="1"/>
    <col min="76" max="76" width="15.33203125" bestFit="1" customWidth="1"/>
    <col min="77" max="77" width="12" bestFit="1" customWidth="1"/>
    <col min="78" max="78" width="26.33203125" bestFit="1" customWidth="1"/>
    <col min="79" max="79" width="13.6640625" bestFit="1" customWidth="1"/>
    <col min="80" max="80" width="18.5" bestFit="1" customWidth="1"/>
    <col min="81" max="81" width="13.1640625" bestFit="1" customWidth="1"/>
    <col min="82" max="82" width="15.5" bestFit="1" customWidth="1"/>
    <col min="83" max="83" width="13" bestFit="1" customWidth="1"/>
    <col min="84" max="84" width="16.6640625" bestFit="1" customWidth="1"/>
    <col min="85" max="85" width="15.33203125" bestFit="1" customWidth="1"/>
    <col min="86" max="86" width="4.83203125" bestFit="1" customWidth="1"/>
    <col min="87" max="87" width="6.33203125" bestFit="1" customWidth="1"/>
    <col min="88" max="88" width="14.83203125" bestFit="1" customWidth="1"/>
    <col min="89" max="89" width="26" bestFit="1" customWidth="1"/>
    <col min="90" max="90" width="21.1640625" bestFit="1" customWidth="1"/>
    <col min="91" max="91" width="9.83203125" bestFit="1" customWidth="1"/>
    <col min="92" max="92" width="21.6640625" bestFit="1" customWidth="1"/>
    <col min="93" max="93" width="7.5" bestFit="1" customWidth="1"/>
    <col min="94" max="94" width="11.6640625" bestFit="1" customWidth="1"/>
    <col min="95" max="95" width="7" bestFit="1" customWidth="1"/>
    <col min="96" max="96" width="13.1640625" bestFit="1" customWidth="1"/>
    <col min="97" max="97" width="20.33203125" bestFit="1" customWidth="1"/>
    <col min="98" max="98" width="16" bestFit="1" customWidth="1"/>
    <col min="99" max="99" width="27.83203125" bestFit="1" customWidth="1"/>
    <col min="100" max="100" width="10.1640625" bestFit="1" customWidth="1"/>
    <col min="101" max="101" width="18.5" bestFit="1" customWidth="1"/>
    <col min="102" max="102" width="16.33203125" bestFit="1" customWidth="1"/>
    <col min="103" max="103" width="12.33203125" bestFit="1" customWidth="1"/>
    <col min="104" max="104" width="23" bestFit="1" customWidth="1"/>
    <col min="105" max="105" width="20.33203125" bestFit="1" customWidth="1"/>
    <col min="106" max="106" width="5.33203125" bestFit="1" customWidth="1"/>
    <col min="107" max="107" width="9.33203125" bestFit="1" customWidth="1"/>
    <col min="108" max="108" width="10.33203125" bestFit="1" customWidth="1"/>
    <col min="109" max="109" width="30.5" bestFit="1" customWidth="1"/>
    <col min="110" max="110" width="6.33203125" bestFit="1" customWidth="1"/>
    <col min="111" max="111" width="13.1640625" bestFit="1" customWidth="1"/>
    <col min="112" max="112" width="24.33203125" bestFit="1" customWidth="1"/>
    <col min="113" max="113" width="11.6640625" bestFit="1" customWidth="1"/>
    <col min="114" max="114" width="29.5" bestFit="1" customWidth="1"/>
    <col min="115" max="115" width="23.33203125" bestFit="1" customWidth="1"/>
    <col min="116" max="116" width="20.1640625" bestFit="1" customWidth="1"/>
    <col min="117" max="117" width="17.33203125" bestFit="1" customWidth="1"/>
    <col min="118" max="118" width="8.5" bestFit="1" customWidth="1"/>
    <col min="119" max="119" width="14.33203125" bestFit="1" customWidth="1"/>
    <col min="120" max="120" width="19.83203125" bestFit="1" customWidth="1"/>
    <col min="121" max="121" width="19.5" bestFit="1" customWidth="1"/>
    <col min="122" max="122" width="25.5" bestFit="1" customWidth="1"/>
    <col min="123" max="123" width="25.1640625" bestFit="1" customWidth="1"/>
    <col min="124" max="124" width="29.83203125" bestFit="1" customWidth="1"/>
    <col min="125" max="125" width="13.1640625" bestFit="1" customWidth="1"/>
    <col min="126" max="126" width="13.6640625" bestFit="1" customWidth="1"/>
    <col min="127" max="127" width="7.83203125" bestFit="1" customWidth="1"/>
    <col min="128" max="128" width="12.1640625" bestFit="1" customWidth="1"/>
    <col min="129" max="129" width="14.33203125" bestFit="1" customWidth="1"/>
    <col min="130" max="130" width="25" bestFit="1" customWidth="1"/>
    <col min="131" max="131" width="11" bestFit="1" customWidth="1"/>
    <col min="132" max="132" width="17" bestFit="1" customWidth="1"/>
    <col min="133" max="133" width="11.33203125" bestFit="1" customWidth="1"/>
    <col min="134" max="134" width="18.33203125" bestFit="1" customWidth="1"/>
    <col min="135" max="135" width="13" bestFit="1" customWidth="1"/>
    <col min="136" max="136" width="20.83203125" bestFit="1" customWidth="1"/>
    <col min="137" max="137" width="13" bestFit="1" customWidth="1"/>
    <col min="138" max="139" width="18.1640625" bestFit="1" customWidth="1"/>
    <col min="140" max="140" width="27.6640625" bestFit="1" customWidth="1"/>
    <col min="141" max="141" width="21.1640625" bestFit="1" customWidth="1"/>
    <col min="142" max="142" width="18.33203125" bestFit="1" customWidth="1"/>
    <col min="143" max="143" width="13.6640625" bestFit="1" customWidth="1"/>
    <col min="144" max="144" width="9.33203125" bestFit="1" customWidth="1"/>
    <col min="145" max="146" width="13" bestFit="1" customWidth="1"/>
    <col min="147" max="147" width="23.83203125" bestFit="1" customWidth="1"/>
    <col min="148" max="148" width="22.6640625" bestFit="1" customWidth="1"/>
    <col min="149" max="149" width="4.6640625" bestFit="1" customWidth="1"/>
    <col min="150" max="150" width="9.1640625" bestFit="1" customWidth="1"/>
    <col min="151" max="151" width="10" bestFit="1" customWidth="1"/>
    <col min="152" max="152" width="28.5" bestFit="1" customWidth="1"/>
    <col min="153" max="153" width="15.33203125" bestFit="1" customWidth="1"/>
    <col min="154" max="154" width="12" bestFit="1" customWidth="1"/>
    <col min="155" max="155" width="26.33203125" bestFit="1" customWidth="1"/>
    <col min="156" max="156" width="13.6640625" bestFit="1" customWidth="1"/>
    <col min="157" max="157" width="17.83203125" bestFit="1" customWidth="1"/>
    <col min="158" max="158" width="13.1640625" bestFit="1" customWidth="1"/>
    <col min="159" max="159" width="15.5" bestFit="1" customWidth="1"/>
    <col min="160" max="160" width="13" bestFit="1" customWidth="1"/>
    <col min="161" max="161" width="16.6640625" bestFit="1" customWidth="1"/>
    <col min="162" max="162" width="15.33203125" bestFit="1" customWidth="1"/>
    <col min="163" max="163" width="4.83203125" bestFit="1" customWidth="1"/>
    <col min="164" max="164" width="6.33203125" bestFit="1" customWidth="1"/>
    <col min="165" max="165" width="14.83203125" bestFit="1" customWidth="1"/>
    <col min="166" max="166" width="26" bestFit="1" customWidth="1"/>
    <col min="167" max="167" width="21.1640625" bestFit="1" customWidth="1"/>
    <col min="168" max="168" width="9.83203125" bestFit="1" customWidth="1"/>
    <col min="169" max="169" width="21.6640625" bestFit="1" customWidth="1"/>
    <col min="170" max="170" width="7.5" bestFit="1" customWidth="1"/>
    <col min="171" max="171" width="11.6640625" bestFit="1" customWidth="1"/>
    <col min="172" max="172" width="7" bestFit="1" customWidth="1"/>
    <col min="173" max="173" width="13.1640625" bestFit="1" customWidth="1"/>
    <col min="174" max="174" width="20.33203125" bestFit="1" customWidth="1"/>
    <col min="175" max="175" width="16" bestFit="1" customWidth="1"/>
    <col min="176" max="176" width="27.83203125" bestFit="1" customWidth="1"/>
    <col min="177" max="177" width="10.1640625" bestFit="1" customWidth="1"/>
    <col min="178" max="178" width="18.5" bestFit="1" customWidth="1"/>
    <col min="179" max="179" width="16.33203125" bestFit="1" customWidth="1"/>
    <col min="180" max="180" width="12.33203125" bestFit="1" customWidth="1"/>
    <col min="181" max="181" width="23" bestFit="1" customWidth="1"/>
    <col min="182" max="182" width="20.33203125" bestFit="1" customWidth="1"/>
    <col min="183" max="183" width="5.33203125" bestFit="1" customWidth="1"/>
    <col min="184" max="184" width="9.33203125" bestFit="1" customWidth="1"/>
    <col min="185" max="185" width="10.33203125" bestFit="1" customWidth="1"/>
    <col min="186" max="186" width="30.5" bestFit="1" customWidth="1"/>
    <col min="187" max="187" width="6.33203125" bestFit="1" customWidth="1"/>
    <col min="188" max="188" width="13.1640625" bestFit="1" customWidth="1"/>
    <col min="189" max="189" width="24.33203125" bestFit="1" customWidth="1"/>
    <col min="190" max="190" width="11.6640625" bestFit="1" customWidth="1"/>
    <col min="191" max="191" width="29.5" bestFit="1" customWidth="1"/>
    <col min="192" max="192" width="23.33203125" bestFit="1" customWidth="1"/>
    <col min="193" max="193" width="20.1640625" bestFit="1" customWidth="1"/>
    <col min="194" max="194" width="17.33203125" bestFit="1" customWidth="1"/>
    <col min="195" max="195" width="8.5" bestFit="1" customWidth="1"/>
    <col min="196" max="196" width="14.33203125" bestFit="1" customWidth="1"/>
    <col min="197" max="197" width="19.83203125" bestFit="1" customWidth="1"/>
    <col min="198" max="198" width="19.5" bestFit="1" customWidth="1"/>
    <col min="199" max="199" width="25.5" bestFit="1" customWidth="1"/>
    <col min="200" max="200" width="25.1640625" bestFit="1" customWidth="1"/>
    <col min="201" max="201" width="29.83203125" bestFit="1" customWidth="1"/>
    <col min="202" max="202" width="13.1640625" bestFit="1" customWidth="1"/>
    <col min="203" max="203" width="13.6640625" bestFit="1" customWidth="1"/>
    <col min="204" max="204" width="7.83203125" bestFit="1" customWidth="1"/>
    <col min="205" max="205" width="12.1640625" bestFit="1" customWidth="1"/>
    <col min="206" max="206" width="14.33203125" bestFit="1" customWidth="1"/>
    <col min="207" max="207" width="25" bestFit="1" customWidth="1"/>
    <col min="208" max="208" width="11" bestFit="1" customWidth="1"/>
    <col min="209" max="209" width="17" bestFit="1" customWidth="1"/>
    <col min="210" max="210" width="11.33203125" bestFit="1" customWidth="1"/>
    <col min="211" max="211" width="18.33203125" bestFit="1" customWidth="1"/>
    <col min="212" max="212" width="13" bestFit="1" customWidth="1"/>
    <col min="213" max="213" width="20.83203125" bestFit="1" customWidth="1"/>
    <col min="214" max="214" width="13" bestFit="1" customWidth="1"/>
    <col min="215" max="216" width="18.1640625" bestFit="1" customWidth="1"/>
    <col min="217" max="217" width="27.6640625" bestFit="1" customWidth="1"/>
    <col min="218" max="218" width="21.1640625" bestFit="1" customWidth="1"/>
    <col min="219" max="219" width="18.33203125" bestFit="1" customWidth="1"/>
    <col min="220" max="220" width="13.6640625" bestFit="1" customWidth="1"/>
    <col min="221" max="221" width="9.33203125" bestFit="1" customWidth="1"/>
    <col min="222" max="223" width="13" bestFit="1" customWidth="1"/>
    <col min="224" max="224" width="23.83203125" bestFit="1" customWidth="1"/>
    <col min="225" max="225" width="22.6640625" bestFit="1" customWidth="1"/>
    <col min="226" max="226" width="4.6640625" bestFit="1" customWidth="1"/>
    <col min="227" max="227" width="9.1640625" bestFit="1" customWidth="1"/>
    <col min="228" max="228" width="10" bestFit="1" customWidth="1"/>
    <col min="229" max="229" width="28.5" bestFit="1" customWidth="1"/>
    <col min="230" max="230" width="15.33203125" bestFit="1" customWidth="1"/>
    <col min="231" max="231" width="12" bestFit="1" customWidth="1"/>
    <col min="232" max="232" width="26.33203125" bestFit="1" customWidth="1"/>
    <col min="233" max="233" width="13.6640625" bestFit="1" customWidth="1"/>
    <col min="234" max="234" width="19.6640625" bestFit="1" customWidth="1"/>
    <col min="235" max="235" width="23.1640625" bestFit="1" customWidth="1"/>
    <col min="236" max="236" width="22.5" bestFit="1" customWidth="1"/>
  </cols>
  <sheetData>
    <row r="1" spans="1:8" ht="22" thickBot="1">
      <c r="A1" s="19" t="s">
        <v>1612</v>
      </c>
      <c r="B1" s="20" t="s">
        <v>1597</v>
      </c>
      <c r="C1" s="21"/>
      <c r="D1" s="21"/>
      <c r="E1" s="21"/>
      <c r="F1" s="21"/>
      <c r="G1" s="21"/>
      <c r="H1" s="22"/>
    </row>
    <row r="3" spans="1:8">
      <c r="B3" s="12" t="s">
        <v>1627</v>
      </c>
      <c r="C3" t="s">
        <v>1654</v>
      </c>
      <c r="D3" t="s">
        <v>1655</v>
      </c>
    </row>
    <row r="4" spans="1:8">
      <c r="B4" s="13" t="s">
        <v>1115</v>
      </c>
      <c r="C4">
        <v>455.75</v>
      </c>
      <c r="D4">
        <v>559</v>
      </c>
    </row>
    <row r="5" spans="1:8">
      <c r="B5" s="13" t="s">
        <v>1117</v>
      </c>
      <c r="C5">
        <v>276.75</v>
      </c>
      <c r="D5">
        <v>507</v>
      </c>
    </row>
    <row r="6" spans="1:8">
      <c r="B6" s="13" t="s">
        <v>1119</v>
      </c>
      <c r="C6">
        <v>327.08</v>
      </c>
      <c r="D6">
        <v>386</v>
      </c>
    </row>
    <row r="7" spans="1:8">
      <c r="B7" s="13" t="s">
        <v>1121</v>
      </c>
      <c r="C7">
        <v>287.3</v>
      </c>
      <c r="D7">
        <v>393</v>
      </c>
    </row>
    <row r="8" spans="1:8">
      <c r="B8" s="13" t="s">
        <v>1123</v>
      </c>
      <c r="C8">
        <v>141.75</v>
      </c>
      <c r="D8">
        <v>308</v>
      </c>
    </row>
    <row r="9" spans="1:8">
      <c r="B9" s="13" t="s">
        <v>1125</v>
      </c>
      <c r="C9">
        <v>324.04000000000002</v>
      </c>
      <c r="D9">
        <v>165</v>
      </c>
    </row>
    <row r="10" spans="1:8">
      <c r="B10" s="13" t="s">
        <v>1127</v>
      </c>
      <c r="C10">
        <v>161.85</v>
      </c>
      <c r="D10">
        <v>100</v>
      </c>
    </row>
    <row r="11" spans="1:8">
      <c r="B11" s="13" t="s">
        <v>1129</v>
      </c>
      <c r="C11">
        <v>248.19000000000003</v>
      </c>
      <c r="D11">
        <v>701</v>
      </c>
    </row>
    <row r="12" spans="1:8">
      <c r="B12" s="13" t="s">
        <v>1184</v>
      </c>
      <c r="C12">
        <v>2222.7099999999996</v>
      </c>
      <c r="D12">
        <v>3119</v>
      </c>
    </row>
    <row r="25" spans="2:4">
      <c r="B25" s="12" t="s">
        <v>1627</v>
      </c>
      <c r="C25" s="12" t="s">
        <v>1624</v>
      </c>
      <c r="D25" t="s">
        <v>1586</v>
      </c>
    </row>
    <row r="26" spans="2:4">
      <c r="B26" s="13" t="s">
        <v>1115</v>
      </c>
      <c r="C26">
        <v>9532</v>
      </c>
      <c r="D26">
        <v>267868.19</v>
      </c>
    </row>
    <row r="27" spans="2:4">
      <c r="B27" s="13" t="s">
        <v>1117</v>
      </c>
      <c r="C27">
        <v>5298</v>
      </c>
      <c r="D27">
        <v>106047.07</v>
      </c>
    </row>
    <row r="28" spans="2:4">
      <c r="B28" s="13" t="s">
        <v>1119</v>
      </c>
      <c r="C28">
        <v>7906</v>
      </c>
      <c r="D28">
        <v>167357.22999999998</v>
      </c>
    </row>
    <row r="29" spans="2:4">
      <c r="B29" s="13" t="s">
        <v>1121</v>
      </c>
      <c r="C29">
        <v>9149</v>
      </c>
      <c r="D29">
        <v>234507.28999999998</v>
      </c>
    </row>
    <row r="30" spans="2:4">
      <c r="B30" s="13" t="s">
        <v>1123</v>
      </c>
      <c r="C30">
        <v>4562</v>
      </c>
      <c r="D30">
        <v>95744.59</v>
      </c>
    </row>
    <row r="31" spans="2:4">
      <c r="B31" s="13" t="s">
        <v>1125</v>
      </c>
      <c r="C31">
        <v>4199</v>
      </c>
      <c r="D31">
        <v>163022.35999999999</v>
      </c>
    </row>
    <row r="32" spans="2:4">
      <c r="B32" s="13" t="s">
        <v>1127</v>
      </c>
      <c r="C32">
        <v>2990</v>
      </c>
      <c r="D32">
        <v>99984.580000000016</v>
      </c>
    </row>
    <row r="33" spans="2:4">
      <c r="B33" s="13" t="s">
        <v>1129</v>
      </c>
      <c r="C33">
        <v>7681</v>
      </c>
      <c r="D33">
        <v>131261.75</v>
      </c>
    </row>
    <row r="34" spans="2:4">
      <c r="B34" s="13" t="s">
        <v>1184</v>
      </c>
      <c r="C34">
        <v>51317</v>
      </c>
      <c r="D34">
        <v>1265793.06</v>
      </c>
    </row>
    <row r="46" spans="2:4">
      <c r="B46" s="12" t="s">
        <v>1627</v>
      </c>
      <c r="C46" s="12" t="s">
        <v>1656</v>
      </c>
      <c r="D46" t="s">
        <v>1657</v>
      </c>
    </row>
    <row r="47" spans="2:4">
      <c r="B47" s="13" t="s">
        <v>1115</v>
      </c>
      <c r="C47">
        <v>195</v>
      </c>
      <c r="D47">
        <v>35.593333333333341</v>
      </c>
    </row>
    <row r="48" spans="2:4">
      <c r="B48" s="13" t="s">
        <v>1117</v>
      </c>
      <c r="C48">
        <v>135</v>
      </c>
      <c r="D48">
        <v>21.731666666666673</v>
      </c>
    </row>
    <row r="49" spans="2:4">
      <c r="B49" s="13" t="s">
        <v>1119</v>
      </c>
      <c r="C49">
        <v>165</v>
      </c>
      <c r="D49">
        <v>23.503846153846148</v>
      </c>
    </row>
    <row r="50" spans="2:4">
      <c r="B50" s="13" t="s">
        <v>1121</v>
      </c>
      <c r="C50">
        <v>110</v>
      </c>
      <c r="D50">
        <v>26.973999999999997</v>
      </c>
    </row>
    <row r="51" spans="2:4">
      <c r="B51" s="13" t="s">
        <v>1123</v>
      </c>
      <c r="C51">
        <v>155</v>
      </c>
      <c r="D51">
        <v>19.047142857142855</v>
      </c>
    </row>
    <row r="52" spans="2:4">
      <c r="B52" s="13" t="s">
        <v>1125</v>
      </c>
      <c r="C52">
        <v>30</v>
      </c>
      <c r="D52">
        <v>50.831666666666671</v>
      </c>
    </row>
    <row r="53" spans="2:4">
      <c r="B53" s="13" t="s">
        <v>1127</v>
      </c>
      <c r="C53">
        <v>25</v>
      </c>
      <c r="D53">
        <v>30.364000000000004</v>
      </c>
    </row>
    <row r="54" spans="2:4">
      <c r="B54" s="13" t="s">
        <v>1129</v>
      </c>
      <c r="C54">
        <v>145</v>
      </c>
      <c r="D54">
        <v>19.5425</v>
      </c>
    </row>
    <row r="55" spans="2:4">
      <c r="B55" s="13" t="s">
        <v>1184</v>
      </c>
      <c r="C55">
        <v>960</v>
      </c>
      <c r="D55">
        <v>27.114805194805204</v>
      </c>
    </row>
  </sheetData>
  <pageMargins left="0.7" right="0.7" top="0.75" bottom="0.75" header="0.3" footer="0.3"/>
  <drawing r:id="rId4"/>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5DEC9-40FB-40A6-9792-F3DF97C518D6}">
  <dimension ref="A1:R178"/>
  <sheetViews>
    <sheetView showGridLines="0" workbookViewId="0">
      <selection activeCell="A27" sqref="A27"/>
    </sheetView>
  </sheetViews>
  <sheetFormatPr baseColWidth="10" defaultColWidth="8.83203125" defaultRowHeight="13"/>
  <cols>
    <col min="10" max="10" width="13.1640625" bestFit="1" customWidth="1"/>
    <col min="11" max="11" width="14.83203125" bestFit="1" customWidth="1"/>
    <col min="12" max="12" width="15.1640625" bestFit="1" customWidth="1"/>
    <col min="13" max="13" width="9.83203125" bestFit="1" customWidth="1"/>
    <col min="14" max="14" width="11" bestFit="1" customWidth="1"/>
    <col min="15" max="15" width="16.83203125" bestFit="1" customWidth="1"/>
    <col min="16" max="16" width="16.33203125" bestFit="1" customWidth="1"/>
    <col min="17" max="17" width="12.33203125" bestFit="1" customWidth="1"/>
    <col min="18" max="18" width="19.1640625" bestFit="1" customWidth="1"/>
  </cols>
  <sheetData>
    <row r="1" spans="1:18" ht="14" thickBot="1">
      <c r="A1" s="43" t="s">
        <v>1515</v>
      </c>
      <c r="B1" s="44"/>
      <c r="C1" s="44"/>
      <c r="D1" s="44"/>
      <c r="E1" s="44"/>
      <c r="F1" s="44"/>
      <c r="G1" s="44"/>
      <c r="H1" s="45"/>
    </row>
    <row r="2" spans="1:18" ht="16.5" customHeight="1">
      <c r="A2" s="46" t="s">
        <v>1516</v>
      </c>
      <c r="B2" s="47"/>
      <c r="C2" s="47"/>
      <c r="D2" s="47"/>
      <c r="E2" s="47"/>
      <c r="F2" s="47"/>
      <c r="G2" s="47"/>
      <c r="H2" s="48"/>
      <c r="J2" t="s">
        <v>1492</v>
      </c>
      <c r="K2" t="s">
        <v>1493</v>
      </c>
      <c r="L2" t="s">
        <v>1494</v>
      </c>
      <c r="M2" t="s">
        <v>1495</v>
      </c>
      <c r="N2" t="s">
        <v>1496</v>
      </c>
      <c r="O2" t="s">
        <v>1113</v>
      </c>
      <c r="P2" t="s">
        <v>1497</v>
      </c>
      <c r="Q2" t="s">
        <v>1198</v>
      </c>
      <c r="R2" t="s">
        <v>1498</v>
      </c>
    </row>
    <row r="3" spans="1:18">
      <c r="A3" s="46"/>
      <c r="B3" s="47"/>
      <c r="C3" s="47"/>
      <c r="D3" s="47"/>
      <c r="E3" s="47"/>
      <c r="F3" s="47"/>
      <c r="G3" s="47"/>
      <c r="H3" s="48"/>
      <c r="J3">
        <v>1994</v>
      </c>
      <c r="K3">
        <v>8</v>
      </c>
      <c r="L3" t="s">
        <v>1499</v>
      </c>
      <c r="M3">
        <v>3</v>
      </c>
      <c r="N3" t="s">
        <v>1500</v>
      </c>
      <c r="O3" t="s">
        <v>1115</v>
      </c>
      <c r="P3">
        <v>11</v>
      </c>
      <c r="Q3">
        <v>272</v>
      </c>
      <c r="R3">
        <v>3182.5</v>
      </c>
    </row>
    <row r="4" spans="1:18">
      <c r="A4" s="46"/>
      <c r="B4" s="47"/>
      <c r="C4" s="47"/>
      <c r="D4" s="47"/>
      <c r="E4" s="47"/>
      <c r="F4" s="47"/>
      <c r="G4" s="47"/>
      <c r="H4" s="48"/>
      <c r="J4">
        <v>1994</v>
      </c>
      <c r="K4">
        <v>8</v>
      </c>
      <c r="L4" t="s">
        <v>1499</v>
      </c>
      <c r="M4">
        <v>3</v>
      </c>
      <c r="N4" t="s">
        <v>1500</v>
      </c>
      <c r="O4" t="s">
        <v>1117</v>
      </c>
      <c r="P4">
        <v>6</v>
      </c>
      <c r="Q4">
        <v>139</v>
      </c>
      <c r="R4">
        <v>1878.2</v>
      </c>
    </row>
    <row r="5" spans="1:18">
      <c r="A5" s="46"/>
      <c r="B5" s="47"/>
      <c r="C5" s="47"/>
      <c r="D5" s="47"/>
      <c r="E5" s="47"/>
      <c r="F5" s="47"/>
      <c r="G5" s="47"/>
      <c r="H5" s="48"/>
      <c r="J5">
        <v>1994</v>
      </c>
      <c r="K5">
        <v>8</v>
      </c>
      <c r="L5" t="s">
        <v>1499</v>
      </c>
      <c r="M5">
        <v>3</v>
      </c>
      <c r="N5" t="s">
        <v>1500</v>
      </c>
      <c r="O5" t="s">
        <v>1119</v>
      </c>
      <c r="P5">
        <v>8</v>
      </c>
      <c r="Q5">
        <v>245</v>
      </c>
      <c r="R5">
        <v>5775.15</v>
      </c>
    </row>
    <row r="6" spans="1:18">
      <c r="A6" s="46"/>
      <c r="B6" s="47"/>
      <c r="C6" s="47"/>
      <c r="D6" s="47"/>
      <c r="E6" s="47"/>
      <c r="F6" s="47"/>
      <c r="G6" s="47"/>
      <c r="H6" s="48"/>
      <c r="J6">
        <v>1994</v>
      </c>
      <c r="K6">
        <v>8</v>
      </c>
      <c r="L6" t="s">
        <v>1499</v>
      </c>
      <c r="M6">
        <v>3</v>
      </c>
      <c r="N6" t="s">
        <v>1500</v>
      </c>
      <c r="O6" t="s">
        <v>1121</v>
      </c>
      <c r="P6">
        <v>9</v>
      </c>
      <c r="Q6">
        <v>304</v>
      </c>
      <c r="R6">
        <v>6838.34</v>
      </c>
    </row>
    <row r="7" spans="1:18">
      <c r="A7" s="46"/>
      <c r="B7" s="47"/>
      <c r="C7" s="47"/>
      <c r="D7" s="47"/>
      <c r="E7" s="47"/>
      <c r="F7" s="47"/>
      <c r="G7" s="47"/>
      <c r="H7" s="48"/>
      <c r="J7">
        <v>1994</v>
      </c>
      <c r="K7">
        <v>8</v>
      </c>
      <c r="L7" t="s">
        <v>1499</v>
      </c>
      <c r="M7">
        <v>3</v>
      </c>
      <c r="N7" t="s">
        <v>1500</v>
      </c>
      <c r="O7" t="s">
        <v>1123</v>
      </c>
      <c r="P7">
        <v>4</v>
      </c>
      <c r="Q7">
        <v>83</v>
      </c>
      <c r="R7">
        <v>1256.8599999999999</v>
      </c>
    </row>
    <row r="8" spans="1:18">
      <c r="A8" s="46"/>
      <c r="B8" s="47"/>
      <c r="C8" s="47"/>
      <c r="D8" s="47"/>
      <c r="E8" s="47"/>
      <c r="F8" s="47"/>
      <c r="G8" s="47"/>
      <c r="H8" s="48"/>
      <c r="J8">
        <v>1994</v>
      </c>
      <c r="K8">
        <v>8</v>
      </c>
      <c r="L8" t="s">
        <v>1499</v>
      </c>
      <c r="M8">
        <v>3</v>
      </c>
      <c r="N8" t="s">
        <v>1500</v>
      </c>
      <c r="O8" t="s">
        <v>1125</v>
      </c>
      <c r="P8">
        <v>4</v>
      </c>
      <c r="Q8">
        <v>76</v>
      </c>
      <c r="R8">
        <v>2661.72</v>
      </c>
    </row>
    <row r="9" spans="1:18">
      <c r="A9" s="46"/>
      <c r="B9" s="47"/>
      <c r="C9" s="47"/>
      <c r="D9" s="47"/>
      <c r="E9" s="47"/>
      <c r="F9" s="47"/>
      <c r="G9" s="47"/>
      <c r="H9" s="48"/>
      <c r="J9">
        <v>1994</v>
      </c>
      <c r="K9">
        <v>8</v>
      </c>
      <c r="L9" t="s">
        <v>1499</v>
      </c>
      <c r="M9">
        <v>3</v>
      </c>
      <c r="N9" t="s">
        <v>1500</v>
      </c>
      <c r="O9" t="s">
        <v>1127</v>
      </c>
      <c r="P9">
        <v>5</v>
      </c>
      <c r="Q9">
        <v>156</v>
      </c>
      <c r="R9">
        <v>3868.8</v>
      </c>
    </row>
    <row r="10" spans="1:18">
      <c r="A10" s="46"/>
      <c r="B10" s="47"/>
      <c r="C10" s="47"/>
      <c r="D10" s="47"/>
      <c r="E10" s="47"/>
      <c r="F10" s="47"/>
      <c r="G10" s="47"/>
      <c r="H10" s="48"/>
      <c r="J10">
        <v>1994</v>
      </c>
      <c r="K10">
        <v>8</v>
      </c>
      <c r="L10" t="s">
        <v>1499</v>
      </c>
      <c r="M10">
        <v>3</v>
      </c>
      <c r="N10" t="s">
        <v>1500</v>
      </c>
      <c r="O10" t="s">
        <v>1129</v>
      </c>
      <c r="P10">
        <v>7</v>
      </c>
      <c r="Q10">
        <v>187</v>
      </c>
      <c r="R10">
        <v>2400.3200000000002</v>
      </c>
    </row>
    <row r="11" spans="1:18">
      <c r="A11" s="46"/>
      <c r="B11" s="47"/>
      <c r="C11" s="47"/>
      <c r="D11" s="47"/>
      <c r="E11" s="47"/>
      <c r="F11" s="47"/>
      <c r="G11" s="47"/>
      <c r="H11" s="48"/>
      <c r="J11">
        <v>1994</v>
      </c>
      <c r="K11">
        <v>9</v>
      </c>
      <c r="L11" t="s">
        <v>1501</v>
      </c>
      <c r="M11">
        <v>3</v>
      </c>
      <c r="N11" t="s">
        <v>1500</v>
      </c>
      <c r="O11" t="s">
        <v>1115</v>
      </c>
      <c r="P11">
        <v>11</v>
      </c>
      <c r="Q11">
        <v>347</v>
      </c>
      <c r="R11">
        <v>4866.88</v>
      </c>
    </row>
    <row r="12" spans="1:18">
      <c r="A12" s="46"/>
      <c r="B12" s="47"/>
      <c r="C12" s="47"/>
      <c r="D12" s="47"/>
      <c r="E12" s="47"/>
      <c r="F12" s="47"/>
      <c r="G12" s="47"/>
      <c r="H12" s="48"/>
      <c r="J12">
        <v>1994</v>
      </c>
      <c r="K12">
        <v>9</v>
      </c>
      <c r="L12" t="s">
        <v>1501</v>
      </c>
      <c r="M12">
        <v>3</v>
      </c>
      <c r="N12" t="s">
        <v>1500</v>
      </c>
      <c r="O12" t="s">
        <v>1117</v>
      </c>
      <c r="P12">
        <v>7</v>
      </c>
      <c r="Q12">
        <v>154</v>
      </c>
      <c r="R12">
        <v>2296.6</v>
      </c>
    </row>
    <row r="13" spans="1:18">
      <c r="A13" s="46"/>
      <c r="B13" s="47"/>
      <c r="C13" s="47"/>
      <c r="D13" s="47"/>
      <c r="E13" s="47"/>
      <c r="F13" s="47"/>
      <c r="G13" s="47"/>
      <c r="H13" s="48"/>
      <c r="J13">
        <v>1994</v>
      </c>
      <c r="K13">
        <v>9</v>
      </c>
      <c r="L13" t="s">
        <v>1501</v>
      </c>
      <c r="M13">
        <v>3</v>
      </c>
      <c r="N13" t="s">
        <v>1500</v>
      </c>
      <c r="O13" t="s">
        <v>1119</v>
      </c>
      <c r="P13">
        <v>10</v>
      </c>
      <c r="Q13">
        <v>170</v>
      </c>
      <c r="R13">
        <v>5006.7700000000004</v>
      </c>
    </row>
    <row r="14" spans="1:18">
      <c r="A14" s="46"/>
      <c r="B14" s="47"/>
      <c r="C14" s="47"/>
      <c r="D14" s="47"/>
      <c r="E14" s="47"/>
      <c r="F14" s="47"/>
      <c r="G14" s="47"/>
      <c r="H14" s="48"/>
      <c r="J14">
        <v>1994</v>
      </c>
      <c r="K14">
        <v>9</v>
      </c>
      <c r="L14" t="s">
        <v>1501</v>
      </c>
      <c r="M14">
        <v>3</v>
      </c>
      <c r="N14" t="s">
        <v>1500</v>
      </c>
      <c r="O14" t="s">
        <v>1121</v>
      </c>
      <c r="P14">
        <v>9</v>
      </c>
      <c r="Q14">
        <v>250</v>
      </c>
      <c r="R14">
        <v>4761.7</v>
      </c>
    </row>
    <row r="15" spans="1:18">
      <c r="A15" s="46"/>
      <c r="B15" s="47"/>
      <c r="C15" s="47"/>
      <c r="D15" s="47"/>
      <c r="E15" s="47"/>
      <c r="F15" s="47"/>
      <c r="G15" s="47"/>
      <c r="H15" s="48"/>
      <c r="J15">
        <v>1994</v>
      </c>
      <c r="K15">
        <v>9</v>
      </c>
      <c r="L15" t="s">
        <v>1501</v>
      </c>
      <c r="M15">
        <v>3</v>
      </c>
      <c r="N15" t="s">
        <v>1500</v>
      </c>
      <c r="O15" t="s">
        <v>1123</v>
      </c>
      <c r="P15">
        <v>2</v>
      </c>
      <c r="Q15">
        <v>11</v>
      </c>
      <c r="R15">
        <v>270.60000000000002</v>
      </c>
    </row>
    <row r="16" spans="1:18">
      <c r="A16" s="46"/>
      <c r="B16" s="47"/>
      <c r="C16" s="47"/>
      <c r="D16" s="47"/>
      <c r="E16" s="47"/>
      <c r="F16" s="47"/>
      <c r="G16" s="47"/>
      <c r="H16" s="48"/>
      <c r="J16">
        <v>1994</v>
      </c>
      <c r="K16">
        <v>9</v>
      </c>
      <c r="L16" t="s">
        <v>1501</v>
      </c>
      <c r="M16">
        <v>3</v>
      </c>
      <c r="N16" t="s">
        <v>1500</v>
      </c>
      <c r="O16" t="s">
        <v>1125</v>
      </c>
      <c r="P16">
        <v>6</v>
      </c>
      <c r="Q16">
        <v>111</v>
      </c>
      <c r="R16">
        <v>3495.66</v>
      </c>
    </row>
    <row r="17" spans="1:18">
      <c r="A17" s="46"/>
      <c r="B17" s="47"/>
      <c r="C17" s="47"/>
      <c r="D17" s="47"/>
      <c r="E17" s="47"/>
      <c r="F17" s="47"/>
      <c r="G17" s="47"/>
      <c r="H17" s="48"/>
      <c r="J17">
        <v>1994</v>
      </c>
      <c r="K17">
        <v>9</v>
      </c>
      <c r="L17" t="s">
        <v>1501</v>
      </c>
      <c r="M17">
        <v>3</v>
      </c>
      <c r="N17" t="s">
        <v>1500</v>
      </c>
      <c r="O17" t="s">
        <v>1127</v>
      </c>
      <c r="P17">
        <v>2</v>
      </c>
      <c r="Q17">
        <v>22</v>
      </c>
      <c r="R17">
        <v>804.32</v>
      </c>
    </row>
    <row r="18" spans="1:18">
      <c r="A18" s="46"/>
      <c r="B18" s="47"/>
      <c r="C18" s="47"/>
      <c r="D18" s="47"/>
      <c r="E18" s="47"/>
      <c r="F18" s="47"/>
      <c r="G18" s="47"/>
      <c r="H18" s="48"/>
      <c r="J18">
        <v>1994</v>
      </c>
      <c r="K18">
        <v>9</v>
      </c>
      <c r="L18" t="s">
        <v>1501</v>
      </c>
      <c r="M18">
        <v>3</v>
      </c>
      <c r="N18" t="s">
        <v>1500</v>
      </c>
      <c r="O18" t="s">
        <v>1129</v>
      </c>
      <c r="P18">
        <v>9</v>
      </c>
      <c r="Q18">
        <v>257</v>
      </c>
      <c r="R18">
        <v>3982.74</v>
      </c>
    </row>
    <row r="19" spans="1:18">
      <c r="A19" s="46"/>
      <c r="B19" s="47"/>
      <c r="C19" s="47"/>
      <c r="D19" s="47"/>
      <c r="E19" s="47"/>
      <c r="F19" s="47"/>
      <c r="G19" s="47"/>
      <c r="H19" s="48"/>
      <c r="J19">
        <v>1994</v>
      </c>
      <c r="K19">
        <v>10</v>
      </c>
      <c r="L19" t="s">
        <v>1502</v>
      </c>
      <c r="M19">
        <v>4</v>
      </c>
      <c r="N19" t="s">
        <v>1503</v>
      </c>
      <c r="O19" t="s">
        <v>1115</v>
      </c>
      <c r="P19">
        <v>10</v>
      </c>
      <c r="Q19">
        <v>285</v>
      </c>
      <c r="R19">
        <v>5088.3999999999996</v>
      </c>
    </row>
    <row r="20" spans="1:18">
      <c r="A20" s="46"/>
      <c r="B20" s="47"/>
      <c r="C20" s="47"/>
      <c r="D20" s="47"/>
      <c r="E20" s="47"/>
      <c r="F20" s="47"/>
      <c r="G20" s="47"/>
      <c r="H20" s="48"/>
      <c r="J20">
        <v>1994</v>
      </c>
      <c r="K20">
        <v>10</v>
      </c>
      <c r="L20" t="s">
        <v>1502</v>
      </c>
      <c r="M20">
        <v>4</v>
      </c>
      <c r="N20" t="s">
        <v>1503</v>
      </c>
      <c r="O20" t="s">
        <v>1117</v>
      </c>
      <c r="P20">
        <v>3</v>
      </c>
      <c r="Q20">
        <v>110</v>
      </c>
      <c r="R20">
        <v>1813.6</v>
      </c>
    </row>
    <row r="21" spans="1:18">
      <c r="A21" s="46"/>
      <c r="B21" s="47"/>
      <c r="C21" s="47"/>
      <c r="D21" s="47"/>
      <c r="E21" s="47"/>
      <c r="F21" s="47"/>
      <c r="G21" s="47"/>
      <c r="H21" s="48"/>
      <c r="J21">
        <v>1994</v>
      </c>
      <c r="K21">
        <v>10</v>
      </c>
      <c r="L21" t="s">
        <v>1502</v>
      </c>
      <c r="M21">
        <v>4</v>
      </c>
      <c r="N21" t="s">
        <v>1503</v>
      </c>
      <c r="O21" t="s">
        <v>1119</v>
      </c>
      <c r="P21">
        <v>10</v>
      </c>
      <c r="Q21">
        <v>248</v>
      </c>
      <c r="R21">
        <v>6337</v>
      </c>
    </row>
    <row r="22" spans="1:18">
      <c r="A22" s="46"/>
      <c r="B22" s="47"/>
      <c r="C22" s="47"/>
      <c r="D22" s="47"/>
      <c r="E22" s="47"/>
      <c r="F22" s="47"/>
      <c r="G22" s="47"/>
      <c r="H22" s="48"/>
      <c r="J22">
        <v>1994</v>
      </c>
      <c r="K22">
        <v>10</v>
      </c>
      <c r="L22" t="s">
        <v>1502</v>
      </c>
      <c r="M22">
        <v>4</v>
      </c>
      <c r="N22" t="s">
        <v>1503</v>
      </c>
      <c r="O22" t="s">
        <v>1121</v>
      </c>
      <c r="P22">
        <v>8</v>
      </c>
      <c r="Q22">
        <v>140</v>
      </c>
      <c r="R22">
        <v>3857.6</v>
      </c>
    </row>
    <row r="23" spans="1:18">
      <c r="A23" s="46"/>
      <c r="B23" s="47"/>
      <c r="C23" s="47"/>
      <c r="D23" s="47"/>
      <c r="E23" s="47"/>
      <c r="F23" s="47"/>
      <c r="G23" s="47"/>
      <c r="H23" s="48"/>
      <c r="J23">
        <v>1994</v>
      </c>
      <c r="K23">
        <v>10</v>
      </c>
      <c r="L23" t="s">
        <v>1502</v>
      </c>
      <c r="M23">
        <v>4</v>
      </c>
      <c r="N23" t="s">
        <v>1503</v>
      </c>
      <c r="O23" t="s">
        <v>1123</v>
      </c>
      <c r="P23">
        <v>4</v>
      </c>
      <c r="Q23">
        <v>32</v>
      </c>
      <c r="R23">
        <v>819.2</v>
      </c>
    </row>
    <row r="24" spans="1:18">
      <c r="A24" s="46"/>
      <c r="B24" s="47"/>
      <c r="C24" s="47"/>
      <c r="D24" s="47"/>
      <c r="E24" s="47"/>
      <c r="F24" s="47"/>
      <c r="G24" s="47"/>
      <c r="H24" s="48"/>
      <c r="J24">
        <v>1994</v>
      </c>
      <c r="K24">
        <v>10</v>
      </c>
      <c r="L24" t="s">
        <v>1502</v>
      </c>
      <c r="M24">
        <v>4</v>
      </c>
      <c r="N24" t="s">
        <v>1503</v>
      </c>
      <c r="O24" t="s">
        <v>1125</v>
      </c>
      <c r="P24">
        <v>4</v>
      </c>
      <c r="Q24">
        <v>100</v>
      </c>
      <c r="R24">
        <v>4291</v>
      </c>
    </row>
    <row r="25" spans="1:18" ht="14" thickBot="1">
      <c r="A25" s="49"/>
      <c r="B25" s="50"/>
      <c r="C25" s="50"/>
      <c r="D25" s="50"/>
      <c r="E25" s="50"/>
      <c r="F25" s="50"/>
      <c r="G25" s="50"/>
      <c r="H25" s="51"/>
      <c r="J25">
        <v>1994</v>
      </c>
      <c r="K25">
        <v>10</v>
      </c>
      <c r="L25" t="s">
        <v>1502</v>
      </c>
      <c r="M25">
        <v>4</v>
      </c>
      <c r="N25" t="s">
        <v>1503</v>
      </c>
      <c r="O25" t="s">
        <v>1127</v>
      </c>
      <c r="P25">
        <v>2</v>
      </c>
      <c r="Q25">
        <v>32</v>
      </c>
      <c r="R25">
        <v>1164.8</v>
      </c>
    </row>
    <row r="26" spans="1:18">
      <c r="J26">
        <v>1994</v>
      </c>
      <c r="K26">
        <v>10</v>
      </c>
      <c r="L26" t="s">
        <v>1502</v>
      </c>
      <c r="M26">
        <v>4</v>
      </c>
      <c r="N26" t="s">
        <v>1503</v>
      </c>
      <c r="O26" t="s">
        <v>1129</v>
      </c>
      <c r="P26">
        <v>8</v>
      </c>
      <c r="Q26">
        <v>177</v>
      </c>
      <c r="R26">
        <v>3009.8</v>
      </c>
    </row>
    <row r="27" spans="1:18">
      <c r="J27">
        <v>1994</v>
      </c>
      <c r="K27">
        <v>11</v>
      </c>
      <c r="L27" t="s">
        <v>1504</v>
      </c>
      <c r="M27">
        <v>4</v>
      </c>
      <c r="N27" t="s">
        <v>1503</v>
      </c>
      <c r="O27" t="s">
        <v>1115</v>
      </c>
      <c r="P27">
        <v>11</v>
      </c>
      <c r="Q27">
        <v>286</v>
      </c>
      <c r="R27">
        <v>7971.36</v>
      </c>
    </row>
    <row r="28" spans="1:18">
      <c r="J28">
        <v>1994</v>
      </c>
      <c r="K28">
        <v>11</v>
      </c>
      <c r="L28" t="s">
        <v>1504</v>
      </c>
      <c r="M28">
        <v>4</v>
      </c>
      <c r="N28" t="s">
        <v>1503</v>
      </c>
      <c r="O28" t="s">
        <v>1117</v>
      </c>
      <c r="P28">
        <v>7</v>
      </c>
      <c r="Q28">
        <v>183</v>
      </c>
      <c r="R28">
        <v>4124.32</v>
      </c>
    </row>
    <row r="29" spans="1:18">
      <c r="J29">
        <v>1994</v>
      </c>
      <c r="K29">
        <v>11</v>
      </c>
      <c r="L29" t="s">
        <v>1504</v>
      </c>
      <c r="M29">
        <v>4</v>
      </c>
      <c r="N29" t="s">
        <v>1503</v>
      </c>
      <c r="O29" t="s">
        <v>1119</v>
      </c>
      <c r="P29">
        <v>10</v>
      </c>
      <c r="Q29">
        <v>183</v>
      </c>
      <c r="R29">
        <v>3490.59</v>
      </c>
    </row>
    <row r="30" spans="1:18">
      <c r="J30">
        <v>1994</v>
      </c>
      <c r="K30">
        <v>11</v>
      </c>
      <c r="L30" t="s">
        <v>1504</v>
      </c>
      <c r="M30">
        <v>4</v>
      </c>
      <c r="N30" t="s">
        <v>1503</v>
      </c>
      <c r="O30" t="s">
        <v>1121</v>
      </c>
      <c r="P30">
        <v>11</v>
      </c>
      <c r="Q30">
        <v>367</v>
      </c>
      <c r="R30">
        <v>7260.43</v>
      </c>
    </row>
    <row r="31" spans="1:18">
      <c r="J31">
        <v>1994</v>
      </c>
      <c r="K31">
        <v>11</v>
      </c>
      <c r="L31" t="s">
        <v>1504</v>
      </c>
      <c r="M31">
        <v>4</v>
      </c>
      <c r="N31" t="s">
        <v>1503</v>
      </c>
      <c r="O31" t="s">
        <v>1123</v>
      </c>
      <c r="P31">
        <v>6</v>
      </c>
      <c r="Q31">
        <v>106</v>
      </c>
      <c r="R31">
        <v>1130.56</v>
      </c>
    </row>
    <row r="32" spans="1:18">
      <c r="J32">
        <v>1994</v>
      </c>
      <c r="K32">
        <v>11</v>
      </c>
      <c r="L32" t="s">
        <v>1504</v>
      </c>
      <c r="M32">
        <v>4</v>
      </c>
      <c r="N32" t="s">
        <v>1503</v>
      </c>
      <c r="O32" t="s">
        <v>1125</v>
      </c>
      <c r="P32">
        <v>5</v>
      </c>
      <c r="Q32">
        <v>153</v>
      </c>
      <c r="R32">
        <v>3651.3</v>
      </c>
    </row>
    <row r="33" spans="10:18">
      <c r="J33">
        <v>1994</v>
      </c>
      <c r="K33">
        <v>11</v>
      </c>
      <c r="L33" t="s">
        <v>1504</v>
      </c>
      <c r="M33">
        <v>4</v>
      </c>
      <c r="N33" t="s">
        <v>1503</v>
      </c>
      <c r="O33" t="s">
        <v>1127</v>
      </c>
      <c r="P33">
        <v>4</v>
      </c>
      <c r="Q33">
        <v>81</v>
      </c>
      <c r="R33">
        <v>2491.16</v>
      </c>
    </row>
    <row r="34" spans="10:18">
      <c r="J34">
        <v>1994</v>
      </c>
      <c r="K34">
        <v>11</v>
      </c>
      <c r="L34" t="s">
        <v>1504</v>
      </c>
      <c r="M34">
        <v>4</v>
      </c>
      <c r="N34" t="s">
        <v>1503</v>
      </c>
      <c r="O34" t="s">
        <v>1129</v>
      </c>
      <c r="P34">
        <v>10</v>
      </c>
      <c r="Q34">
        <v>310</v>
      </c>
      <c r="R34">
        <v>5812</v>
      </c>
    </row>
    <row r="35" spans="10:18">
      <c r="J35">
        <v>1994</v>
      </c>
      <c r="K35">
        <v>12</v>
      </c>
      <c r="L35" t="s">
        <v>1505</v>
      </c>
      <c r="M35">
        <v>4</v>
      </c>
      <c r="N35" t="s">
        <v>1503</v>
      </c>
      <c r="O35" t="s">
        <v>1115</v>
      </c>
      <c r="P35">
        <v>13</v>
      </c>
      <c r="Q35">
        <v>347</v>
      </c>
      <c r="R35">
        <v>17378.060000000001</v>
      </c>
    </row>
    <row r="36" spans="10:18">
      <c r="J36">
        <v>1994</v>
      </c>
      <c r="K36">
        <v>12</v>
      </c>
      <c r="L36" t="s">
        <v>1505</v>
      </c>
      <c r="M36">
        <v>4</v>
      </c>
      <c r="N36" t="s">
        <v>1503</v>
      </c>
      <c r="O36" t="s">
        <v>1117</v>
      </c>
      <c r="P36">
        <v>5</v>
      </c>
      <c r="Q36">
        <v>294</v>
      </c>
      <c r="R36">
        <v>6290.22</v>
      </c>
    </row>
    <row r="37" spans="10:18">
      <c r="J37">
        <v>1994</v>
      </c>
      <c r="K37">
        <v>12</v>
      </c>
      <c r="L37" t="s">
        <v>1505</v>
      </c>
      <c r="M37">
        <v>4</v>
      </c>
      <c r="N37" t="s">
        <v>1503</v>
      </c>
      <c r="O37" t="s">
        <v>1119</v>
      </c>
      <c r="P37">
        <v>9</v>
      </c>
      <c r="Q37">
        <v>271</v>
      </c>
      <c r="R37">
        <v>3203.38</v>
      </c>
    </row>
    <row r="38" spans="10:18">
      <c r="J38">
        <v>1994</v>
      </c>
      <c r="K38">
        <v>12</v>
      </c>
      <c r="L38" t="s">
        <v>1505</v>
      </c>
      <c r="M38">
        <v>4</v>
      </c>
      <c r="N38" t="s">
        <v>1503</v>
      </c>
      <c r="O38" t="s">
        <v>1121</v>
      </c>
      <c r="P38">
        <v>9</v>
      </c>
      <c r="Q38">
        <v>372</v>
      </c>
      <c r="R38">
        <v>7309.72</v>
      </c>
    </row>
    <row r="39" spans="10:18">
      <c r="J39">
        <v>1994</v>
      </c>
      <c r="K39">
        <v>12</v>
      </c>
      <c r="L39" t="s">
        <v>1505</v>
      </c>
      <c r="M39">
        <v>4</v>
      </c>
      <c r="N39" t="s">
        <v>1503</v>
      </c>
      <c r="O39" t="s">
        <v>1123</v>
      </c>
      <c r="P39">
        <v>6</v>
      </c>
      <c r="Q39">
        <v>189</v>
      </c>
      <c r="R39">
        <v>3836.7</v>
      </c>
    </row>
    <row r="40" spans="10:18">
      <c r="J40">
        <v>1994</v>
      </c>
      <c r="K40">
        <v>12</v>
      </c>
      <c r="L40" t="s">
        <v>1505</v>
      </c>
      <c r="M40">
        <v>4</v>
      </c>
      <c r="N40" t="s">
        <v>1503</v>
      </c>
      <c r="O40" t="s">
        <v>1125</v>
      </c>
      <c r="P40">
        <v>8</v>
      </c>
      <c r="Q40">
        <v>201</v>
      </c>
      <c r="R40">
        <v>5757.18</v>
      </c>
    </row>
    <row r="41" spans="10:18">
      <c r="J41">
        <v>1994</v>
      </c>
      <c r="K41">
        <v>12</v>
      </c>
      <c r="L41" t="s">
        <v>1505</v>
      </c>
      <c r="M41">
        <v>4</v>
      </c>
      <c r="N41" t="s">
        <v>1503</v>
      </c>
      <c r="O41" t="s">
        <v>1127</v>
      </c>
      <c r="P41">
        <v>3</v>
      </c>
      <c r="Q41">
        <v>63</v>
      </c>
      <c r="R41">
        <v>2365.88</v>
      </c>
    </row>
    <row r="42" spans="10:18">
      <c r="J42">
        <v>1994</v>
      </c>
      <c r="K42">
        <v>12</v>
      </c>
      <c r="L42" t="s">
        <v>1505</v>
      </c>
      <c r="M42">
        <v>4</v>
      </c>
      <c r="N42" t="s">
        <v>1503</v>
      </c>
      <c r="O42" t="s">
        <v>1129</v>
      </c>
      <c r="P42">
        <v>4</v>
      </c>
      <c r="Q42">
        <v>67</v>
      </c>
      <c r="R42">
        <v>1042.9000000000001</v>
      </c>
    </row>
    <row r="43" spans="10:18">
      <c r="J43">
        <v>1995</v>
      </c>
      <c r="K43">
        <v>1</v>
      </c>
      <c r="L43" t="s">
        <v>1506</v>
      </c>
      <c r="M43">
        <v>1</v>
      </c>
      <c r="N43" t="s">
        <v>1507</v>
      </c>
      <c r="O43" t="s">
        <v>1115</v>
      </c>
      <c r="P43">
        <v>11</v>
      </c>
      <c r="Q43">
        <v>305</v>
      </c>
      <c r="R43">
        <v>9431.7999999999993</v>
      </c>
    </row>
    <row r="44" spans="10:18">
      <c r="J44">
        <v>1995</v>
      </c>
      <c r="K44">
        <v>1</v>
      </c>
      <c r="L44" t="s">
        <v>1506</v>
      </c>
      <c r="M44">
        <v>1</v>
      </c>
      <c r="N44" t="s">
        <v>1507</v>
      </c>
      <c r="O44" t="s">
        <v>1117</v>
      </c>
      <c r="P44">
        <v>3</v>
      </c>
      <c r="Q44">
        <v>82</v>
      </c>
      <c r="R44">
        <v>1497.44</v>
      </c>
    </row>
    <row r="45" spans="10:18">
      <c r="J45">
        <v>1995</v>
      </c>
      <c r="K45">
        <v>1</v>
      </c>
      <c r="L45" t="s">
        <v>1506</v>
      </c>
      <c r="M45">
        <v>1</v>
      </c>
      <c r="N45" t="s">
        <v>1507</v>
      </c>
      <c r="O45" t="s">
        <v>1119</v>
      </c>
      <c r="P45">
        <v>9</v>
      </c>
      <c r="Q45">
        <v>240</v>
      </c>
      <c r="R45">
        <v>5872.65</v>
      </c>
    </row>
    <row r="46" spans="10:18">
      <c r="J46">
        <v>1995</v>
      </c>
      <c r="K46">
        <v>1</v>
      </c>
      <c r="L46" t="s">
        <v>1506</v>
      </c>
      <c r="M46">
        <v>1</v>
      </c>
      <c r="N46" t="s">
        <v>1507</v>
      </c>
      <c r="O46" t="s">
        <v>1121</v>
      </c>
      <c r="P46">
        <v>16</v>
      </c>
      <c r="Q46">
        <v>653</v>
      </c>
      <c r="R46">
        <v>10952.66</v>
      </c>
    </row>
    <row r="47" spans="10:18">
      <c r="J47">
        <v>1995</v>
      </c>
      <c r="K47">
        <v>1</v>
      </c>
      <c r="L47" t="s">
        <v>1506</v>
      </c>
      <c r="M47">
        <v>1</v>
      </c>
      <c r="N47" t="s">
        <v>1507</v>
      </c>
      <c r="O47" t="s">
        <v>1123</v>
      </c>
      <c r="P47">
        <v>5</v>
      </c>
      <c r="Q47">
        <v>128</v>
      </c>
      <c r="R47">
        <v>2194</v>
      </c>
    </row>
    <row r="48" spans="10:18">
      <c r="J48">
        <v>1995</v>
      </c>
      <c r="K48">
        <v>1</v>
      </c>
      <c r="L48" t="s">
        <v>1506</v>
      </c>
      <c r="M48">
        <v>1</v>
      </c>
      <c r="N48" t="s">
        <v>1507</v>
      </c>
      <c r="O48" t="s">
        <v>1125</v>
      </c>
      <c r="P48">
        <v>8</v>
      </c>
      <c r="Q48">
        <v>309</v>
      </c>
      <c r="R48">
        <v>8956.7999999999993</v>
      </c>
    </row>
    <row r="49" spans="10:18">
      <c r="J49">
        <v>1995</v>
      </c>
      <c r="K49">
        <v>1</v>
      </c>
      <c r="L49" t="s">
        <v>1506</v>
      </c>
      <c r="M49">
        <v>1</v>
      </c>
      <c r="N49" t="s">
        <v>1507</v>
      </c>
      <c r="O49" t="s">
        <v>1127</v>
      </c>
      <c r="P49">
        <v>9</v>
      </c>
      <c r="Q49">
        <v>195</v>
      </c>
      <c r="R49">
        <v>3190.82</v>
      </c>
    </row>
    <row r="50" spans="10:18">
      <c r="J50">
        <v>1995</v>
      </c>
      <c r="K50">
        <v>1</v>
      </c>
      <c r="L50" t="s">
        <v>1506</v>
      </c>
      <c r="M50">
        <v>1</v>
      </c>
      <c r="N50" t="s">
        <v>1507</v>
      </c>
      <c r="O50" t="s">
        <v>1129</v>
      </c>
      <c r="P50">
        <v>13</v>
      </c>
      <c r="Q50">
        <v>288</v>
      </c>
      <c r="R50">
        <v>3143.46</v>
      </c>
    </row>
    <row r="51" spans="10:18">
      <c r="J51">
        <v>1995</v>
      </c>
      <c r="K51">
        <v>2</v>
      </c>
      <c r="L51" t="s">
        <v>1508</v>
      </c>
      <c r="M51">
        <v>1</v>
      </c>
      <c r="N51" t="s">
        <v>1507</v>
      </c>
      <c r="O51" t="s">
        <v>1115</v>
      </c>
      <c r="P51">
        <v>8</v>
      </c>
      <c r="Q51">
        <v>330</v>
      </c>
      <c r="R51">
        <v>21904.16</v>
      </c>
    </row>
    <row r="52" spans="10:18">
      <c r="J52">
        <v>1995</v>
      </c>
      <c r="K52">
        <v>2</v>
      </c>
      <c r="L52" t="s">
        <v>1508</v>
      </c>
      <c r="M52">
        <v>1</v>
      </c>
      <c r="N52" t="s">
        <v>1507</v>
      </c>
      <c r="O52" t="s">
        <v>1117</v>
      </c>
      <c r="P52">
        <v>7</v>
      </c>
      <c r="Q52">
        <v>236</v>
      </c>
      <c r="R52">
        <v>4330.7</v>
      </c>
    </row>
    <row r="53" spans="10:18">
      <c r="J53">
        <v>1995</v>
      </c>
      <c r="K53">
        <v>2</v>
      </c>
      <c r="L53" t="s">
        <v>1508</v>
      </c>
      <c r="M53">
        <v>1</v>
      </c>
      <c r="N53" t="s">
        <v>1507</v>
      </c>
      <c r="O53" t="s">
        <v>1119</v>
      </c>
      <c r="P53">
        <v>14</v>
      </c>
      <c r="Q53">
        <v>493</v>
      </c>
      <c r="R53">
        <v>7788.11</v>
      </c>
    </row>
    <row r="54" spans="10:18">
      <c r="J54">
        <v>1995</v>
      </c>
      <c r="K54">
        <v>2</v>
      </c>
      <c r="L54" t="s">
        <v>1508</v>
      </c>
      <c r="M54">
        <v>1</v>
      </c>
      <c r="N54" t="s">
        <v>1507</v>
      </c>
      <c r="O54" t="s">
        <v>1121</v>
      </c>
      <c r="P54">
        <v>8</v>
      </c>
      <c r="Q54">
        <v>378</v>
      </c>
      <c r="R54">
        <v>6602.4</v>
      </c>
    </row>
    <row r="55" spans="10:18">
      <c r="J55">
        <v>1995</v>
      </c>
      <c r="K55">
        <v>2</v>
      </c>
      <c r="L55" t="s">
        <v>1508</v>
      </c>
      <c r="M55">
        <v>1</v>
      </c>
      <c r="N55" t="s">
        <v>1507</v>
      </c>
      <c r="O55" t="s">
        <v>1123</v>
      </c>
      <c r="P55">
        <v>5</v>
      </c>
      <c r="Q55">
        <v>202</v>
      </c>
      <c r="R55">
        <v>3635.8</v>
      </c>
    </row>
    <row r="56" spans="10:18">
      <c r="J56">
        <v>1995</v>
      </c>
      <c r="K56">
        <v>2</v>
      </c>
      <c r="L56" t="s">
        <v>1508</v>
      </c>
      <c r="M56">
        <v>1</v>
      </c>
      <c r="N56" t="s">
        <v>1507</v>
      </c>
      <c r="O56" t="s">
        <v>1125</v>
      </c>
      <c r="P56">
        <v>7</v>
      </c>
      <c r="Q56">
        <v>84</v>
      </c>
      <c r="R56">
        <v>4313.6499999999996</v>
      </c>
    </row>
    <row r="57" spans="10:18">
      <c r="J57">
        <v>1995</v>
      </c>
      <c r="K57">
        <v>2</v>
      </c>
      <c r="L57" t="s">
        <v>1508</v>
      </c>
      <c r="M57">
        <v>1</v>
      </c>
      <c r="N57" t="s">
        <v>1507</v>
      </c>
      <c r="O57" t="s">
        <v>1127</v>
      </c>
      <c r="P57">
        <v>5</v>
      </c>
      <c r="Q57">
        <v>124</v>
      </c>
      <c r="R57">
        <v>2704.92</v>
      </c>
    </row>
    <row r="58" spans="10:18">
      <c r="J58">
        <v>1995</v>
      </c>
      <c r="K58">
        <v>2</v>
      </c>
      <c r="L58" t="s">
        <v>1508</v>
      </c>
      <c r="M58">
        <v>1</v>
      </c>
      <c r="N58" t="s">
        <v>1507</v>
      </c>
      <c r="O58" t="s">
        <v>1129</v>
      </c>
      <c r="P58">
        <v>7</v>
      </c>
      <c r="Q58">
        <v>104</v>
      </c>
      <c r="R58">
        <v>1260.5</v>
      </c>
    </row>
    <row r="59" spans="10:18">
      <c r="J59">
        <v>1995</v>
      </c>
      <c r="K59">
        <v>3</v>
      </c>
      <c r="L59" t="s">
        <v>1509</v>
      </c>
      <c r="M59">
        <v>1</v>
      </c>
      <c r="N59" t="s">
        <v>1507</v>
      </c>
      <c r="O59" t="s">
        <v>1115</v>
      </c>
      <c r="P59">
        <v>12</v>
      </c>
      <c r="Q59">
        <v>220</v>
      </c>
      <c r="R59">
        <v>2845.84</v>
      </c>
    </row>
    <row r="60" spans="10:18">
      <c r="J60">
        <v>1995</v>
      </c>
      <c r="K60">
        <v>3</v>
      </c>
      <c r="L60" t="s">
        <v>1509</v>
      </c>
      <c r="M60">
        <v>1</v>
      </c>
      <c r="N60" t="s">
        <v>1507</v>
      </c>
      <c r="O60" t="s">
        <v>1117</v>
      </c>
      <c r="P60">
        <v>7</v>
      </c>
      <c r="Q60">
        <v>428</v>
      </c>
      <c r="R60">
        <v>7050.24</v>
      </c>
    </row>
    <row r="61" spans="10:18">
      <c r="J61">
        <v>1995</v>
      </c>
      <c r="K61">
        <v>3</v>
      </c>
      <c r="L61" t="s">
        <v>1509</v>
      </c>
      <c r="M61">
        <v>1</v>
      </c>
      <c r="N61" t="s">
        <v>1507</v>
      </c>
      <c r="O61" t="s">
        <v>1119</v>
      </c>
      <c r="P61">
        <v>19</v>
      </c>
      <c r="Q61">
        <v>555</v>
      </c>
      <c r="R61">
        <v>8318.8799999999992</v>
      </c>
    </row>
    <row r="62" spans="10:18">
      <c r="J62">
        <v>1995</v>
      </c>
      <c r="K62">
        <v>3</v>
      </c>
      <c r="L62" t="s">
        <v>1509</v>
      </c>
      <c r="M62">
        <v>1</v>
      </c>
      <c r="N62" t="s">
        <v>1507</v>
      </c>
      <c r="O62" t="s">
        <v>1121</v>
      </c>
      <c r="P62">
        <v>13</v>
      </c>
      <c r="Q62">
        <v>318</v>
      </c>
      <c r="R62">
        <v>8048.84</v>
      </c>
    </row>
    <row r="63" spans="10:18">
      <c r="J63">
        <v>1995</v>
      </c>
      <c r="K63">
        <v>3</v>
      </c>
      <c r="L63" t="s">
        <v>1509</v>
      </c>
      <c r="M63">
        <v>1</v>
      </c>
      <c r="N63" t="s">
        <v>1507</v>
      </c>
      <c r="O63" t="s">
        <v>1123</v>
      </c>
      <c r="P63">
        <v>10</v>
      </c>
      <c r="Q63">
        <v>246</v>
      </c>
      <c r="R63">
        <v>5605.7</v>
      </c>
    </row>
    <row r="64" spans="10:18">
      <c r="J64">
        <v>1995</v>
      </c>
      <c r="K64">
        <v>3</v>
      </c>
      <c r="L64" t="s">
        <v>1509</v>
      </c>
      <c r="M64">
        <v>1</v>
      </c>
      <c r="N64" t="s">
        <v>1507</v>
      </c>
      <c r="O64" t="s">
        <v>1125</v>
      </c>
      <c r="P64">
        <v>12</v>
      </c>
      <c r="Q64">
        <v>515</v>
      </c>
      <c r="R64">
        <v>10090.219999999999</v>
      </c>
    </row>
    <row r="65" spans="10:18">
      <c r="J65">
        <v>1995</v>
      </c>
      <c r="K65">
        <v>3</v>
      </c>
      <c r="L65" t="s">
        <v>1509</v>
      </c>
      <c r="M65">
        <v>1</v>
      </c>
      <c r="N65" t="s">
        <v>1507</v>
      </c>
      <c r="O65" t="s">
        <v>1127</v>
      </c>
      <c r="P65">
        <v>5</v>
      </c>
      <c r="Q65">
        <v>103</v>
      </c>
      <c r="R65">
        <v>2679.6</v>
      </c>
    </row>
    <row r="66" spans="10:18">
      <c r="J66">
        <v>1995</v>
      </c>
      <c r="K66">
        <v>3</v>
      </c>
      <c r="L66" t="s">
        <v>1509</v>
      </c>
      <c r="M66">
        <v>1</v>
      </c>
      <c r="N66" t="s">
        <v>1507</v>
      </c>
      <c r="O66" t="s">
        <v>1129</v>
      </c>
      <c r="P66">
        <v>9</v>
      </c>
      <c r="Q66">
        <v>197</v>
      </c>
      <c r="R66">
        <v>2562.15</v>
      </c>
    </row>
    <row r="67" spans="10:18">
      <c r="J67">
        <v>1995</v>
      </c>
      <c r="K67">
        <v>4</v>
      </c>
      <c r="L67" t="s">
        <v>1510</v>
      </c>
      <c r="M67">
        <v>2</v>
      </c>
      <c r="N67" t="s">
        <v>1511</v>
      </c>
      <c r="O67" t="s">
        <v>1115</v>
      </c>
      <c r="P67">
        <v>13</v>
      </c>
      <c r="Q67">
        <v>435</v>
      </c>
      <c r="R67">
        <v>10413.68</v>
      </c>
    </row>
    <row r="68" spans="10:18">
      <c r="J68">
        <v>1995</v>
      </c>
      <c r="K68">
        <v>4</v>
      </c>
      <c r="L68" t="s">
        <v>1510</v>
      </c>
      <c r="M68">
        <v>2</v>
      </c>
      <c r="N68" t="s">
        <v>1511</v>
      </c>
      <c r="O68" t="s">
        <v>1117</v>
      </c>
      <c r="P68">
        <v>5</v>
      </c>
      <c r="Q68">
        <v>128</v>
      </c>
      <c r="R68">
        <v>1385.63</v>
      </c>
    </row>
    <row r="69" spans="10:18">
      <c r="J69">
        <v>1995</v>
      </c>
      <c r="K69">
        <v>4</v>
      </c>
      <c r="L69" t="s">
        <v>1510</v>
      </c>
      <c r="M69">
        <v>2</v>
      </c>
      <c r="N69" t="s">
        <v>1511</v>
      </c>
      <c r="O69" t="s">
        <v>1119</v>
      </c>
      <c r="P69">
        <v>10</v>
      </c>
      <c r="Q69">
        <v>235</v>
      </c>
      <c r="R69">
        <v>2909.92</v>
      </c>
    </row>
    <row r="70" spans="10:18">
      <c r="J70">
        <v>1995</v>
      </c>
      <c r="K70">
        <v>4</v>
      </c>
      <c r="L70" t="s">
        <v>1510</v>
      </c>
      <c r="M70">
        <v>2</v>
      </c>
      <c r="N70" t="s">
        <v>1511</v>
      </c>
      <c r="O70" t="s">
        <v>1121</v>
      </c>
      <c r="P70">
        <v>10</v>
      </c>
      <c r="Q70">
        <v>251</v>
      </c>
      <c r="R70">
        <v>7088.9</v>
      </c>
    </row>
    <row r="71" spans="10:18">
      <c r="J71">
        <v>1995</v>
      </c>
      <c r="K71">
        <v>4</v>
      </c>
      <c r="L71" t="s">
        <v>1510</v>
      </c>
      <c r="M71">
        <v>2</v>
      </c>
      <c r="N71" t="s">
        <v>1511</v>
      </c>
      <c r="O71" t="s">
        <v>1123</v>
      </c>
      <c r="P71">
        <v>6</v>
      </c>
      <c r="Q71">
        <v>174</v>
      </c>
      <c r="R71">
        <v>3167.6</v>
      </c>
    </row>
    <row r="72" spans="10:18">
      <c r="J72">
        <v>1995</v>
      </c>
      <c r="K72">
        <v>4</v>
      </c>
      <c r="L72" t="s">
        <v>1510</v>
      </c>
      <c r="M72">
        <v>2</v>
      </c>
      <c r="N72" t="s">
        <v>1511</v>
      </c>
      <c r="O72" t="s">
        <v>1125</v>
      </c>
      <c r="P72">
        <v>5</v>
      </c>
      <c r="Q72">
        <v>102</v>
      </c>
      <c r="R72">
        <v>2998.48</v>
      </c>
    </row>
    <row r="73" spans="10:18">
      <c r="J73">
        <v>1995</v>
      </c>
      <c r="K73">
        <v>4</v>
      </c>
      <c r="L73" t="s">
        <v>1510</v>
      </c>
      <c r="M73">
        <v>2</v>
      </c>
      <c r="N73" t="s">
        <v>1511</v>
      </c>
      <c r="O73" t="s">
        <v>1127</v>
      </c>
      <c r="P73">
        <v>5</v>
      </c>
      <c r="Q73">
        <v>122</v>
      </c>
      <c r="R73">
        <v>3676.8</v>
      </c>
    </row>
    <row r="74" spans="10:18">
      <c r="J74">
        <v>1995</v>
      </c>
      <c r="K74">
        <v>4</v>
      </c>
      <c r="L74" t="s">
        <v>1510</v>
      </c>
      <c r="M74">
        <v>2</v>
      </c>
      <c r="N74" t="s">
        <v>1511</v>
      </c>
      <c r="O74" t="s">
        <v>1129</v>
      </c>
      <c r="P74">
        <v>10</v>
      </c>
      <c r="Q74">
        <v>175</v>
      </c>
      <c r="R74">
        <v>3483.5</v>
      </c>
    </row>
    <row r="75" spans="10:18">
      <c r="J75">
        <v>1995</v>
      </c>
      <c r="K75">
        <v>5</v>
      </c>
      <c r="L75" t="s">
        <v>1512</v>
      </c>
      <c r="M75">
        <v>2</v>
      </c>
      <c r="N75" t="s">
        <v>1511</v>
      </c>
      <c r="O75" t="s">
        <v>1115</v>
      </c>
      <c r="P75">
        <v>15</v>
      </c>
      <c r="Q75">
        <v>304</v>
      </c>
      <c r="R75">
        <v>7297.55</v>
      </c>
    </row>
    <row r="76" spans="10:18">
      <c r="J76">
        <v>1995</v>
      </c>
      <c r="K76">
        <v>5</v>
      </c>
      <c r="L76" t="s">
        <v>1512</v>
      </c>
      <c r="M76">
        <v>2</v>
      </c>
      <c r="N76" t="s">
        <v>1511</v>
      </c>
      <c r="O76" t="s">
        <v>1117</v>
      </c>
      <c r="P76">
        <v>12</v>
      </c>
      <c r="Q76">
        <v>281</v>
      </c>
      <c r="R76">
        <v>5803.91</v>
      </c>
    </row>
    <row r="77" spans="10:18">
      <c r="J77">
        <v>1995</v>
      </c>
      <c r="K77">
        <v>5</v>
      </c>
      <c r="L77" t="s">
        <v>1512</v>
      </c>
      <c r="M77">
        <v>2</v>
      </c>
      <c r="N77" t="s">
        <v>1511</v>
      </c>
      <c r="O77" t="s">
        <v>1119</v>
      </c>
      <c r="P77">
        <v>12</v>
      </c>
      <c r="Q77">
        <v>424</v>
      </c>
      <c r="R77">
        <v>11838.61</v>
      </c>
    </row>
    <row r="78" spans="10:18">
      <c r="J78">
        <v>1995</v>
      </c>
      <c r="K78">
        <v>5</v>
      </c>
      <c r="L78" t="s">
        <v>1512</v>
      </c>
      <c r="M78">
        <v>2</v>
      </c>
      <c r="N78" t="s">
        <v>1511</v>
      </c>
      <c r="O78" t="s">
        <v>1121</v>
      </c>
      <c r="P78">
        <v>9</v>
      </c>
      <c r="Q78">
        <v>291</v>
      </c>
      <c r="R78">
        <v>8415.6</v>
      </c>
    </row>
    <row r="79" spans="10:18">
      <c r="J79">
        <v>1995</v>
      </c>
      <c r="K79">
        <v>5</v>
      </c>
      <c r="L79" t="s">
        <v>1512</v>
      </c>
      <c r="M79">
        <v>2</v>
      </c>
      <c r="N79" t="s">
        <v>1511</v>
      </c>
      <c r="O79" t="s">
        <v>1123</v>
      </c>
      <c r="P79">
        <v>9</v>
      </c>
      <c r="Q79">
        <v>240</v>
      </c>
      <c r="R79">
        <v>6544.4</v>
      </c>
    </row>
    <row r="80" spans="10:18">
      <c r="J80">
        <v>1995</v>
      </c>
      <c r="K80">
        <v>5</v>
      </c>
      <c r="L80" t="s">
        <v>1512</v>
      </c>
      <c r="M80">
        <v>2</v>
      </c>
      <c r="N80" t="s">
        <v>1511</v>
      </c>
      <c r="O80" t="s">
        <v>1125</v>
      </c>
      <c r="P80">
        <v>6</v>
      </c>
      <c r="Q80">
        <v>93</v>
      </c>
      <c r="R80">
        <v>6613.44</v>
      </c>
    </row>
    <row r="81" spans="10:18">
      <c r="J81">
        <v>1995</v>
      </c>
      <c r="K81">
        <v>5</v>
      </c>
      <c r="L81" t="s">
        <v>1512</v>
      </c>
      <c r="M81">
        <v>2</v>
      </c>
      <c r="N81" t="s">
        <v>1511</v>
      </c>
      <c r="O81" t="s">
        <v>1127</v>
      </c>
      <c r="P81">
        <v>6</v>
      </c>
      <c r="Q81">
        <v>186</v>
      </c>
      <c r="R81">
        <v>5893.86</v>
      </c>
    </row>
    <row r="82" spans="10:18">
      <c r="J82">
        <v>1995</v>
      </c>
      <c r="K82">
        <v>5</v>
      </c>
      <c r="L82" t="s">
        <v>1512</v>
      </c>
      <c r="M82">
        <v>2</v>
      </c>
      <c r="N82" t="s">
        <v>1511</v>
      </c>
      <c r="O82" t="s">
        <v>1129</v>
      </c>
      <c r="P82">
        <v>9</v>
      </c>
      <c r="Q82">
        <v>241</v>
      </c>
      <c r="R82">
        <v>4048.29</v>
      </c>
    </row>
    <row r="83" spans="10:18">
      <c r="J83">
        <v>1995</v>
      </c>
      <c r="K83">
        <v>6</v>
      </c>
      <c r="L83" t="s">
        <v>1513</v>
      </c>
      <c r="M83">
        <v>2</v>
      </c>
      <c r="N83" t="s">
        <v>1511</v>
      </c>
      <c r="O83" t="s">
        <v>1115</v>
      </c>
      <c r="P83">
        <v>12</v>
      </c>
      <c r="Q83">
        <v>322</v>
      </c>
      <c r="R83">
        <v>15422.25</v>
      </c>
    </row>
    <row r="84" spans="10:18">
      <c r="J84">
        <v>1995</v>
      </c>
      <c r="K84">
        <v>6</v>
      </c>
      <c r="L84" t="s">
        <v>1513</v>
      </c>
      <c r="M84">
        <v>2</v>
      </c>
      <c r="N84" t="s">
        <v>1511</v>
      </c>
      <c r="O84" t="s">
        <v>1117</v>
      </c>
      <c r="P84">
        <v>9</v>
      </c>
      <c r="Q84">
        <v>300</v>
      </c>
      <c r="R84">
        <v>5453.02</v>
      </c>
    </row>
    <row r="85" spans="10:18">
      <c r="J85">
        <v>1995</v>
      </c>
      <c r="K85">
        <v>6</v>
      </c>
      <c r="L85" t="s">
        <v>1513</v>
      </c>
      <c r="M85">
        <v>2</v>
      </c>
      <c r="N85" t="s">
        <v>1511</v>
      </c>
      <c r="O85" t="s">
        <v>1119</v>
      </c>
      <c r="P85">
        <v>9</v>
      </c>
      <c r="Q85">
        <v>291</v>
      </c>
      <c r="R85">
        <v>7689.82</v>
      </c>
    </row>
    <row r="86" spans="10:18">
      <c r="J86">
        <v>1995</v>
      </c>
      <c r="K86">
        <v>6</v>
      </c>
      <c r="L86" t="s">
        <v>1513</v>
      </c>
      <c r="M86">
        <v>2</v>
      </c>
      <c r="N86" t="s">
        <v>1511</v>
      </c>
      <c r="O86" t="s">
        <v>1121</v>
      </c>
      <c r="P86">
        <v>17</v>
      </c>
      <c r="Q86">
        <v>494</v>
      </c>
      <c r="R86">
        <v>10435.58</v>
      </c>
    </row>
    <row r="87" spans="10:18">
      <c r="J87">
        <v>1995</v>
      </c>
      <c r="K87">
        <v>6</v>
      </c>
      <c r="L87" t="s">
        <v>1513</v>
      </c>
      <c r="M87">
        <v>2</v>
      </c>
      <c r="N87" t="s">
        <v>1511</v>
      </c>
      <c r="O87" t="s">
        <v>1123</v>
      </c>
      <c r="P87">
        <v>5</v>
      </c>
      <c r="Q87">
        <v>149</v>
      </c>
      <c r="R87">
        <v>2267.25</v>
      </c>
    </row>
    <row r="88" spans="10:18">
      <c r="J88">
        <v>1995</v>
      </c>
      <c r="K88">
        <v>6</v>
      </c>
      <c r="L88" t="s">
        <v>1513</v>
      </c>
      <c r="M88">
        <v>2</v>
      </c>
      <c r="N88" t="s">
        <v>1511</v>
      </c>
      <c r="O88" t="s">
        <v>1125</v>
      </c>
      <c r="P88">
        <v>7</v>
      </c>
      <c r="Q88">
        <v>136</v>
      </c>
      <c r="R88">
        <v>3395.51</v>
      </c>
    </row>
    <row r="89" spans="10:18">
      <c r="J89">
        <v>1995</v>
      </c>
      <c r="K89">
        <v>6</v>
      </c>
      <c r="L89" t="s">
        <v>1513</v>
      </c>
      <c r="M89">
        <v>2</v>
      </c>
      <c r="N89" t="s">
        <v>1511</v>
      </c>
      <c r="O89" t="s">
        <v>1127</v>
      </c>
      <c r="P89">
        <v>4</v>
      </c>
      <c r="Q89">
        <v>71</v>
      </c>
      <c r="R89">
        <v>3099.6</v>
      </c>
    </row>
    <row r="90" spans="10:18">
      <c r="J90">
        <v>1995</v>
      </c>
      <c r="K90">
        <v>6</v>
      </c>
      <c r="L90" t="s">
        <v>1513</v>
      </c>
      <c r="M90">
        <v>2</v>
      </c>
      <c r="N90" t="s">
        <v>1511</v>
      </c>
      <c r="O90" t="s">
        <v>1129</v>
      </c>
      <c r="P90">
        <v>14</v>
      </c>
      <c r="Q90">
        <v>401</v>
      </c>
      <c r="R90">
        <v>6018.26</v>
      </c>
    </row>
    <row r="91" spans="10:18">
      <c r="J91">
        <v>1995</v>
      </c>
      <c r="K91">
        <v>7</v>
      </c>
      <c r="L91" t="s">
        <v>1514</v>
      </c>
      <c r="M91">
        <v>3</v>
      </c>
      <c r="N91" t="s">
        <v>1500</v>
      </c>
      <c r="O91" t="s">
        <v>1115</v>
      </c>
      <c r="P91">
        <v>14</v>
      </c>
      <c r="Q91">
        <v>313</v>
      </c>
      <c r="R91">
        <v>3485.42</v>
      </c>
    </row>
    <row r="92" spans="10:18">
      <c r="J92">
        <v>1995</v>
      </c>
      <c r="K92">
        <v>7</v>
      </c>
      <c r="L92" t="s">
        <v>1514</v>
      </c>
      <c r="M92">
        <v>3</v>
      </c>
      <c r="N92" t="s">
        <v>1500</v>
      </c>
      <c r="O92" t="s">
        <v>1117</v>
      </c>
      <c r="P92">
        <v>6</v>
      </c>
      <c r="Q92">
        <v>95</v>
      </c>
      <c r="R92">
        <v>1855.28</v>
      </c>
    </row>
    <row r="93" spans="10:18">
      <c r="J93">
        <v>1995</v>
      </c>
      <c r="K93">
        <v>7</v>
      </c>
      <c r="L93" t="s">
        <v>1514</v>
      </c>
      <c r="M93">
        <v>3</v>
      </c>
      <c r="N93" t="s">
        <v>1500</v>
      </c>
      <c r="O93" t="s">
        <v>1119</v>
      </c>
      <c r="P93">
        <v>6</v>
      </c>
      <c r="Q93">
        <v>107</v>
      </c>
      <c r="R93">
        <v>2174.89</v>
      </c>
    </row>
    <row r="94" spans="10:18">
      <c r="J94">
        <v>1995</v>
      </c>
      <c r="K94">
        <v>7</v>
      </c>
      <c r="L94" t="s">
        <v>1514</v>
      </c>
      <c r="M94">
        <v>3</v>
      </c>
      <c r="N94" t="s">
        <v>1500</v>
      </c>
      <c r="O94" t="s">
        <v>1121</v>
      </c>
      <c r="P94">
        <v>13</v>
      </c>
      <c r="Q94">
        <v>405</v>
      </c>
      <c r="R94">
        <v>8455.7999999999993</v>
      </c>
    </row>
    <row r="95" spans="10:18">
      <c r="J95">
        <v>1995</v>
      </c>
      <c r="K95">
        <v>7</v>
      </c>
      <c r="L95" t="s">
        <v>1514</v>
      </c>
      <c r="M95">
        <v>3</v>
      </c>
      <c r="N95" t="s">
        <v>1500</v>
      </c>
      <c r="O95" t="s">
        <v>1123</v>
      </c>
      <c r="P95">
        <v>10</v>
      </c>
      <c r="Q95">
        <v>292</v>
      </c>
      <c r="R95">
        <v>6345.85</v>
      </c>
    </row>
    <row r="96" spans="10:18">
      <c r="J96">
        <v>1995</v>
      </c>
      <c r="K96">
        <v>7</v>
      </c>
      <c r="L96" t="s">
        <v>1514</v>
      </c>
      <c r="M96">
        <v>3</v>
      </c>
      <c r="N96" t="s">
        <v>1500</v>
      </c>
      <c r="O96" t="s">
        <v>1125</v>
      </c>
      <c r="P96">
        <v>5</v>
      </c>
      <c r="Q96">
        <v>130</v>
      </c>
      <c r="R96">
        <v>4923.5</v>
      </c>
    </row>
    <row r="97" spans="10:18">
      <c r="J97">
        <v>1995</v>
      </c>
      <c r="K97">
        <v>7</v>
      </c>
      <c r="L97" t="s">
        <v>1514</v>
      </c>
      <c r="M97">
        <v>3</v>
      </c>
      <c r="N97" t="s">
        <v>1500</v>
      </c>
      <c r="O97" t="s">
        <v>1127</v>
      </c>
      <c r="P97">
        <v>6</v>
      </c>
      <c r="Q97">
        <v>149</v>
      </c>
      <c r="R97">
        <v>5823.7</v>
      </c>
    </row>
    <row r="98" spans="10:18">
      <c r="J98">
        <v>1995</v>
      </c>
      <c r="K98">
        <v>7</v>
      </c>
      <c r="L98" t="s">
        <v>1514</v>
      </c>
      <c r="M98">
        <v>3</v>
      </c>
      <c r="N98" t="s">
        <v>1500</v>
      </c>
      <c r="O98" t="s">
        <v>1129</v>
      </c>
      <c r="P98">
        <v>9</v>
      </c>
      <c r="Q98">
        <v>144</v>
      </c>
      <c r="R98">
        <v>3298.37</v>
      </c>
    </row>
    <row r="99" spans="10:18">
      <c r="J99">
        <v>1995</v>
      </c>
      <c r="K99">
        <v>8</v>
      </c>
      <c r="L99" t="s">
        <v>1499</v>
      </c>
      <c r="M99">
        <v>3</v>
      </c>
      <c r="N99" t="s">
        <v>1500</v>
      </c>
      <c r="O99" t="s">
        <v>1115</v>
      </c>
      <c r="P99">
        <v>14</v>
      </c>
      <c r="Q99">
        <v>327</v>
      </c>
      <c r="R99">
        <v>7889.22</v>
      </c>
    </row>
    <row r="100" spans="10:18">
      <c r="J100">
        <v>1995</v>
      </c>
      <c r="K100">
        <v>8</v>
      </c>
      <c r="L100" t="s">
        <v>1499</v>
      </c>
      <c r="M100">
        <v>3</v>
      </c>
      <c r="N100" t="s">
        <v>1500</v>
      </c>
      <c r="O100" t="s">
        <v>1117</v>
      </c>
      <c r="P100">
        <v>9</v>
      </c>
      <c r="Q100">
        <v>300</v>
      </c>
      <c r="R100">
        <v>5519.84</v>
      </c>
    </row>
    <row r="101" spans="10:18">
      <c r="J101">
        <v>1995</v>
      </c>
      <c r="K101">
        <v>8</v>
      </c>
      <c r="L101" t="s">
        <v>1499</v>
      </c>
      <c r="M101">
        <v>3</v>
      </c>
      <c r="N101" t="s">
        <v>1500</v>
      </c>
      <c r="O101" t="s">
        <v>1119</v>
      </c>
      <c r="P101">
        <v>13</v>
      </c>
      <c r="Q101">
        <v>210</v>
      </c>
      <c r="R101">
        <v>6462.6</v>
      </c>
    </row>
    <row r="102" spans="10:18">
      <c r="J102">
        <v>1995</v>
      </c>
      <c r="K102">
        <v>8</v>
      </c>
      <c r="L102" t="s">
        <v>1499</v>
      </c>
      <c r="M102">
        <v>3</v>
      </c>
      <c r="N102" t="s">
        <v>1500</v>
      </c>
      <c r="O102" t="s">
        <v>1121</v>
      </c>
      <c r="P102">
        <v>11</v>
      </c>
      <c r="Q102">
        <v>374</v>
      </c>
      <c r="R102">
        <v>12387.35</v>
      </c>
    </row>
    <row r="103" spans="10:18">
      <c r="J103">
        <v>1995</v>
      </c>
      <c r="K103">
        <v>8</v>
      </c>
      <c r="L103" t="s">
        <v>1499</v>
      </c>
      <c r="M103">
        <v>3</v>
      </c>
      <c r="N103" t="s">
        <v>1500</v>
      </c>
      <c r="O103" t="s">
        <v>1123</v>
      </c>
      <c r="P103">
        <v>8</v>
      </c>
      <c r="Q103">
        <v>243</v>
      </c>
      <c r="R103">
        <v>4457.8</v>
      </c>
    </row>
    <row r="104" spans="10:18">
      <c r="J104">
        <v>1995</v>
      </c>
      <c r="K104">
        <v>8</v>
      </c>
      <c r="L104" t="s">
        <v>1499</v>
      </c>
      <c r="M104">
        <v>3</v>
      </c>
      <c r="N104" t="s">
        <v>1500</v>
      </c>
      <c r="O104" t="s">
        <v>1125</v>
      </c>
      <c r="P104">
        <v>5</v>
      </c>
      <c r="Q104">
        <v>179</v>
      </c>
      <c r="R104">
        <v>4806.3</v>
      </c>
    </row>
    <row r="105" spans="10:18">
      <c r="J105">
        <v>1995</v>
      </c>
      <c r="K105">
        <v>8</v>
      </c>
      <c r="L105" t="s">
        <v>1499</v>
      </c>
      <c r="M105">
        <v>3</v>
      </c>
      <c r="N105" t="s">
        <v>1500</v>
      </c>
      <c r="O105" t="s">
        <v>1127</v>
      </c>
      <c r="P105">
        <v>2</v>
      </c>
      <c r="Q105">
        <v>55</v>
      </c>
      <c r="R105">
        <v>1650</v>
      </c>
    </row>
    <row r="106" spans="10:18">
      <c r="J106">
        <v>1995</v>
      </c>
      <c r="K106">
        <v>8</v>
      </c>
      <c r="L106" t="s">
        <v>1499</v>
      </c>
      <c r="M106">
        <v>3</v>
      </c>
      <c r="N106" t="s">
        <v>1500</v>
      </c>
      <c r="O106" t="s">
        <v>1129</v>
      </c>
      <c r="P106">
        <v>9</v>
      </c>
      <c r="Q106">
        <v>366</v>
      </c>
      <c r="R106">
        <v>7847.75</v>
      </c>
    </row>
    <row r="107" spans="10:18">
      <c r="J107">
        <v>1995</v>
      </c>
      <c r="K107">
        <v>9</v>
      </c>
      <c r="L107" t="s">
        <v>1501</v>
      </c>
      <c r="M107">
        <v>3</v>
      </c>
      <c r="N107" t="s">
        <v>1500</v>
      </c>
      <c r="O107" t="s">
        <v>1115</v>
      </c>
      <c r="P107">
        <v>16</v>
      </c>
      <c r="Q107">
        <v>334</v>
      </c>
      <c r="R107">
        <v>5836.92</v>
      </c>
    </row>
    <row r="108" spans="10:18">
      <c r="J108">
        <v>1995</v>
      </c>
      <c r="K108">
        <v>9</v>
      </c>
      <c r="L108" t="s">
        <v>1501</v>
      </c>
      <c r="M108">
        <v>3</v>
      </c>
      <c r="N108" t="s">
        <v>1500</v>
      </c>
      <c r="O108" t="s">
        <v>1117</v>
      </c>
      <c r="P108">
        <v>7</v>
      </c>
      <c r="Q108">
        <v>206</v>
      </c>
      <c r="R108">
        <v>4220.0200000000004</v>
      </c>
    </row>
    <row r="109" spans="10:18">
      <c r="J109">
        <v>1995</v>
      </c>
      <c r="K109">
        <v>9</v>
      </c>
      <c r="L109" t="s">
        <v>1501</v>
      </c>
      <c r="M109">
        <v>3</v>
      </c>
      <c r="N109" t="s">
        <v>1500</v>
      </c>
      <c r="O109" t="s">
        <v>1119</v>
      </c>
      <c r="P109">
        <v>10</v>
      </c>
      <c r="Q109">
        <v>335</v>
      </c>
      <c r="R109">
        <v>7105.63</v>
      </c>
    </row>
    <row r="110" spans="10:18">
      <c r="J110">
        <v>1995</v>
      </c>
      <c r="K110">
        <v>9</v>
      </c>
      <c r="L110" t="s">
        <v>1501</v>
      </c>
      <c r="M110">
        <v>3</v>
      </c>
      <c r="N110" t="s">
        <v>1500</v>
      </c>
      <c r="O110" t="s">
        <v>1121</v>
      </c>
      <c r="P110">
        <v>10</v>
      </c>
      <c r="Q110">
        <v>256</v>
      </c>
      <c r="R110">
        <v>6826.55</v>
      </c>
    </row>
    <row r="111" spans="10:18">
      <c r="J111">
        <v>1995</v>
      </c>
      <c r="K111">
        <v>9</v>
      </c>
      <c r="L111" t="s">
        <v>1501</v>
      </c>
      <c r="M111">
        <v>3</v>
      </c>
      <c r="N111" t="s">
        <v>1500</v>
      </c>
      <c r="O111" t="s">
        <v>1123</v>
      </c>
      <c r="P111">
        <v>9</v>
      </c>
      <c r="Q111">
        <v>204</v>
      </c>
      <c r="R111">
        <v>5415.25</v>
      </c>
    </row>
    <row r="112" spans="10:18">
      <c r="J112">
        <v>1995</v>
      </c>
      <c r="K112">
        <v>9</v>
      </c>
      <c r="L112" t="s">
        <v>1501</v>
      </c>
      <c r="M112">
        <v>3</v>
      </c>
      <c r="N112" t="s">
        <v>1500</v>
      </c>
      <c r="O112" t="s">
        <v>1125</v>
      </c>
      <c r="P112">
        <v>5</v>
      </c>
      <c r="Q112">
        <v>105</v>
      </c>
      <c r="R112">
        <v>4888.24</v>
      </c>
    </row>
    <row r="113" spans="10:18">
      <c r="J113">
        <v>1995</v>
      </c>
      <c r="K113">
        <v>9</v>
      </c>
      <c r="L113" t="s">
        <v>1501</v>
      </c>
      <c r="M113">
        <v>3</v>
      </c>
      <c r="N113" t="s">
        <v>1500</v>
      </c>
      <c r="O113" t="s">
        <v>1127</v>
      </c>
      <c r="P113">
        <v>6</v>
      </c>
      <c r="Q113">
        <v>119</v>
      </c>
      <c r="R113">
        <v>4284</v>
      </c>
    </row>
    <row r="114" spans="10:18">
      <c r="J114">
        <v>1995</v>
      </c>
      <c r="K114">
        <v>9</v>
      </c>
      <c r="L114" t="s">
        <v>1501</v>
      </c>
      <c r="M114">
        <v>3</v>
      </c>
      <c r="N114" t="s">
        <v>1500</v>
      </c>
      <c r="O114" t="s">
        <v>1129</v>
      </c>
      <c r="P114">
        <v>12</v>
      </c>
      <c r="Q114">
        <v>302</v>
      </c>
      <c r="R114">
        <v>8711.0499999999993</v>
      </c>
    </row>
    <row r="115" spans="10:18">
      <c r="J115">
        <v>1995</v>
      </c>
      <c r="K115">
        <v>10</v>
      </c>
      <c r="L115" t="s">
        <v>1502</v>
      </c>
      <c r="M115">
        <v>4</v>
      </c>
      <c r="N115" t="s">
        <v>1503</v>
      </c>
      <c r="O115" t="s">
        <v>1115</v>
      </c>
      <c r="P115">
        <v>8</v>
      </c>
      <c r="Q115">
        <v>174</v>
      </c>
      <c r="R115">
        <v>5726.7</v>
      </c>
    </row>
    <row r="116" spans="10:18">
      <c r="J116">
        <v>1995</v>
      </c>
      <c r="K116">
        <v>10</v>
      </c>
      <c r="L116" t="s">
        <v>1502</v>
      </c>
      <c r="M116">
        <v>4</v>
      </c>
      <c r="N116" t="s">
        <v>1503</v>
      </c>
      <c r="O116" t="s">
        <v>1117</v>
      </c>
      <c r="P116">
        <v>9</v>
      </c>
      <c r="Q116">
        <v>222</v>
      </c>
      <c r="R116">
        <v>3575.18</v>
      </c>
    </row>
    <row r="117" spans="10:18">
      <c r="J117">
        <v>1995</v>
      </c>
      <c r="K117">
        <v>10</v>
      </c>
      <c r="L117" t="s">
        <v>1502</v>
      </c>
      <c r="M117">
        <v>4</v>
      </c>
      <c r="N117" t="s">
        <v>1503</v>
      </c>
      <c r="O117" t="s">
        <v>1119</v>
      </c>
      <c r="P117">
        <v>16</v>
      </c>
      <c r="Q117">
        <v>371</v>
      </c>
      <c r="R117">
        <v>6708.59</v>
      </c>
    </row>
    <row r="118" spans="10:18">
      <c r="J118">
        <v>1995</v>
      </c>
      <c r="K118">
        <v>10</v>
      </c>
      <c r="L118" t="s">
        <v>1502</v>
      </c>
      <c r="M118">
        <v>4</v>
      </c>
      <c r="N118" t="s">
        <v>1503</v>
      </c>
      <c r="O118" t="s">
        <v>1121</v>
      </c>
      <c r="P118">
        <v>14</v>
      </c>
      <c r="Q118">
        <v>435</v>
      </c>
      <c r="R118">
        <v>11420.3</v>
      </c>
    </row>
    <row r="119" spans="10:18">
      <c r="J119">
        <v>1995</v>
      </c>
      <c r="K119">
        <v>10</v>
      </c>
      <c r="L119" t="s">
        <v>1502</v>
      </c>
      <c r="M119">
        <v>4</v>
      </c>
      <c r="N119" t="s">
        <v>1503</v>
      </c>
      <c r="O119" t="s">
        <v>1123</v>
      </c>
      <c r="P119">
        <v>12</v>
      </c>
      <c r="Q119">
        <v>262</v>
      </c>
      <c r="R119">
        <v>5371.48</v>
      </c>
    </row>
    <row r="120" spans="10:18">
      <c r="J120">
        <v>1995</v>
      </c>
      <c r="K120">
        <v>10</v>
      </c>
      <c r="L120" t="s">
        <v>1502</v>
      </c>
      <c r="M120">
        <v>4</v>
      </c>
      <c r="N120" t="s">
        <v>1503</v>
      </c>
      <c r="O120" t="s">
        <v>1125</v>
      </c>
      <c r="P120">
        <v>7</v>
      </c>
      <c r="Q120">
        <v>176</v>
      </c>
      <c r="R120">
        <v>10945.97</v>
      </c>
    </row>
    <row r="121" spans="10:18">
      <c r="J121">
        <v>1995</v>
      </c>
      <c r="K121">
        <v>10</v>
      </c>
      <c r="L121" t="s">
        <v>1502</v>
      </c>
      <c r="M121">
        <v>4</v>
      </c>
      <c r="N121" t="s">
        <v>1503</v>
      </c>
      <c r="O121" t="s">
        <v>1127</v>
      </c>
      <c r="P121">
        <v>4</v>
      </c>
      <c r="Q121">
        <v>73</v>
      </c>
      <c r="R121">
        <v>2827.28</v>
      </c>
    </row>
    <row r="122" spans="10:18">
      <c r="J122">
        <v>1995</v>
      </c>
      <c r="K122">
        <v>10</v>
      </c>
      <c r="L122" t="s">
        <v>1502</v>
      </c>
      <c r="M122">
        <v>4</v>
      </c>
      <c r="N122" t="s">
        <v>1503</v>
      </c>
      <c r="O122" t="s">
        <v>1129</v>
      </c>
      <c r="P122">
        <v>16</v>
      </c>
      <c r="Q122">
        <v>630</v>
      </c>
      <c r="R122">
        <v>9053.76</v>
      </c>
    </row>
    <row r="123" spans="10:18">
      <c r="J123">
        <v>1995</v>
      </c>
      <c r="K123">
        <v>11</v>
      </c>
      <c r="L123" t="s">
        <v>1504</v>
      </c>
      <c r="M123">
        <v>4</v>
      </c>
      <c r="N123" t="s">
        <v>1503</v>
      </c>
      <c r="O123" t="s">
        <v>1115</v>
      </c>
      <c r="P123">
        <v>17</v>
      </c>
      <c r="Q123">
        <v>491</v>
      </c>
      <c r="R123">
        <v>8374.9</v>
      </c>
    </row>
    <row r="124" spans="10:18">
      <c r="J124">
        <v>1995</v>
      </c>
      <c r="K124">
        <v>11</v>
      </c>
      <c r="L124" t="s">
        <v>1504</v>
      </c>
      <c r="M124">
        <v>4</v>
      </c>
      <c r="N124" t="s">
        <v>1503</v>
      </c>
      <c r="O124" t="s">
        <v>1117</v>
      </c>
      <c r="P124">
        <v>12</v>
      </c>
      <c r="Q124">
        <v>270</v>
      </c>
      <c r="R124">
        <v>6565.91</v>
      </c>
    </row>
    <row r="125" spans="10:18">
      <c r="J125">
        <v>1995</v>
      </c>
      <c r="K125">
        <v>11</v>
      </c>
      <c r="L125" t="s">
        <v>1504</v>
      </c>
      <c r="M125">
        <v>4</v>
      </c>
      <c r="N125" t="s">
        <v>1503</v>
      </c>
      <c r="O125" t="s">
        <v>1119</v>
      </c>
      <c r="P125">
        <v>15</v>
      </c>
      <c r="Q125">
        <v>390</v>
      </c>
      <c r="R125">
        <v>7800.7</v>
      </c>
    </row>
    <row r="126" spans="10:18">
      <c r="J126">
        <v>1995</v>
      </c>
      <c r="K126">
        <v>11</v>
      </c>
      <c r="L126" t="s">
        <v>1504</v>
      </c>
      <c r="M126">
        <v>4</v>
      </c>
      <c r="N126" t="s">
        <v>1503</v>
      </c>
      <c r="O126" t="s">
        <v>1121</v>
      </c>
      <c r="P126">
        <v>15</v>
      </c>
      <c r="Q126">
        <v>422</v>
      </c>
      <c r="R126">
        <v>12869</v>
      </c>
    </row>
    <row r="127" spans="10:18">
      <c r="J127">
        <v>1995</v>
      </c>
      <c r="K127">
        <v>11</v>
      </c>
      <c r="L127" t="s">
        <v>1504</v>
      </c>
      <c r="M127">
        <v>4</v>
      </c>
      <c r="N127" t="s">
        <v>1503</v>
      </c>
      <c r="O127" t="s">
        <v>1123</v>
      </c>
      <c r="P127">
        <v>4</v>
      </c>
      <c r="Q127">
        <v>108</v>
      </c>
      <c r="R127">
        <v>3003</v>
      </c>
    </row>
    <row r="128" spans="10:18">
      <c r="J128">
        <v>1995</v>
      </c>
      <c r="K128">
        <v>11</v>
      </c>
      <c r="L128" t="s">
        <v>1504</v>
      </c>
      <c r="M128">
        <v>4</v>
      </c>
      <c r="N128" t="s">
        <v>1503</v>
      </c>
      <c r="O128" t="s">
        <v>1125</v>
      </c>
      <c r="P128">
        <v>10</v>
      </c>
      <c r="Q128">
        <v>372</v>
      </c>
      <c r="R128">
        <v>14059.64</v>
      </c>
    </row>
    <row r="129" spans="10:18">
      <c r="J129">
        <v>1995</v>
      </c>
      <c r="K129">
        <v>11</v>
      </c>
      <c r="L129" t="s">
        <v>1504</v>
      </c>
      <c r="M129">
        <v>4</v>
      </c>
      <c r="N129" t="s">
        <v>1503</v>
      </c>
      <c r="O129" t="s">
        <v>1127</v>
      </c>
      <c r="P129">
        <v>4</v>
      </c>
      <c r="Q129">
        <v>185</v>
      </c>
      <c r="R129">
        <v>7017.4</v>
      </c>
    </row>
    <row r="130" spans="10:18">
      <c r="J130">
        <v>1995</v>
      </c>
      <c r="K130">
        <v>11</v>
      </c>
      <c r="L130" t="s">
        <v>1504</v>
      </c>
      <c r="M130">
        <v>4</v>
      </c>
      <c r="N130" t="s">
        <v>1503</v>
      </c>
      <c r="O130" t="s">
        <v>1129</v>
      </c>
      <c r="P130">
        <v>13</v>
      </c>
      <c r="Q130">
        <v>419</v>
      </c>
      <c r="R130">
        <v>6770.88</v>
      </c>
    </row>
    <row r="131" spans="10:18">
      <c r="J131">
        <v>1995</v>
      </c>
      <c r="K131">
        <v>12</v>
      </c>
      <c r="L131" t="s">
        <v>1505</v>
      </c>
      <c r="M131">
        <v>4</v>
      </c>
      <c r="N131" t="s">
        <v>1503</v>
      </c>
      <c r="O131" t="s">
        <v>1115</v>
      </c>
      <c r="P131">
        <v>10</v>
      </c>
      <c r="Q131">
        <v>248</v>
      </c>
      <c r="R131">
        <v>3851</v>
      </c>
    </row>
    <row r="132" spans="10:18">
      <c r="J132">
        <v>1995</v>
      </c>
      <c r="K132">
        <v>12</v>
      </c>
      <c r="L132" t="s">
        <v>1505</v>
      </c>
      <c r="M132">
        <v>4</v>
      </c>
      <c r="N132" t="s">
        <v>1503</v>
      </c>
      <c r="O132" t="s">
        <v>1117</v>
      </c>
      <c r="P132">
        <v>8</v>
      </c>
      <c r="Q132">
        <v>172</v>
      </c>
      <c r="R132">
        <v>3784.68</v>
      </c>
    </row>
    <row r="133" spans="10:18">
      <c r="J133">
        <v>1995</v>
      </c>
      <c r="K133">
        <v>12</v>
      </c>
      <c r="L133" t="s">
        <v>1505</v>
      </c>
      <c r="M133">
        <v>4</v>
      </c>
      <c r="N133" t="s">
        <v>1503</v>
      </c>
      <c r="O133" t="s">
        <v>1119</v>
      </c>
      <c r="P133">
        <v>10</v>
      </c>
      <c r="Q133">
        <v>255</v>
      </c>
      <c r="R133">
        <v>5081.8500000000004</v>
      </c>
    </row>
    <row r="134" spans="10:18">
      <c r="J134">
        <v>1995</v>
      </c>
      <c r="K134">
        <v>12</v>
      </c>
      <c r="L134" t="s">
        <v>1505</v>
      </c>
      <c r="M134">
        <v>4</v>
      </c>
      <c r="N134" t="s">
        <v>1503</v>
      </c>
      <c r="O134" t="s">
        <v>1121</v>
      </c>
      <c r="P134">
        <v>15</v>
      </c>
      <c r="Q134">
        <v>344</v>
      </c>
      <c r="R134">
        <v>12992.48</v>
      </c>
    </row>
    <row r="135" spans="10:18">
      <c r="J135">
        <v>1995</v>
      </c>
      <c r="K135">
        <v>12</v>
      </c>
      <c r="L135" t="s">
        <v>1505</v>
      </c>
      <c r="M135">
        <v>4</v>
      </c>
      <c r="N135" t="s">
        <v>1503</v>
      </c>
      <c r="O135" t="s">
        <v>1123</v>
      </c>
      <c r="P135">
        <v>11</v>
      </c>
      <c r="Q135">
        <v>314</v>
      </c>
      <c r="R135">
        <v>5815.35</v>
      </c>
    </row>
    <row r="136" spans="10:18">
      <c r="J136">
        <v>1995</v>
      </c>
      <c r="K136">
        <v>12</v>
      </c>
      <c r="L136" t="s">
        <v>1505</v>
      </c>
      <c r="M136">
        <v>4</v>
      </c>
      <c r="N136" t="s">
        <v>1503</v>
      </c>
      <c r="O136" t="s">
        <v>1125</v>
      </c>
      <c r="P136">
        <v>3</v>
      </c>
      <c r="Q136">
        <v>38</v>
      </c>
      <c r="R136">
        <v>1173</v>
      </c>
    </row>
    <row r="137" spans="10:18">
      <c r="J137">
        <v>1995</v>
      </c>
      <c r="K137">
        <v>12</v>
      </c>
      <c r="L137" t="s">
        <v>1505</v>
      </c>
      <c r="M137">
        <v>4</v>
      </c>
      <c r="N137" t="s">
        <v>1503</v>
      </c>
      <c r="O137" t="s">
        <v>1127</v>
      </c>
      <c r="P137">
        <v>5</v>
      </c>
      <c r="Q137">
        <v>81</v>
      </c>
      <c r="R137">
        <v>3125.71</v>
      </c>
    </row>
    <row r="138" spans="10:18">
      <c r="J138">
        <v>1995</v>
      </c>
      <c r="K138">
        <v>12</v>
      </c>
      <c r="L138" t="s">
        <v>1505</v>
      </c>
      <c r="M138">
        <v>4</v>
      </c>
      <c r="N138" t="s">
        <v>1503</v>
      </c>
      <c r="O138" t="s">
        <v>1129</v>
      </c>
      <c r="P138">
        <v>17</v>
      </c>
      <c r="Q138">
        <v>426</v>
      </c>
      <c r="R138">
        <v>7997.55</v>
      </c>
    </row>
    <row r="139" spans="10:18">
      <c r="J139">
        <v>1996</v>
      </c>
      <c r="K139">
        <v>1</v>
      </c>
      <c r="L139" t="s">
        <v>1506</v>
      </c>
      <c r="M139">
        <v>1</v>
      </c>
      <c r="N139" t="s">
        <v>1507</v>
      </c>
      <c r="O139" t="s">
        <v>1115</v>
      </c>
      <c r="P139">
        <v>20</v>
      </c>
      <c r="Q139">
        <v>498</v>
      </c>
      <c r="R139">
        <v>10876.65</v>
      </c>
    </row>
    <row r="140" spans="10:18">
      <c r="J140">
        <v>1996</v>
      </c>
      <c r="K140">
        <v>1</v>
      </c>
      <c r="L140" t="s">
        <v>1506</v>
      </c>
      <c r="M140">
        <v>1</v>
      </c>
      <c r="N140" t="s">
        <v>1507</v>
      </c>
      <c r="O140" t="s">
        <v>1117</v>
      </c>
      <c r="P140">
        <v>9</v>
      </c>
      <c r="Q140">
        <v>257</v>
      </c>
      <c r="R140">
        <v>5824.2</v>
      </c>
    </row>
    <row r="141" spans="10:18">
      <c r="J141">
        <v>1996</v>
      </c>
      <c r="K141">
        <v>1</v>
      </c>
      <c r="L141" t="s">
        <v>1506</v>
      </c>
      <c r="M141">
        <v>1</v>
      </c>
      <c r="N141" t="s">
        <v>1507</v>
      </c>
      <c r="O141" t="s">
        <v>1119</v>
      </c>
      <c r="P141">
        <v>16</v>
      </c>
      <c r="Q141">
        <v>471</v>
      </c>
      <c r="R141">
        <v>8778.15</v>
      </c>
    </row>
    <row r="142" spans="10:18">
      <c r="J142">
        <v>1996</v>
      </c>
      <c r="K142">
        <v>1</v>
      </c>
      <c r="L142" t="s">
        <v>1506</v>
      </c>
      <c r="M142">
        <v>1</v>
      </c>
      <c r="N142" t="s">
        <v>1507</v>
      </c>
      <c r="O142" t="s">
        <v>1121</v>
      </c>
      <c r="P142">
        <v>16</v>
      </c>
      <c r="Q142">
        <v>406</v>
      </c>
      <c r="R142">
        <v>9844.85</v>
      </c>
    </row>
    <row r="143" spans="10:18">
      <c r="J143">
        <v>1996</v>
      </c>
      <c r="K143">
        <v>1</v>
      </c>
      <c r="L143" t="s">
        <v>1506</v>
      </c>
      <c r="M143">
        <v>1</v>
      </c>
      <c r="N143" t="s">
        <v>1507</v>
      </c>
      <c r="O143" t="s">
        <v>1123</v>
      </c>
      <c r="P143">
        <v>11</v>
      </c>
      <c r="Q143">
        <v>202</v>
      </c>
      <c r="R143">
        <v>5242.3500000000004</v>
      </c>
    </row>
    <row r="144" spans="10:18">
      <c r="J144">
        <v>1996</v>
      </c>
      <c r="K144">
        <v>1</v>
      </c>
      <c r="L144" t="s">
        <v>1506</v>
      </c>
      <c r="M144">
        <v>1</v>
      </c>
      <c r="N144" t="s">
        <v>1507</v>
      </c>
      <c r="O144" t="s">
        <v>1125</v>
      </c>
      <c r="P144">
        <v>11</v>
      </c>
      <c r="Q144">
        <v>259</v>
      </c>
      <c r="R144">
        <v>12767.16</v>
      </c>
    </row>
    <row r="145" spans="10:18">
      <c r="J145">
        <v>1996</v>
      </c>
      <c r="K145">
        <v>1</v>
      </c>
      <c r="L145" t="s">
        <v>1506</v>
      </c>
      <c r="M145">
        <v>1</v>
      </c>
      <c r="N145" t="s">
        <v>1507</v>
      </c>
      <c r="O145" t="s">
        <v>1127</v>
      </c>
      <c r="P145">
        <v>10</v>
      </c>
      <c r="Q145">
        <v>315</v>
      </c>
      <c r="R145">
        <v>12157.9</v>
      </c>
    </row>
    <row r="146" spans="10:18">
      <c r="J146">
        <v>1996</v>
      </c>
      <c r="K146">
        <v>1</v>
      </c>
      <c r="L146" t="s">
        <v>1506</v>
      </c>
      <c r="M146">
        <v>1</v>
      </c>
      <c r="N146" t="s">
        <v>1507</v>
      </c>
      <c r="O146" t="s">
        <v>1129</v>
      </c>
      <c r="P146">
        <v>14</v>
      </c>
      <c r="Q146">
        <v>274</v>
      </c>
      <c r="R146">
        <v>5907.17</v>
      </c>
    </row>
    <row r="147" spans="10:18">
      <c r="J147">
        <v>1996</v>
      </c>
      <c r="K147">
        <v>2</v>
      </c>
      <c r="L147" t="s">
        <v>1508</v>
      </c>
      <c r="M147">
        <v>1</v>
      </c>
      <c r="N147" t="s">
        <v>1507</v>
      </c>
      <c r="O147" t="s">
        <v>1115</v>
      </c>
      <c r="P147">
        <v>30</v>
      </c>
      <c r="Q147">
        <v>622</v>
      </c>
      <c r="R147">
        <v>27245.4</v>
      </c>
    </row>
    <row r="148" spans="10:18">
      <c r="J148">
        <v>1996</v>
      </c>
      <c r="K148">
        <v>2</v>
      </c>
      <c r="L148" t="s">
        <v>1508</v>
      </c>
      <c r="M148">
        <v>1</v>
      </c>
      <c r="N148" t="s">
        <v>1507</v>
      </c>
      <c r="O148" t="s">
        <v>1117</v>
      </c>
      <c r="P148">
        <v>13</v>
      </c>
      <c r="Q148">
        <v>269</v>
      </c>
      <c r="R148">
        <v>4737.8999999999996</v>
      </c>
    </row>
    <row r="149" spans="10:18">
      <c r="J149">
        <v>1996</v>
      </c>
      <c r="K149">
        <v>2</v>
      </c>
      <c r="L149" t="s">
        <v>1508</v>
      </c>
      <c r="M149">
        <v>1</v>
      </c>
      <c r="N149" t="s">
        <v>1507</v>
      </c>
      <c r="O149" t="s">
        <v>1119</v>
      </c>
      <c r="P149">
        <v>22</v>
      </c>
      <c r="Q149">
        <v>440</v>
      </c>
      <c r="R149">
        <v>10834.53</v>
      </c>
    </row>
    <row r="150" spans="10:18">
      <c r="J150">
        <v>1996</v>
      </c>
      <c r="K150">
        <v>2</v>
      </c>
      <c r="L150" t="s">
        <v>1508</v>
      </c>
      <c r="M150">
        <v>1</v>
      </c>
      <c r="N150" t="s">
        <v>1507</v>
      </c>
      <c r="O150" t="s">
        <v>1121</v>
      </c>
      <c r="P150">
        <v>17</v>
      </c>
      <c r="Q150">
        <v>562</v>
      </c>
      <c r="R150">
        <v>17691.349999999999</v>
      </c>
    </row>
    <row r="151" spans="10:18">
      <c r="J151">
        <v>1996</v>
      </c>
      <c r="K151">
        <v>2</v>
      </c>
      <c r="L151" t="s">
        <v>1508</v>
      </c>
      <c r="M151">
        <v>1</v>
      </c>
      <c r="N151" t="s">
        <v>1507</v>
      </c>
      <c r="O151" t="s">
        <v>1123</v>
      </c>
      <c r="P151">
        <v>15</v>
      </c>
      <c r="Q151">
        <v>536</v>
      </c>
      <c r="R151">
        <v>12022.82</v>
      </c>
    </row>
    <row r="152" spans="10:18">
      <c r="J152">
        <v>1996</v>
      </c>
      <c r="K152">
        <v>2</v>
      </c>
      <c r="L152" t="s">
        <v>1508</v>
      </c>
      <c r="M152">
        <v>1</v>
      </c>
      <c r="N152" t="s">
        <v>1507</v>
      </c>
      <c r="O152" t="s">
        <v>1125</v>
      </c>
      <c r="P152">
        <v>7</v>
      </c>
      <c r="Q152">
        <v>91</v>
      </c>
      <c r="R152">
        <v>3511.47</v>
      </c>
    </row>
    <row r="153" spans="10:18">
      <c r="J153">
        <v>1996</v>
      </c>
      <c r="K153">
        <v>2</v>
      </c>
      <c r="L153" t="s">
        <v>1508</v>
      </c>
      <c r="M153">
        <v>1</v>
      </c>
      <c r="N153" t="s">
        <v>1507</v>
      </c>
      <c r="O153" t="s">
        <v>1127</v>
      </c>
      <c r="P153">
        <v>6</v>
      </c>
      <c r="Q153">
        <v>58</v>
      </c>
      <c r="R153">
        <v>1526</v>
      </c>
    </row>
    <row r="154" spans="10:18">
      <c r="J154">
        <v>1996</v>
      </c>
      <c r="K154">
        <v>2</v>
      </c>
      <c r="L154" t="s">
        <v>1508</v>
      </c>
      <c r="M154">
        <v>1</v>
      </c>
      <c r="N154" t="s">
        <v>1507</v>
      </c>
      <c r="O154" t="s">
        <v>1129</v>
      </c>
      <c r="P154">
        <v>19</v>
      </c>
      <c r="Q154">
        <v>715</v>
      </c>
      <c r="R154">
        <v>12548.23</v>
      </c>
    </row>
    <row r="155" spans="10:18">
      <c r="J155">
        <v>1996</v>
      </c>
      <c r="K155">
        <v>3</v>
      </c>
      <c r="L155" t="s">
        <v>1509</v>
      </c>
      <c r="M155">
        <v>1</v>
      </c>
      <c r="N155" t="s">
        <v>1507</v>
      </c>
      <c r="O155" t="s">
        <v>1115</v>
      </c>
      <c r="P155">
        <v>22</v>
      </c>
      <c r="Q155">
        <v>834</v>
      </c>
      <c r="R155">
        <v>34599.15</v>
      </c>
    </row>
    <row r="156" spans="10:18">
      <c r="J156">
        <v>1996</v>
      </c>
      <c r="K156">
        <v>3</v>
      </c>
      <c r="L156" t="s">
        <v>1509</v>
      </c>
      <c r="M156">
        <v>1</v>
      </c>
      <c r="N156" t="s">
        <v>1507</v>
      </c>
      <c r="O156" t="s">
        <v>1117</v>
      </c>
      <c r="P156">
        <v>12</v>
      </c>
      <c r="Q156">
        <v>289</v>
      </c>
      <c r="R156">
        <v>6293.97</v>
      </c>
    </row>
    <row r="157" spans="10:18">
      <c r="J157">
        <v>1996</v>
      </c>
      <c r="K157">
        <v>3</v>
      </c>
      <c r="L157" t="s">
        <v>1509</v>
      </c>
      <c r="M157">
        <v>1</v>
      </c>
      <c r="N157" t="s">
        <v>1507</v>
      </c>
      <c r="O157" t="s">
        <v>1119</v>
      </c>
      <c r="P157">
        <v>19</v>
      </c>
      <c r="Q157">
        <v>475</v>
      </c>
      <c r="R157">
        <v>10074.08</v>
      </c>
    </row>
    <row r="158" spans="10:18">
      <c r="J158">
        <v>1996</v>
      </c>
      <c r="K158">
        <v>3</v>
      </c>
      <c r="L158" t="s">
        <v>1509</v>
      </c>
      <c r="M158">
        <v>1</v>
      </c>
      <c r="N158" t="s">
        <v>1507</v>
      </c>
      <c r="O158" t="s">
        <v>1121</v>
      </c>
      <c r="P158">
        <v>14</v>
      </c>
      <c r="Q158">
        <v>506</v>
      </c>
      <c r="R158">
        <v>11454.5</v>
      </c>
    </row>
    <row r="159" spans="10:18">
      <c r="J159">
        <v>1996</v>
      </c>
      <c r="K159">
        <v>3</v>
      </c>
      <c r="L159" t="s">
        <v>1509</v>
      </c>
      <c r="M159">
        <v>1</v>
      </c>
      <c r="N159" t="s">
        <v>1507</v>
      </c>
      <c r="O159" t="s">
        <v>1123</v>
      </c>
      <c r="P159">
        <v>10</v>
      </c>
      <c r="Q159">
        <v>219</v>
      </c>
      <c r="R159">
        <v>4060.01</v>
      </c>
    </row>
    <row r="160" spans="10:18">
      <c r="J160">
        <v>1996</v>
      </c>
      <c r="K160">
        <v>3</v>
      </c>
      <c r="L160" t="s">
        <v>1509</v>
      </c>
      <c r="M160">
        <v>1</v>
      </c>
      <c r="N160" t="s">
        <v>1507</v>
      </c>
      <c r="O160" t="s">
        <v>1125</v>
      </c>
      <c r="P160">
        <v>12</v>
      </c>
      <c r="Q160">
        <v>344</v>
      </c>
      <c r="R160">
        <v>23334.05</v>
      </c>
    </row>
    <row r="161" spans="10:18">
      <c r="J161">
        <v>1996</v>
      </c>
      <c r="K161">
        <v>3</v>
      </c>
      <c r="L161" t="s">
        <v>1509</v>
      </c>
      <c r="M161">
        <v>1</v>
      </c>
      <c r="N161" t="s">
        <v>1507</v>
      </c>
      <c r="O161" t="s">
        <v>1127</v>
      </c>
      <c r="P161">
        <v>4</v>
      </c>
      <c r="Q161">
        <v>37</v>
      </c>
      <c r="R161">
        <v>1172.8</v>
      </c>
    </row>
    <row r="162" spans="10:18">
      <c r="J162">
        <v>1996</v>
      </c>
      <c r="K162">
        <v>3</v>
      </c>
      <c r="L162" t="s">
        <v>1509</v>
      </c>
      <c r="M162">
        <v>1</v>
      </c>
      <c r="N162" t="s">
        <v>1507</v>
      </c>
      <c r="O162" t="s">
        <v>1129</v>
      </c>
      <c r="P162">
        <v>22</v>
      </c>
      <c r="Q162">
        <v>584</v>
      </c>
      <c r="R162">
        <v>12531.12</v>
      </c>
    </row>
    <row r="163" spans="10:18">
      <c r="J163">
        <v>1996</v>
      </c>
      <c r="K163">
        <v>4</v>
      </c>
      <c r="L163" t="s">
        <v>1510</v>
      </c>
      <c r="M163">
        <v>2</v>
      </c>
      <c r="N163" t="s">
        <v>1511</v>
      </c>
      <c r="O163" t="s">
        <v>1115</v>
      </c>
      <c r="P163">
        <v>33</v>
      </c>
      <c r="Q163">
        <v>925</v>
      </c>
      <c r="R163">
        <v>27761.58</v>
      </c>
    </row>
    <row r="164" spans="10:18">
      <c r="J164">
        <v>1996</v>
      </c>
      <c r="K164">
        <v>4</v>
      </c>
      <c r="L164" t="s">
        <v>1510</v>
      </c>
      <c r="M164">
        <v>2</v>
      </c>
      <c r="N164" t="s">
        <v>1511</v>
      </c>
      <c r="O164" t="s">
        <v>1117</v>
      </c>
      <c r="P164">
        <v>17</v>
      </c>
      <c r="Q164">
        <v>378</v>
      </c>
      <c r="R164">
        <v>10773.27</v>
      </c>
    </row>
    <row r="165" spans="10:18">
      <c r="J165">
        <v>1996</v>
      </c>
      <c r="K165">
        <v>4</v>
      </c>
      <c r="L165" t="s">
        <v>1510</v>
      </c>
      <c r="M165">
        <v>2</v>
      </c>
      <c r="N165" t="s">
        <v>1511</v>
      </c>
      <c r="O165" t="s">
        <v>1119</v>
      </c>
      <c r="P165">
        <v>25</v>
      </c>
      <c r="Q165">
        <v>880</v>
      </c>
      <c r="R165">
        <v>22877.18</v>
      </c>
    </row>
    <row r="166" spans="10:18">
      <c r="J166">
        <v>1996</v>
      </c>
      <c r="K166">
        <v>4</v>
      </c>
      <c r="L166" t="s">
        <v>1510</v>
      </c>
      <c r="M166">
        <v>2</v>
      </c>
      <c r="N166" t="s">
        <v>1511</v>
      </c>
      <c r="O166" t="s">
        <v>1121</v>
      </c>
      <c r="P166">
        <v>23</v>
      </c>
      <c r="Q166">
        <v>581</v>
      </c>
      <c r="R166">
        <v>13685.32</v>
      </c>
    </row>
    <row r="167" spans="10:18">
      <c r="J167">
        <v>1996</v>
      </c>
      <c r="K167">
        <v>4</v>
      </c>
      <c r="L167" t="s">
        <v>1510</v>
      </c>
      <c r="M167">
        <v>2</v>
      </c>
      <c r="N167" t="s">
        <v>1511</v>
      </c>
      <c r="O167" t="s">
        <v>1123</v>
      </c>
      <c r="P167">
        <v>13</v>
      </c>
      <c r="Q167">
        <v>189</v>
      </c>
      <c r="R167">
        <v>3325.4</v>
      </c>
    </row>
    <row r="168" spans="10:18">
      <c r="J168">
        <v>1996</v>
      </c>
      <c r="K168">
        <v>4</v>
      </c>
      <c r="L168" t="s">
        <v>1510</v>
      </c>
      <c r="M168">
        <v>2</v>
      </c>
      <c r="N168" t="s">
        <v>1511</v>
      </c>
      <c r="O168" t="s">
        <v>1125</v>
      </c>
      <c r="P168">
        <v>8</v>
      </c>
      <c r="Q168">
        <v>92</v>
      </c>
      <c r="R168">
        <v>4083.66</v>
      </c>
    </row>
    <row r="169" spans="10:18">
      <c r="J169">
        <v>1996</v>
      </c>
      <c r="K169">
        <v>4</v>
      </c>
      <c r="L169" t="s">
        <v>1510</v>
      </c>
      <c r="M169">
        <v>2</v>
      </c>
      <c r="N169" t="s">
        <v>1511</v>
      </c>
      <c r="O169" t="s">
        <v>1127</v>
      </c>
      <c r="P169">
        <v>15</v>
      </c>
      <c r="Q169">
        <v>351</v>
      </c>
      <c r="R169">
        <v>13031.2</v>
      </c>
    </row>
    <row r="170" spans="10:18">
      <c r="J170">
        <v>1996</v>
      </c>
      <c r="K170">
        <v>4</v>
      </c>
      <c r="L170" t="s">
        <v>1510</v>
      </c>
      <c r="M170">
        <v>2</v>
      </c>
      <c r="N170" t="s">
        <v>1511</v>
      </c>
      <c r="O170" t="s">
        <v>1129</v>
      </c>
      <c r="P170">
        <v>29</v>
      </c>
      <c r="Q170">
        <v>669</v>
      </c>
      <c r="R170">
        <v>9316.5400000000009</v>
      </c>
    </row>
    <row r="171" spans="10:18">
      <c r="J171">
        <v>1996</v>
      </c>
      <c r="K171">
        <v>5</v>
      </c>
      <c r="L171" t="s">
        <v>1512</v>
      </c>
      <c r="M171">
        <v>2</v>
      </c>
      <c r="N171" t="s">
        <v>1511</v>
      </c>
      <c r="O171" t="s">
        <v>1115</v>
      </c>
      <c r="P171">
        <v>9</v>
      </c>
      <c r="Q171">
        <v>327</v>
      </c>
      <c r="R171">
        <v>3987.25</v>
      </c>
    </row>
    <row r="172" spans="10:18">
      <c r="J172">
        <v>1996</v>
      </c>
      <c r="K172">
        <v>5</v>
      </c>
      <c r="L172" t="s">
        <v>1512</v>
      </c>
      <c r="M172">
        <v>2</v>
      </c>
      <c r="N172" t="s">
        <v>1511</v>
      </c>
      <c r="O172" t="s">
        <v>1117</v>
      </c>
      <c r="P172">
        <v>5</v>
      </c>
      <c r="Q172">
        <v>179</v>
      </c>
      <c r="R172">
        <v>4060.2</v>
      </c>
    </row>
    <row r="173" spans="10:18">
      <c r="J173">
        <v>1996</v>
      </c>
      <c r="K173">
        <v>5</v>
      </c>
      <c r="L173" t="s">
        <v>1512</v>
      </c>
      <c r="M173">
        <v>2</v>
      </c>
      <c r="N173" t="s">
        <v>1511</v>
      </c>
      <c r="O173" t="s">
        <v>1119</v>
      </c>
      <c r="P173">
        <v>2</v>
      </c>
      <c r="Q173">
        <v>71</v>
      </c>
      <c r="R173">
        <v>837.38</v>
      </c>
    </row>
    <row r="174" spans="10:18">
      <c r="J174">
        <v>1996</v>
      </c>
      <c r="K174">
        <v>5</v>
      </c>
      <c r="L174" t="s">
        <v>1512</v>
      </c>
      <c r="M174">
        <v>2</v>
      </c>
      <c r="N174" t="s">
        <v>1511</v>
      </c>
      <c r="O174" t="s">
        <v>1121</v>
      </c>
      <c r="P174">
        <v>5</v>
      </c>
      <c r="Q174">
        <v>84</v>
      </c>
      <c r="R174">
        <v>3296.1</v>
      </c>
    </row>
    <row r="175" spans="10:18">
      <c r="J175">
        <v>1996</v>
      </c>
      <c r="K175">
        <v>5</v>
      </c>
      <c r="L175" t="s">
        <v>1512</v>
      </c>
      <c r="M175">
        <v>2</v>
      </c>
      <c r="N175" t="s">
        <v>1511</v>
      </c>
      <c r="O175" t="s">
        <v>1123</v>
      </c>
      <c r="P175">
        <v>6</v>
      </c>
      <c r="Q175">
        <v>133</v>
      </c>
      <c r="R175">
        <v>1741.6</v>
      </c>
    </row>
    <row r="176" spans="10:18">
      <c r="J176">
        <v>1996</v>
      </c>
      <c r="K176">
        <v>5</v>
      </c>
      <c r="L176" t="s">
        <v>1512</v>
      </c>
      <c r="M176">
        <v>2</v>
      </c>
      <c r="N176" t="s">
        <v>1511</v>
      </c>
      <c r="O176" t="s">
        <v>1125</v>
      </c>
      <c r="P176">
        <v>6</v>
      </c>
      <c r="Q176">
        <v>173</v>
      </c>
      <c r="R176">
        <v>8495.7099999999991</v>
      </c>
    </row>
    <row r="177" spans="10:18">
      <c r="J177">
        <v>1996</v>
      </c>
      <c r="K177">
        <v>5</v>
      </c>
      <c r="L177" t="s">
        <v>1512</v>
      </c>
      <c r="M177">
        <v>2</v>
      </c>
      <c r="N177" t="s">
        <v>1511</v>
      </c>
      <c r="O177" t="s">
        <v>1127</v>
      </c>
      <c r="P177">
        <v>4</v>
      </c>
      <c r="Q177">
        <v>115</v>
      </c>
      <c r="R177">
        <v>3815.25</v>
      </c>
    </row>
    <row r="178" spans="10:18">
      <c r="J178">
        <v>1996</v>
      </c>
      <c r="K178">
        <v>5</v>
      </c>
      <c r="L178" t="s">
        <v>1512</v>
      </c>
      <c r="M178">
        <v>2</v>
      </c>
      <c r="N178" t="s">
        <v>1511</v>
      </c>
      <c r="O178" t="s">
        <v>1129</v>
      </c>
      <c r="P178">
        <v>6</v>
      </c>
      <c r="Q178">
        <v>166</v>
      </c>
      <c r="R178">
        <v>1436.66</v>
      </c>
    </row>
  </sheetData>
  <mergeCells count="2">
    <mergeCell ref="A2:H25"/>
    <mergeCell ref="A1:H1"/>
  </mergeCells>
  <pageMargins left="0.7" right="0.7" top="0.75" bottom="0.75" header="0.3" footer="0.3"/>
  <tableParts count="1">
    <tablePart r:id="rId1"/>
  </tableParts>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C8DF58-A8F2-42F6-B2ED-E703FF784D7E}">
  <dimension ref="A1:L78"/>
  <sheetViews>
    <sheetView workbookViewId="0">
      <selection activeCell="N40" sqref="N40"/>
    </sheetView>
  </sheetViews>
  <sheetFormatPr baseColWidth="10" defaultColWidth="8.83203125" defaultRowHeight="13"/>
  <cols>
    <col min="1" max="1" width="12.1640625" bestFit="1" customWidth="1"/>
    <col min="2" max="2" width="30.83203125" bestFit="1" customWidth="1"/>
    <col min="3" max="3" width="16.83203125" bestFit="1" customWidth="1"/>
    <col min="4" max="4" width="14.1640625" bestFit="1" customWidth="1"/>
    <col min="5" max="5" width="12.33203125" bestFit="1" customWidth="1"/>
    <col min="6" max="6" width="15.83203125" bestFit="1" customWidth="1"/>
    <col min="7" max="7" width="19" bestFit="1" customWidth="1"/>
    <col min="8" max="8" width="19.33203125" bestFit="1" customWidth="1"/>
    <col min="9" max="9" width="18.6640625" bestFit="1" customWidth="1"/>
    <col min="10" max="10" width="15.5" bestFit="1" customWidth="1"/>
    <col min="11" max="11" width="18.83203125" bestFit="1" customWidth="1"/>
    <col min="12" max="12" width="16.33203125" bestFit="1" customWidth="1"/>
  </cols>
  <sheetData>
    <row r="1" spans="1:12">
      <c r="A1" t="s">
        <v>224</v>
      </c>
      <c r="B1" t="s">
        <v>225</v>
      </c>
      <c r="C1" t="s">
        <v>1113</v>
      </c>
      <c r="D1" t="s">
        <v>1187</v>
      </c>
      <c r="E1" t="s">
        <v>1198</v>
      </c>
      <c r="F1" t="s">
        <v>1132</v>
      </c>
      <c r="G1" t="s">
        <v>1517</v>
      </c>
      <c r="H1" t="s">
        <v>1203</v>
      </c>
      <c r="I1" t="s">
        <v>1518</v>
      </c>
      <c r="J1" t="s">
        <v>1519</v>
      </c>
      <c r="K1" t="s">
        <v>1520</v>
      </c>
      <c r="L1" t="s">
        <v>1521</v>
      </c>
    </row>
    <row r="2" spans="1:12">
      <c r="A2">
        <v>38</v>
      </c>
      <c r="B2" t="s">
        <v>1204</v>
      </c>
      <c r="C2" t="s">
        <v>1115</v>
      </c>
      <c r="D2">
        <v>24</v>
      </c>
      <c r="E2">
        <v>623</v>
      </c>
      <c r="F2">
        <v>141396.73000000001</v>
      </c>
      <c r="G2">
        <v>4.5999999999999996</v>
      </c>
      <c r="H2">
        <v>245.93</v>
      </c>
      <c r="I2">
        <v>6.18</v>
      </c>
      <c r="J2">
        <v>-0.13</v>
      </c>
      <c r="K2">
        <v>-0.49</v>
      </c>
      <c r="L2" t="s">
        <v>1522</v>
      </c>
    </row>
    <row r="3" spans="1:12">
      <c r="A3">
        <v>29</v>
      </c>
      <c r="B3" t="s">
        <v>1205</v>
      </c>
      <c r="C3" t="s">
        <v>1125</v>
      </c>
      <c r="D3">
        <v>32</v>
      </c>
      <c r="E3">
        <v>746</v>
      </c>
      <c r="F3">
        <v>80368.67</v>
      </c>
      <c r="G3">
        <v>6.4</v>
      </c>
      <c r="H3">
        <v>116.04</v>
      </c>
      <c r="I3">
        <v>3.16</v>
      </c>
      <c r="J3">
        <v>0.24</v>
      </c>
      <c r="K3">
        <v>0.43</v>
      </c>
      <c r="L3" t="s">
        <v>1522</v>
      </c>
    </row>
    <row r="4" spans="1:12">
      <c r="A4">
        <v>59</v>
      </c>
      <c r="B4" t="s">
        <v>346</v>
      </c>
      <c r="C4" t="s">
        <v>1121</v>
      </c>
      <c r="D4">
        <v>54</v>
      </c>
      <c r="E4">
        <v>1496</v>
      </c>
      <c r="F4">
        <v>71155.7</v>
      </c>
      <c r="G4">
        <v>4.7</v>
      </c>
      <c r="H4">
        <v>51.13</v>
      </c>
      <c r="I4">
        <v>2.7</v>
      </c>
      <c r="J4">
        <v>2.54</v>
      </c>
      <c r="K4">
        <v>-0.44</v>
      </c>
      <c r="L4" t="s">
        <v>1522</v>
      </c>
    </row>
    <row r="5" spans="1:12">
      <c r="A5">
        <v>62</v>
      </c>
      <c r="B5" t="s">
        <v>352</v>
      </c>
      <c r="C5" t="s">
        <v>1119</v>
      </c>
      <c r="D5">
        <v>48</v>
      </c>
      <c r="E5">
        <v>1083</v>
      </c>
      <c r="F5">
        <v>47234.97</v>
      </c>
      <c r="G5">
        <v>5.4</v>
      </c>
      <c r="H5">
        <v>46.41</v>
      </c>
      <c r="I5">
        <v>1.52</v>
      </c>
      <c r="J5">
        <v>1.27</v>
      </c>
      <c r="K5">
        <v>-0.09</v>
      </c>
      <c r="L5" t="s">
        <v>1523</v>
      </c>
    </row>
    <row r="6" spans="1:12">
      <c r="A6">
        <v>60</v>
      </c>
      <c r="B6" t="s">
        <v>348</v>
      </c>
      <c r="C6" t="s">
        <v>1121</v>
      </c>
      <c r="D6">
        <v>51</v>
      </c>
      <c r="E6">
        <v>1577</v>
      </c>
      <c r="F6">
        <v>46825.48</v>
      </c>
      <c r="G6">
        <v>6.4</v>
      </c>
      <c r="H6">
        <v>32.130000000000003</v>
      </c>
      <c r="I6">
        <v>1.5</v>
      </c>
      <c r="J6">
        <v>2.78</v>
      </c>
      <c r="K6">
        <v>0.43</v>
      </c>
      <c r="L6" t="s">
        <v>1524</v>
      </c>
    </row>
    <row r="7" spans="1:12">
      <c r="A7">
        <v>56</v>
      </c>
      <c r="B7" t="s">
        <v>341</v>
      </c>
      <c r="C7" t="s">
        <v>1123</v>
      </c>
      <c r="D7">
        <v>50</v>
      </c>
      <c r="E7">
        <v>1263</v>
      </c>
      <c r="F7">
        <v>42593.06</v>
      </c>
      <c r="G7">
        <v>6.2</v>
      </c>
      <c r="H7">
        <v>35.42</v>
      </c>
      <c r="I7">
        <v>1.29</v>
      </c>
      <c r="J7">
        <v>1.82</v>
      </c>
      <c r="K7">
        <v>0.32</v>
      </c>
      <c r="L7" t="s">
        <v>1523</v>
      </c>
    </row>
    <row r="8" spans="1:12">
      <c r="A8">
        <v>51</v>
      </c>
      <c r="B8" t="s">
        <v>331</v>
      </c>
      <c r="C8" t="s">
        <v>1127</v>
      </c>
      <c r="D8">
        <v>39</v>
      </c>
      <c r="E8">
        <v>886</v>
      </c>
      <c r="F8">
        <v>41819.65</v>
      </c>
      <c r="G8">
        <v>5.0999999999999996</v>
      </c>
      <c r="H8">
        <v>50.55</v>
      </c>
      <c r="I8">
        <v>1.25</v>
      </c>
      <c r="J8">
        <v>0.67</v>
      </c>
      <c r="K8">
        <v>-0.24</v>
      </c>
      <c r="L8" t="s">
        <v>1523</v>
      </c>
    </row>
    <row r="9" spans="1:12">
      <c r="A9">
        <v>17</v>
      </c>
      <c r="B9" t="s">
        <v>265</v>
      </c>
      <c r="C9" t="s">
        <v>1125</v>
      </c>
      <c r="D9">
        <v>37</v>
      </c>
      <c r="E9">
        <v>978</v>
      </c>
      <c r="F9">
        <v>32698.38</v>
      </c>
      <c r="G9">
        <v>6.2</v>
      </c>
      <c r="H9">
        <v>36.47</v>
      </c>
      <c r="I9">
        <v>0.8</v>
      </c>
      <c r="J9">
        <v>0.95</v>
      </c>
      <c r="K9">
        <v>0.32</v>
      </c>
      <c r="L9" t="s">
        <v>1523</v>
      </c>
    </row>
    <row r="10" spans="1:12">
      <c r="A10">
        <v>48</v>
      </c>
      <c r="B10" t="s">
        <v>325</v>
      </c>
      <c r="C10" t="s">
        <v>1119</v>
      </c>
      <c r="D10">
        <v>6</v>
      </c>
      <c r="E10">
        <v>138</v>
      </c>
      <c r="F10">
        <v>1368.71</v>
      </c>
      <c r="G10">
        <v>10.8</v>
      </c>
      <c r="H10">
        <v>11.9</v>
      </c>
      <c r="I10">
        <v>-0.74</v>
      </c>
      <c r="J10">
        <v>-1.62</v>
      </c>
      <c r="K10">
        <v>2.68</v>
      </c>
      <c r="L10" t="s">
        <v>1525</v>
      </c>
    </row>
    <row r="11" spans="1:12">
      <c r="A11">
        <v>33</v>
      </c>
      <c r="B11" t="s">
        <v>297</v>
      </c>
      <c r="C11" t="s">
        <v>1121</v>
      </c>
      <c r="D11">
        <v>32</v>
      </c>
      <c r="E11">
        <v>755</v>
      </c>
      <c r="F11">
        <v>1648.12</v>
      </c>
      <c r="G11">
        <v>4.4000000000000004</v>
      </c>
      <c r="H11">
        <v>2.33</v>
      </c>
      <c r="I11">
        <v>-0.73</v>
      </c>
      <c r="J11">
        <v>0.27</v>
      </c>
      <c r="K11">
        <v>-0.6</v>
      </c>
      <c r="L11" t="s">
        <v>1523</v>
      </c>
    </row>
    <row r="12" spans="1:12">
      <c r="A12">
        <v>15</v>
      </c>
      <c r="B12" t="s">
        <v>261</v>
      </c>
      <c r="C12" t="s">
        <v>1117</v>
      </c>
      <c r="D12">
        <v>6</v>
      </c>
      <c r="E12">
        <v>122</v>
      </c>
      <c r="F12">
        <v>1784.82</v>
      </c>
      <c r="G12">
        <v>1.7</v>
      </c>
      <c r="H12">
        <v>14.47</v>
      </c>
      <c r="I12">
        <v>-0.72</v>
      </c>
      <c r="J12">
        <v>-1.66</v>
      </c>
      <c r="K12">
        <v>-1.98</v>
      </c>
      <c r="L12" t="s">
        <v>1523</v>
      </c>
    </row>
    <row r="13" spans="1:12">
      <c r="A13">
        <v>67</v>
      </c>
      <c r="B13" t="s">
        <v>362</v>
      </c>
      <c r="C13" t="s">
        <v>1115</v>
      </c>
      <c r="D13">
        <v>10</v>
      </c>
      <c r="E13">
        <v>184</v>
      </c>
      <c r="F13">
        <v>2396.8000000000002</v>
      </c>
      <c r="G13">
        <v>6</v>
      </c>
      <c r="H13">
        <v>13.72</v>
      </c>
      <c r="I13">
        <v>-0.69</v>
      </c>
      <c r="J13">
        <v>-1.47</v>
      </c>
      <c r="K13">
        <v>0.22</v>
      </c>
      <c r="L13" t="s">
        <v>1523</v>
      </c>
    </row>
    <row r="14" spans="1:12">
      <c r="A14">
        <v>74</v>
      </c>
      <c r="B14" t="s">
        <v>373</v>
      </c>
      <c r="C14" t="s">
        <v>1127</v>
      </c>
      <c r="D14">
        <v>13</v>
      </c>
      <c r="E14">
        <v>297</v>
      </c>
      <c r="F14">
        <v>2432.5</v>
      </c>
      <c r="G14">
        <v>5</v>
      </c>
      <c r="H14">
        <v>8.77</v>
      </c>
      <c r="I14">
        <v>-0.69</v>
      </c>
      <c r="J14">
        <v>-1.1299999999999999</v>
      </c>
      <c r="K14">
        <v>-0.28999999999999998</v>
      </c>
      <c r="L14" t="s">
        <v>1523</v>
      </c>
    </row>
    <row r="15" spans="1:12">
      <c r="A15">
        <v>37</v>
      </c>
      <c r="B15" t="s">
        <v>303</v>
      </c>
      <c r="C15" t="s">
        <v>1129</v>
      </c>
      <c r="D15">
        <v>6</v>
      </c>
      <c r="E15">
        <v>125</v>
      </c>
      <c r="F15">
        <v>2688.4</v>
      </c>
      <c r="G15">
        <v>5</v>
      </c>
      <c r="H15">
        <v>23.4</v>
      </c>
      <c r="I15">
        <v>-0.68</v>
      </c>
      <c r="J15">
        <v>-1.66</v>
      </c>
      <c r="K15">
        <v>-0.28999999999999998</v>
      </c>
      <c r="L15" t="s">
        <v>1523</v>
      </c>
    </row>
    <row r="16" spans="1:12">
      <c r="A16">
        <v>3</v>
      </c>
      <c r="B16" t="s">
        <v>237</v>
      </c>
      <c r="C16" t="s">
        <v>1117</v>
      </c>
      <c r="D16">
        <v>12</v>
      </c>
      <c r="E16">
        <v>328</v>
      </c>
      <c r="F16">
        <v>3044</v>
      </c>
      <c r="G16">
        <v>1.7</v>
      </c>
      <c r="H16">
        <v>9.5</v>
      </c>
      <c r="I16">
        <v>-0.66</v>
      </c>
      <c r="J16">
        <v>-1.03</v>
      </c>
      <c r="K16">
        <v>-1.98</v>
      </c>
      <c r="L16" t="s">
        <v>1523</v>
      </c>
    </row>
    <row r="17" spans="1:12">
      <c r="A17">
        <v>52</v>
      </c>
      <c r="B17" t="s">
        <v>333</v>
      </c>
      <c r="C17" t="s">
        <v>1123</v>
      </c>
      <c r="D17">
        <v>29</v>
      </c>
      <c r="E17">
        <v>500</v>
      </c>
      <c r="F17">
        <v>3232.95</v>
      </c>
      <c r="G17">
        <v>4.0999999999999996</v>
      </c>
      <c r="H17">
        <v>6.76</v>
      </c>
      <c r="I17">
        <v>-0.65</v>
      </c>
      <c r="J17">
        <v>-0.51</v>
      </c>
      <c r="K17">
        <v>-0.75</v>
      </c>
      <c r="L17" t="s">
        <v>1523</v>
      </c>
    </row>
    <row r="18" spans="1:12">
      <c r="A18">
        <v>66</v>
      </c>
      <c r="B18" t="s">
        <v>360</v>
      </c>
      <c r="C18" t="s">
        <v>1117</v>
      </c>
      <c r="D18">
        <v>8</v>
      </c>
      <c r="E18">
        <v>239</v>
      </c>
      <c r="F18">
        <v>3383</v>
      </c>
      <c r="G18">
        <v>3.1</v>
      </c>
      <c r="H18">
        <v>15.3</v>
      </c>
      <c r="I18">
        <v>-0.65</v>
      </c>
      <c r="J18">
        <v>-1.31</v>
      </c>
      <c r="K18">
        <v>-1.26</v>
      </c>
      <c r="L18" t="s">
        <v>1523</v>
      </c>
    </row>
    <row r="19" spans="1:12">
      <c r="A19">
        <v>50</v>
      </c>
      <c r="B19" t="s">
        <v>329</v>
      </c>
      <c r="C19" t="s">
        <v>1119</v>
      </c>
      <c r="D19">
        <v>10</v>
      </c>
      <c r="E19">
        <v>235</v>
      </c>
      <c r="F19">
        <v>3437.69</v>
      </c>
      <c r="G19">
        <v>2.5</v>
      </c>
      <c r="H19">
        <v>14.95</v>
      </c>
      <c r="I19">
        <v>-0.64</v>
      </c>
      <c r="J19">
        <v>-1.32</v>
      </c>
      <c r="K19">
        <v>-1.57</v>
      </c>
      <c r="L19" t="s">
        <v>1523</v>
      </c>
    </row>
    <row r="20" spans="1:12">
      <c r="A20">
        <v>18</v>
      </c>
      <c r="B20" t="s">
        <v>267</v>
      </c>
      <c r="C20" t="s">
        <v>1129</v>
      </c>
      <c r="D20">
        <v>27</v>
      </c>
      <c r="E20">
        <v>539</v>
      </c>
      <c r="F20">
        <v>29171.88</v>
      </c>
      <c r="G20">
        <v>8</v>
      </c>
      <c r="H20">
        <v>59.72</v>
      </c>
      <c r="I20">
        <v>0.63</v>
      </c>
      <c r="J20">
        <v>-0.39</v>
      </c>
      <c r="K20">
        <v>1.24</v>
      </c>
      <c r="L20" t="s">
        <v>1523</v>
      </c>
    </row>
    <row r="21" spans="1:12">
      <c r="A21">
        <v>25</v>
      </c>
      <c r="B21" t="s">
        <v>1221</v>
      </c>
      <c r="C21" t="s">
        <v>1119</v>
      </c>
      <c r="D21">
        <v>18</v>
      </c>
      <c r="E21">
        <v>318</v>
      </c>
      <c r="F21">
        <v>3704.4</v>
      </c>
      <c r="G21">
        <v>8.6</v>
      </c>
      <c r="H21">
        <v>13.07</v>
      </c>
      <c r="I21">
        <v>-0.63</v>
      </c>
      <c r="J21">
        <v>-1.07</v>
      </c>
      <c r="K21">
        <v>1.55</v>
      </c>
      <c r="L21" t="s">
        <v>1523</v>
      </c>
    </row>
    <row r="22" spans="1:12">
      <c r="A22">
        <v>47</v>
      </c>
      <c r="B22" t="s">
        <v>323</v>
      </c>
      <c r="C22" t="s">
        <v>1119</v>
      </c>
      <c r="D22">
        <v>21</v>
      </c>
      <c r="E22">
        <v>485</v>
      </c>
      <c r="F22">
        <v>3958.08</v>
      </c>
      <c r="G22">
        <v>7.4</v>
      </c>
      <c r="H22">
        <v>9.14</v>
      </c>
      <c r="I22">
        <v>-0.62</v>
      </c>
      <c r="J22">
        <v>-0.55000000000000004</v>
      </c>
      <c r="K22">
        <v>0.94</v>
      </c>
      <c r="L22" t="s">
        <v>1523</v>
      </c>
    </row>
    <row r="23" spans="1:12">
      <c r="A23">
        <v>73</v>
      </c>
      <c r="B23" t="s">
        <v>1220</v>
      </c>
      <c r="C23" t="s">
        <v>1129</v>
      </c>
      <c r="D23">
        <v>14</v>
      </c>
      <c r="E23">
        <v>293</v>
      </c>
      <c r="F23">
        <v>3997.2</v>
      </c>
      <c r="G23">
        <v>4.7</v>
      </c>
      <c r="H23">
        <v>14.36</v>
      </c>
      <c r="I23">
        <v>-0.61</v>
      </c>
      <c r="J23">
        <v>-1.1399999999999999</v>
      </c>
      <c r="K23">
        <v>-0.44</v>
      </c>
      <c r="L23" t="s">
        <v>1523</v>
      </c>
    </row>
    <row r="24" spans="1:12">
      <c r="A24">
        <v>45</v>
      </c>
      <c r="B24" t="s">
        <v>1219</v>
      </c>
      <c r="C24" t="s">
        <v>1129</v>
      </c>
      <c r="D24">
        <v>14</v>
      </c>
      <c r="E24">
        <v>508</v>
      </c>
      <c r="F24">
        <v>4338.17</v>
      </c>
      <c r="G24">
        <v>7.5</v>
      </c>
      <c r="H24">
        <v>9.23</v>
      </c>
      <c r="I24">
        <v>-0.6</v>
      </c>
      <c r="J24">
        <v>-0.48</v>
      </c>
      <c r="K24">
        <v>0.99</v>
      </c>
      <c r="L24" t="s">
        <v>1523</v>
      </c>
    </row>
    <row r="25" spans="1:12">
      <c r="A25">
        <v>23</v>
      </c>
      <c r="B25" t="s">
        <v>1217</v>
      </c>
      <c r="C25" t="s">
        <v>1123</v>
      </c>
      <c r="D25">
        <v>20</v>
      </c>
      <c r="E25">
        <v>580</v>
      </c>
      <c r="F25">
        <v>4601.7</v>
      </c>
      <c r="G25">
        <v>3.8</v>
      </c>
      <c r="H25">
        <v>8.3699999999999992</v>
      </c>
      <c r="I25">
        <v>-0.59</v>
      </c>
      <c r="J25">
        <v>-0.26</v>
      </c>
      <c r="K25">
        <v>-0.9</v>
      </c>
      <c r="L25" t="s">
        <v>1523</v>
      </c>
    </row>
    <row r="26" spans="1:12">
      <c r="A26">
        <v>24</v>
      </c>
      <c r="B26" t="s">
        <v>1218</v>
      </c>
      <c r="C26" t="s">
        <v>1115</v>
      </c>
      <c r="D26">
        <v>51</v>
      </c>
      <c r="E26">
        <v>1125</v>
      </c>
      <c r="F26">
        <v>4504.3599999999997</v>
      </c>
      <c r="G26">
        <v>5.7</v>
      </c>
      <c r="H26">
        <v>4.24</v>
      </c>
      <c r="I26">
        <v>-0.59</v>
      </c>
      <c r="J26">
        <v>1.4</v>
      </c>
      <c r="K26">
        <v>7.0000000000000007E-2</v>
      </c>
      <c r="L26" t="s">
        <v>1523</v>
      </c>
    </row>
    <row r="27" spans="1:12">
      <c r="A27">
        <v>54</v>
      </c>
      <c r="B27" t="s">
        <v>1216</v>
      </c>
      <c r="C27" t="s">
        <v>1125</v>
      </c>
      <c r="D27">
        <v>36</v>
      </c>
      <c r="E27">
        <v>755</v>
      </c>
      <c r="F27">
        <v>4728.24</v>
      </c>
      <c r="G27">
        <v>7.2</v>
      </c>
      <c r="H27">
        <v>6.8</v>
      </c>
      <c r="I27">
        <v>-0.57999999999999996</v>
      </c>
      <c r="J27">
        <v>0.27</v>
      </c>
      <c r="K27">
        <v>0.83</v>
      </c>
      <c r="L27" t="s">
        <v>1523</v>
      </c>
    </row>
    <row r="28" spans="1:12">
      <c r="A28">
        <v>13</v>
      </c>
      <c r="B28" t="s">
        <v>257</v>
      </c>
      <c r="C28" t="s">
        <v>1129</v>
      </c>
      <c r="D28">
        <v>40</v>
      </c>
      <c r="E28">
        <v>891</v>
      </c>
      <c r="F28">
        <v>4960.4399999999996</v>
      </c>
      <c r="G28">
        <v>4.2</v>
      </c>
      <c r="H28">
        <v>5.76</v>
      </c>
      <c r="I28">
        <v>-0.56999999999999995</v>
      </c>
      <c r="J28">
        <v>0.69</v>
      </c>
      <c r="K28">
        <v>-0.7</v>
      </c>
      <c r="L28" t="s">
        <v>1523</v>
      </c>
    </row>
    <row r="29" spans="1:12">
      <c r="A29">
        <v>5</v>
      </c>
      <c r="B29" t="s">
        <v>241</v>
      </c>
      <c r="C29" t="s">
        <v>1117</v>
      </c>
      <c r="D29">
        <v>10</v>
      </c>
      <c r="E29">
        <v>298</v>
      </c>
      <c r="F29">
        <v>5347.2</v>
      </c>
      <c r="G29">
        <v>7.5</v>
      </c>
      <c r="H29">
        <v>19.61</v>
      </c>
      <c r="I29">
        <v>-0.55000000000000004</v>
      </c>
      <c r="J29">
        <v>-1.1299999999999999</v>
      </c>
      <c r="K29">
        <v>0.99</v>
      </c>
      <c r="L29" t="s">
        <v>1523</v>
      </c>
    </row>
    <row r="30" spans="1:12">
      <c r="A30">
        <v>58</v>
      </c>
      <c r="B30" t="s">
        <v>344</v>
      </c>
      <c r="C30" t="s">
        <v>1129</v>
      </c>
      <c r="D30">
        <v>18</v>
      </c>
      <c r="E30">
        <v>534</v>
      </c>
      <c r="F30">
        <v>5881.67</v>
      </c>
      <c r="G30">
        <v>10</v>
      </c>
      <c r="H30">
        <v>12.66</v>
      </c>
      <c r="I30">
        <v>-0.52</v>
      </c>
      <c r="J30">
        <v>-0.4</v>
      </c>
      <c r="K30">
        <v>2.27</v>
      </c>
      <c r="L30" t="s">
        <v>1525</v>
      </c>
    </row>
    <row r="31" spans="1:12">
      <c r="A31">
        <v>19</v>
      </c>
      <c r="B31" t="s">
        <v>269</v>
      </c>
      <c r="C31" t="s">
        <v>1119</v>
      </c>
      <c r="D31">
        <v>37</v>
      </c>
      <c r="E31">
        <v>723</v>
      </c>
      <c r="F31">
        <v>5862.62</v>
      </c>
      <c r="G31">
        <v>5.5</v>
      </c>
      <c r="H31">
        <v>8.5299999999999994</v>
      </c>
      <c r="I31">
        <v>-0.52</v>
      </c>
      <c r="J31">
        <v>0.17</v>
      </c>
      <c r="K31">
        <v>-0.03</v>
      </c>
      <c r="L31" t="s">
        <v>1523</v>
      </c>
    </row>
    <row r="32" spans="1:12">
      <c r="A32">
        <v>46</v>
      </c>
      <c r="B32" t="s">
        <v>321</v>
      </c>
      <c r="C32" t="s">
        <v>1129</v>
      </c>
      <c r="D32">
        <v>27</v>
      </c>
      <c r="E32">
        <v>548</v>
      </c>
      <c r="F32">
        <v>5883</v>
      </c>
      <c r="G32">
        <v>6.4</v>
      </c>
      <c r="H32">
        <v>11.11</v>
      </c>
      <c r="I32">
        <v>-0.52</v>
      </c>
      <c r="J32">
        <v>-0.36</v>
      </c>
      <c r="K32">
        <v>0.43</v>
      </c>
      <c r="L32" t="s">
        <v>1523</v>
      </c>
    </row>
    <row r="33" spans="1:12">
      <c r="A33">
        <v>34</v>
      </c>
      <c r="B33" t="s">
        <v>299</v>
      </c>
      <c r="C33" t="s">
        <v>1115</v>
      </c>
      <c r="D33">
        <v>19</v>
      </c>
      <c r="E33">
        <v>506</v>
      </c>
      <c r="F33">
        <v>6350.4</v>
      </c>
      <c r="G33">
        <v>5</v>
      </c>
      <c r="H33">
        <v>12.97</v>
      </c>
      <c r="I33">
        <v>-0.5</v>
      </c>
      <c r="J33">
        <v>-0.49</v>
      </c>
      <c r="K33">
        <v>-0.28999999999999998</v>
      </c>
      <c r="L33" t="s">
        <v>1523</v>
      </c>
    </row>
    <row r="34" spans="1:12">
      <c r="A34">
        <v>28</v>
      </c>
      <c r="B34" t="s">
        <v>1206</v>
      </c>
      <c r="C34" t="s">
        <v>1127</v>
      </c>
      <c r="D34">
        <v>33</v>
      </c>
      <c r="E34">
        <v>640</v>
      </c>
      <c r="F34">
        <v>25696.639999999999</v>
      </c>
      <c r="G34">
        <v>3.8</v>
      </c>
      <c r="H34">
        <v>41.98</v>
      </c>
      <c r="I34">
        <v>0.46</v>
      </c>
      <c r="J34">
        <v>-0.08</v>
      </c>
      <c r="K34">
        <v>-0.9</v>
      </c>
      <c r="L34" t="s">
        <v>1523</v>
      </c>
    </row>
    <row r="35" spans="1:12">
      <c r="A35">
        <v>6</v>
      </c>
      <c r="B35" t="s">
        <v>243</v>
      </c>
      <c r="C35" t="s">
        <v>1117</v>
      </c>
      <c r="D35">
        <v>12</v>
      </c>
      <c r="E35">
        <v>301</v>
      </c>
      <c r="F35">
        <v>7137</v>
      </c>
      <c r="G35">
        <v>3.1</v>
      </c>
      <c r="H35">
        <v>24.17</v>
      </c>
      <c r="I35">
        <v>-0.46</v>
      </c>
      <c r="J35">
        <v>-1.1200000000000001</v>
      </c>
      <c r="K35">
        <v>-1.26</v>
      </c>
      <c r="L35" t="s">
        <v>1523</v>
      </c>
    </row>
    <row r="36" spans="1:12">
      <c r="A36">
        <v>9</v>
      </c>
      <c r="B36" t="s">
        <v>249</v>
      </c>
      <c r="C36" t="s">
        <v>1125</v>
      </c>
      <c r="D36">
        <v>5</v>
      </c>
      <c r="E36">
        <v>95</v>
      </c>
      <c r="F36">
        <v>7226.5</v>
      </c>
      <c r="G36">
        <v>10</v>
      </c>
      <c r="H36">
        <v>93.12</v>
      </c>
      <c r="I36">
        <v>-0.46</v>
      </c>
      <c r="J36">
        <v>-1.75</v>
      </c>
      <c r="K36">
        <v>2.27</v>
      </c>
      <c r="L36" t="s">
        <v>1525</v>
      </c>
    </row>
    <row r="37" spans="1:12">
      <c r="A37">
        <v>22</v>
      </c>
      <c r="B37" t="s">
        <v>1215</v>
      </c>
      <c r="C37" t="s">
        <v>1123</v>
      </c>
      <c r="D37">
        <v>14</v>
      </c>
      <c r="E37">
        <v>348</v>
      </c>
      <c r="F37">
        <v>7122.36</v>
      </c>
      <c r="G37">
        <v>2.1</v>
      </c>
      <c r="H37">
        <v>20.399999999999999</v>
      </c>
      <c r="I37">
        <v>-0.46</v>
      </c>
      <c r="J37">
        <v>-0.97</v>
      </c>
      <c r="K37">
        <v>-1.77</v>
      </c>
      <c r="L37" t="s">
        <v>1523</v>
      </c>
    </row>
    <row r="38" spans="1:12">
      <c r="A38">
        <v>57</v>
      </c>
      <c r="B38" t="s">
        <v>343</v>
      </c>
      <c r="C38" t="s">
        <v>1123</v>
      </c>
      <c r="D38">
        <v>23</v>
      </c>
      <c r="E38">
        <v>434</v>
      </c>
      <c r="F38">
        <v>7661.55</v>
      </c>
      <c r="G38">
        <v>2.8</v>
      </c>
      <c r="H38">
        <v>18.14</v>
      </c>
      <c r="I38">
        <v>-0.43</v>
      </c>
      <c r="J38">
        <v>-0.71</v>
      </c>
      <c r="K38">
        <v>-1.41</v>
      </c>
      <c r="L38" t="s">
        <v>1523</v>
      </c>
    </row>
    <row r="39" spans="1:12">
      <c r="A39">
        <v>14</v>
      </c>
      <c r="B39" t="s">
        <v>259</v>
      </c>
      <c r="C39" t="s">
        <v>1127</v>
      </c>
      <c r="D39">
        <v>22</v>
      </c>
      <c r="E39">
        <v>404</v>
      </c>
      <c r="F39">
        <v>7991.49</v>
      </c>
      <c r="G39">
        <v>6.7</v>
      </c>
      <c r="H39">
        <v>21.35</v>
      </c>
      <c r="I39">
        <v>-0.42</v>
      </c>
      <c r="J39">
        <v>-0.8</v>
      </c>
      <c r="K39">
        <v>0.57999999999999996</v>
      </c>
      <c r="L39" t="s">
        <v>1523</v>
      </c>
    </row>
    <row r="40" spans="1:12">
      <c r="A40">
        <v>72</v>
      </c>
      <c r="B40" t="s">
        <v>370</v>
      </c>
      <c r="C40" t="s">
        <v>1121</v>
      </c>
      <c r="D40">
        <v>38</v>
      </c>
      <c r="E40">
        <v>806</v>
      </c>
      <c r="F40">
        <v>24900.13</v>
      </c>
      <c r="G40">
        <v>2.4</v>
      </c>
      <c r="H40">
        <v>32.04</v>
      </c>
      <c r="I40">
        <v>0.42</v>
      </c>
      <c r="J40">
        <v>0.43</v>
      </c>
      <c r="K40">
        <v>-1.62</v>
      </c>
      <c r="L40" t="s">
        <v>1523</v>
      </c>
    </row>
    <row r="41" spans="1:12">
      <c r="A41">
        <v>75</v>
      </c>
      <c r="B41" t="s">
        <v>1214</v>
      </c>
      <c r="C41" t="s">
        <v>1115</v>
      </c>
      <c r="D41">
        <v>46</v>
      </c>
      <c r="E41">
        <v>1155</v>
      </c>
      <c r="F41">
        <v>8177.49</v>
      </c>
      <c r="G41">
        <v>5.2</v>
      </c>
      <c r="H41">
        <v>7.38</v>
      </c>
      <c r="I41">
        <v>-0.41</v>
      </c>
      <c r="J41">
        <v>1.49</v>
      </c>
      <c r="K41">
        <v>-0.19</v>
      </c>
      <c r="L41" t="s">
        <v>1523</v>
      </c>
    </row>
    <row r="42" spans="1:12">
      <c r="A42">
        <v>32</v>
      </c>
      <c r="B42" t="s">
        <v>295</v>
      </c>
      <c r="C42" t="s">
        <v>1121</v>
      </c>
      <c r="D42">
        <v>15</v>
      </c>
      <c r="E42">
        <v>297</v>
      </c>
      <c r="F42">
        <v>8404.16</v>
      </c>
      <c r="G42">
        <v>7.3</v>
      </c>
      <c r="H42">
        <v>30.72</v>
      </c>
      <c r="I42">
        <v>-0.4</v>
      </c>
      <c r="J42">
        <v>-1.1299999999999999</v>
      </c>
      <c r="K42">
        <v>0.89</v>
      </c>
      <c r="L42" t="s">
        <v>1523</v>
      </c>
    </row>
    <row r="43" spans="1:12">
      <c r="A43">
        <v>4</v>
      </c>
      <c r="B43" t="s">
        <v>239</v>
      </c>
      <c r="C43" t="s">
        <v>1117</v>
      </c>
      <c r="D43">
        <v>20</v>
      </c>
      <c r="E43">
        <v>453</v>
      </c>
      <c r="F43">
        <v>8567.9</v>
      </c>
      <c r="G43">
        <v>7.5</v>
      </c>
      <c r="H43">
        <v>20.68</v>
      </c>
      <c r="I43">
        <v>-0.39</v>
      </c>
      <c r="J43">
        <v>-0.65</v>
      </c>
      <c r="K43">
        <v>0.99</v>
      </c>
      <c r="L43" t="s">
        <v>1523</v>
      </c>
    </row>
    <row r="44" spans="1:12">
      <c r="A44">
        <v>42</v>
      </c>
      <c r="B44" t="s">
        <v>313</v>
      </c>
      <c r="C44" t="s">
        <v>1123</v>
      </c>
      <c r="D44">
        <v>30</v>
      </c>
      <c r="E44">
        <v>697</v>
      </c>
      <c r="F44">
        <v>8575</v>
      </c>
      <c r="G44">
        <v>5.5</v>
      </c>
      <c r="H44">
        <v>13.21</v>
      </c>
      <c r="I44">
        <v>-0.39</v>
      </c>
      <c r="J44">
        <v>0.09</v>
      </c>
      <c r="K44">
        <v>-0.03</v>
      </c>
      <c r="L44" t="s">
        <v>1523</v>
      </c>
    </row>
    <row r="45" spans="1:12">
      <c r="A45">
        <v>68</v>
      </c>
      <c r="B45" t="s">
        <v>363</v>
      </c>
      <c r="C45" t="s">
        <v>1119</v>
      </c>
      <c r="D45">
        <v>34</v>
      </c>
      <c r="E45">
        <v>799</v>
      </c>
      <c r="F45">
        <v>8714</v>
      </c>
      <c r="G45">
        <v>5.9</v>
      </c>
      <c r="H45">
        <v>11.54</v>
      </c>
      <c r="I45">
        <v>-0.38</v>
      </c>
      <c r="J45">
        <v>0.41</v>
      </c>
      <c r="K45">
        <v>0.17</v>
      </c>
      <c r="L45" t="s">
        <v>1523</v>
      </c>
    </row>
    <row r="46" spans="1:12">
      <c r="A46">
        <v>41</v>
      </c>
      <c r="B46" t="s">
        <v>311</v>
      </c>
      <c r="C46" t="s">
        <v>1129</v>
      </c>
      <c r="D46">
        <v>47</v>
      </c>
      <c r="E46">
        <v>981</v>
      </c>
      <c r="F46">
        <v>8680.34</v>
      </c>
      <c r="G46">
        <v>4</v>
      </c>
      <c r="H46">
        <v>9.19</v>
      </c>
      <c r="I46">
        <v>-0.38</v>
      </c>
      <c r="J46">
        <v>0.96</v>
      </c>
      <c r="K46">
        <v>-0.8</v>
      </c>
      <c r="L46" t="s">
        <v>1523</v>
      </c>
    </row>
    <row r="47" spans="1:12">
      <c r="A47">
        <v>49</v>
      </c>
      <c r="B47" t="s">
        <v>327</v>
      </c>
      <c r="C47" t="s">
        <v>1119</v>
      </c>
      <c r="D47">
        <v>21</v>
      </c>
      <c r="E47">
        <v>520</v>
      </c>
      <c r="F47">
        <v>9244.6</v>
      </c>
      <c r="G47">
        <v>3.1</v>
      </c>
      <c r="H47">
        <v>18.48</v>
      </c>
      <c r="I47">
        <v>-0.36</v>
      </c>
      <c r="J47">
        <v>-0.45</v>
      </c>
      <c r="K47">
        <v>-1.26</v>
      </c>
      <c r="L47" t="s">
        <v>1523</v>
      </c>
    </row>
    <row r="48" spans="1:12">
      <c r="A48">
        <v>21</v>
      </c>
      <c r="B48" t="s">
        <v>273</v>
      </c>
      <c r="C48" t="s">
        <v>1119</v>
      </c>
      <c r="D48">
        <v>39</v>
      </c>
      <c r="E48">
        <v>1016</v>
      </c>
      <c r="F48">
        <v>9104</v>
      </c>
      <c r="G48">
        <v>5.6</v>
      </c>
      <c r="H48">
        <v>9.3800000000000008</v>
      </c>
      <c r="I48">
        <v>-0.36</v>
      </c>
      <c r="J48">
        <v>1.07</v>
      </c>
      <c r="K48">
        <v>0.02</v>
      </c>
      <c r="L48" t="s">
        <v>1523</v>
      </c>
    </row>
    <row r="49" spans="1:12">
      <c r="A49">
        <v>77</v>
      </c>
      <c r="B49" t="s">
        <v>1213</v>
      </c>
      <c r="C49" t="s">
        <v>1117</v>
      </c>
      <c r="D49">
        <v>38</v>
      </c>
      <c r="E49">
        <v>791</v>
      </c>
      <c r="F49">
        <v>9171.6299999999992</v>
      </c>
      <c r="G49">
        <v>5.0999999999999996</v>
      </c>
      <c r="H49">
        <v>12.11</v>
      </c>
      <c r="I49">
        <v>-0.36</v>
      </c>
      <c r="J49">
        <v>0.38</v>
      </c>
      <c r="K49">
        <v>-0.24</v>
      </c>
      <c r="L49" t="s">
        <v>1523</v>
      </c>
    </row>
    <row r="50" spans="1:12">
      <c r="A50">
        <v>43</v>
      </c>
      <c r="B50" t="s">
        <v>315</v>
      </c>
      <c r="C50" t="s">
        <v>1115</v>
      </c>
      <c r="D50">
        <v>28</v>
      </c>
      <c r="E50">
        <v>580</v>
      </c>
      <c r="F50">
        <v>23526.7</v>
      </c>
      <c r="G50">
        <v>5</v>
      </c>
      <c r="H50">
        <v>43.04</v>
      </c>
      <c r="I50">
        <v>0.35</v>
      </c>
      <c r="J50">
        <v>-0.26</v>
      </c>
      <c r="K50">
        <v>-0.28999999999999998</v>
      </c>
      <c r="L50" t="s">
        <v>1523</v>
      </c>
    </row>
    <row r="51" spans="1:12">
      <c r="A51">
        <v>44</v>
      </c>
      <c r="B51" t="s">
        <v>317</v>
      </c>
      <c r="C51" t="s">
        <v>1117</v>
      </c>
      <c r="D51">
        <v>24</v>
      </c>
      <c r="E51">
        <v>601</v>
      </c>
      <c r="F51">
        <v>9915.94</v>
      </c>
      <c r="G51">
        <v>6</v>
      </c>
      <c r="H51">
        <v>18.13</v>
      </c>
      <c r="I51">
        <v>-0.32</v>
      </c>
      <c r="J51">
        <v>-0.2</v>
      </c>
      <c r="K51">
        <v>0.22</v>
      </c>
      <c r="L51" t="s">
        <v>1523</v>
      </c>
    </row>
    <row r="52" spans="1:12">
      <c r="A52">
        <v>20</v>
      </c>
      <c r="B52" t="s">
        <v>271</v>
      </c>
      <c r="C52" t="s">
        <v>1119</v>
      </c>
      <c r="D52">
        <v>16</v>
      </c>
      <c r="E52">
        <v>313</v>
      </c>
      <c r="F52">
        <v>22563.360000000001</v>
      </c>
      <c r="G52">
        <v>4.5999999999999996</v>
      </c>
      <c r="H52">
        <v>75.94</v>
      </c>
      <c r="I52">
        <v>0.3</v>
      </c>
      <c r="J52">
        <v>-1.08</v>
      </c>
      <c r="K52">
        <v>-0.49</v>
      </c>
      <c r="L52" t="s">
        <v>1523</v>
      </c>
    </row>
    <row r="53" spans="1:12">
      <c r="A53">
        <v>7</v>
      </c>
      <c r="B53" t="s">
        <v>245</v>
      </c>
      <c r="C53" t="s">
        <v>1127</v>
      </c>
      <c r="D53">
        <v>29</v>
      </c>
      <c r="E53">
        <v>763</v>
      </c>
      <c r="F53">
        <v>22044.3</v>
      </c>
      <c r="G53">
        <v>2.8</v>
      </c>
      <c r="H53">
        <v>29.17</v>
      </c>
      <c r="I53">
        <v>0.28000000000000003</v>
      </c>
      <c r="J53">
        <v>0.3</v>
      </c>
      <c r="K53">
        <v>-1.41</v>
      </c>
      <c r="L53" t="s">
        <v>1523</v>
      </c>
    </row>
    <row r="54" spans="1:12">
      <c r="A54">
        <v>70</v>
      </c>
      <c r="B54" t="s">
        <v>367</v>
      </c>
      <c r="C54" t="s">
        <v>1115</v>
      </c>
      <c r="D54">
        <v>39</v>
      </c>
      <c r="E54">
        <v>817</v>
      </c>
      <c r="F54">
        <v>10672.65</v>
      </c>
      <c r="G54">
        <v>6.3</v>
      </c>
      <c r="H54">
        <v>14.15</v>
      </c>
      <c r="I54">
        <v>-0.28000000000000003</v>
      </c>
      <c r="J54">
        <v>0.46</v>
      </c>
      <c r="K54">
        <v>0.37</v>
      </c>
      <c r="L54" t="s">
        <v>1523</v>
      </c>
    </row>
    <row r="55" spans="1:12">
      <c r="A55">
        <v>64</v>
      </c>
      <c r="B55" t="s">
        <v>1207</v>
      </c>
      <c r="C55" t="s">
        <v>1123</v>
      </c>
      <c r="D55">
        <v>30</v>
      </c>
      <c r="E55">
        <v>740</v>
      </c>
      <c r="F55">
        <v>21957.97</v>
      </c>
      <c r="G55">
        <v>4.0999999999999996</v>
      </c>
      <c r="H55">
        <v>31.03</v>
      </c>
      <c r="I55">
        <v>0.27</v>
      </c>
      <c r="J55">
        <v>0.22</v>
      </c>
      <c r="K55">
        <v>-0.75</v>
      </c>
      <c r="L55" t="s">
        <v>1523</v>
      </c>
    </row>
    <row r="56" spans="1:12">
      <c r="A56">
        <v>69</v>
      </c>
      <c r="B56" t="s">
        <v>365</v>
      </c>
      <c r="C56" t="s">
        <v>1121</v>
      </c>
      <c r="D56">
        <v>31</v>
      </c>
      <c r="E56">
        <v>714</v>
      </c>
      <c r="F56">
        <v>21942.36</v>
      </c>
      <c r="G56">
        <v>7.4</v>
      </c>
      <c r="H56">
        <v>33.450000000000003</v>
      </c>
      <c r="I56">
        <v>0.27</v>
      </c>
      <c r="J56">
        <v>0.15</v>
      </c>
      <c r="K56">
        <v>0.94</v>
      </c>
      <c r="L56" t="s">
        <v>1523</v>
      </c>
    </row>
    <row r="57" spans="1:12">
      <c r="A57">
        <v>10</v>
      </c>
      <c r="B57" t="s">
        <v>251</v>
      </c>
      <c r="C57" t="s">
        <v>1129</v>
      </c>
      <c r="D57">
        <v>33</v>
      </c>
      <c r="E57">
        <v>742</v>
      </c>
      <c r="F57">
        <v>20867.34</v>
      </c>
      <c r="G57">
        <v>4.4000000000000004</v>
      </c>
      <c r="H57">
        <v>29.68</v>
      </c>
      <c r="I57">
        <v>0.22</v>
      </c>
      <c r="J57">
        <v>0.23</v>
      </c>
      <c r="K57">
        <v>-0.6</v>
      </c>
      <c r="L57" t="s">
        <v>1523</v>
      </c>
    </row>
    <row r="58" spans="1:12">
      <c r="A58">
        <v>12</v>
      </c>
      <c r="B58" t="s">
        <v>255</v>
      </c>
      <c r="C58" t="s">
        <v>1121</v>
      </c>
      <c r="D58">
        <v>14</v>
      </c>
      <c r="E58">
        <v>344</v>
      </c>
      <c r="F58">
        <v>12257.66</v>
      </c>
      <c r="G58">
        <v>6.4</v>
      </c>
      <c r="H58">
        <v>36.909999999999997</v>
      </c>
      <c r="I58">
        <v>-0.21</v>
      </c>
      <c r="J58">
        <v>-0.99</v>
      </c>
      <c r="K58">
        <v>0.43</v>
      </c>
      <c r="L58" t="s">
        <v>1523</v>
      </c>
    </row>
    <row r="59" spans="1:12">
      <c r="A59">
        <v>39</v>
      </c>
      <c r="B59" t="s">
        <v>307</v>
      </c>
      <c r="C59" t="s">
        <v>1115</v>
      </c>
      <c r="D59">
        <v>30</v>
      </c>
      <c r="E59">
        <v>793</v>
      </c>
      <c r="F59">
        <v>12294.54</v>
      </c>
      <c r="G59">
        <v>6.7</v>
      </c>
      <c r="H59">
        <v>16.68</v>
      </c>
      <c r="I59">
        <v>-0.2</v>
      </c>
      <c r="J59">
        <v>0.39</v>
      </c>
      <c r="K59">
        <v>0.57999999999999996</v>
      </c>
      <c r="L59" t="s">
        <v>1523</v>
      </c>
    </row>
    <row r="60" spans="1:12">
      <c r="A60">
        <v>53</v>
      </c>
      <c r="B60" t="s">
        <v>335</v>
      </c>
      <c r="C60" t="s">
        <v>1125</v>
      </c>
      <c r="D60">
        <v>30</v>
      </c>
      <c r="E60">
        <v>722</v>
      </c>
      <c r="F60">
        <v>20574.169999999998</v>
      </c>
      <c r="G60">
        <v>3.8</v>
      </c>
      <c r="H60">
        <v>30.16</v>
      </c>
      <c r="I60">
        <v>0.2</v>
      </c>
      <c r="J60">
        <v>0.17</v>
      </c>
      <c r="K60">
        <v>-0.9</v>
      </c>
      <c r="L60" t="s">
        <v>1523</v>
      </c>
    </row>
    <row r="61" spans="1:12">
      <c r="A61">
        <v>1</v>
      </c>
      <c r="B61" t="s">
        <v>233</v>
      </c>
      <c r="C61" t="s">
        <v>1115</v>
      </c>
      <c r="D61">
        <v>38</v>
      </c>
      <c r="E61">
        <v>828</v>
      </c>
      <c r="F61">
        <v>12788.1</v>
      </c>
      <c r="G61">
        <v>7.8</v>
      </c>
      <c r="H61">
        <v>17.149999999999999</v>
      </c>
      <c r="I61">
        <v>-0.18</v>
      </c>
      <c r="J61">
        <v>0.49</v>
      </c>
      <c r="K61">
        <v>1.1399999999999999</v>
      </c>
      <c r="L61" t="s">
        <v>1523</v>
      </c>
    </row>
    <row r="62" spans="1:12">
      <c r="A62">
        <v>8</v>
      </c>
      <c r="B62" t="s">
        <v>247</v>
      </c>
      <c r="C62" t="s">
        <v>1117</v>
      </c>
      <c r="D62">
        <v>13</v>
      </c>
      <c r="E62">
        <v>372</v>
      </c>
      <c r="F62">
        <v>12772</v>
      </c>
      <c r="G62">
        <v>6.5</v>
      </c>
      <c r="H62">
        <v>38.770000000000003</v>
      </c>
      <c r="I62">
        <v>-0.18</v>
      </c>
      <c r="J62">
        <v>-0.9</v>
      </c>
      <c r="K62">
        <v>0.48</v>
      </c>
      <c r="L62" t="s">
        <v>1523</v>
      </c>
    </row>
    <row r="63" spans="1:12">
      <c r="A63">
        <v>26</v>
      </c>
      <c r="B63" t="s">
        <v>1208</v>
      </c>
      <c r="C63" t="s">
        <v>1119</v>
      </c>
      <c r="D63">
        <v>32</v>
      </c>
      <c r="E63">
        <v>753</v>
      </c>
      <c r="F63">
        <v>19849.14</v>
      </c>
      <c r="G63">
        <v>5.2</v>
      </c>
      <c r="H63">
        <v>28.86</v>
      </c>
      <c r="I63">
        <v>0.17</v>
      </c>
      <c r="J63">
        <v>0.26</v>
      </c>
      <c r="K63">
        <v>-0.19</v>
      </c>
      <c r="L63" t="s">
        <v>1523</v>
      </c>
    </row>
    <row r="64" spans="1:12">
      <c r="A64">
        <v>11</v>
      </c>
      <c r="B64" t="s">
        <v>253</v>
      </c>
      <c r="C64" t="s">
        <v>1121</v>
      </c>
      <c r="D64">
        <v>38</v>
      </c>
      <c r="E64">
        <v>706</v>
      </c>
      <c r="F64">
        <v>12901.77</v>
      </c>
      <c r="G64">
        <v>5.7</v>
      </c>
      <c r="H64">
        <v>19.600000000000001</v>
      </c>
      <c r="I64">
        <v>-0.17</v>
      </c>
      <c r="J64">
        <v>0.12</v>
      </c>
      <c r="K64">
        <v>7.0000000000000007E-2</v>
      </c>
      <c r="L64" t="s">
        <v>1523</v>
      </c>
    </row>
    <row r="65" spans="1:12">
      <c r="A65">
        <v>30</v>
      </c>
      <c r="B65" t="s">
        <v>291</v>
      </c>
      <c r="C65" t="s">
        <v>1129</v>
      </c>
      <c r="D65">
        <v>32</v>
      </c>
      <c r="E65">
        <v>612</v>
      </c>
      <c r="F65">
        <v>13424.2</v>
      </c>
      <c r="G65">
        <v>8.1</v>
      </c>
      <c r="H65">
        <v>24.27</v>
      </c>
      <c r="I65">
        <v>-0.15</v>
      </c>
      <c r="J65">
        <v>-0.17</v>
      </c>
      <c r="K65">
        <v>1.29</v>
      </c>
      <c r="L65" t="s">
        <v>1523</v>
      </c>
    </row>
    <row r="66" spans="1:12">
      <c r="A66">
        <v>71</v>
      </c>
      <c r="B66" t="s">
        <v>1209</v>
      </c>
      <c r="C66" t="s">
        <v>1121</v>
      </c>
      <c r="D66">
        <v>42</v>
      </c>
      <c r="E66">
        <v>1057</v>
      </c>
      <c r="F66">
        <v>19551.03</v>
      </c>
      <c r="G66">
        <v>4.3</v>
      </c>
      <c r="H66">
        <v>19.760000000000002</v>
      </c>
      <c r="I66">
        <v>0.15</v>
      </c>
      <c r="J66">
        <v>1.19</v>
      </c>
      <c r="K66">
        <v>-0.65</v>
      </c>
      <c r="L66" t="s">
        <v>1523</v>
      </c>
    </row>
    <row r="67" spans="1:12">
      <c r="A67">
        <v>36</v>
      </c>
      <c r="B67" t="s">
        <v>301</v>
      </c>
      <c r="C67" t="s">
        <v>1129</v>
      </c>
      <c r="D67">
        <v>31</v>
      </c>
      <c r="E67">
        <v>805</v>
      </c>
      <c r="F67">
        <v>13458.46</v>
      </c>
      <c r="G67">
        <v>7.9</v>
      </c>
      <c r="H67">
        <v>17.899999999999999</v>
      </c>
      <c r="I67">
        <v>-0.15</v>
      </c>
      <c r="J67">
        <v>0.42</v>
      </c>
      <c r="K67">
        <v>1.19</v>
      </c>
      <c r="L67" t="s">
        <v>1523</v>
      </c>
    </row>
    <row r="68" spans="1:12">
      <c r="A68">
        <v>35</v>
      </c>
      <c r="B68" t="s">
        <v>300</v>
      </c>
      <c r="C68" t="s">
        <v>1115</v>
      </c>
      <c r="D68">
        <v>36</v>
      </c>
      <c r="E68">
        <v>883</v>
      </c>
      <c r="F68">
        <v>13644</v>
      </c>
      <c r="G68">
        <v>4.7</v>
      </c>
      <c r="H68">
        <v>17</v>
      </c>
      <c r="I68">
        <v>-0.14000000000000001</v>
      </c>
      <c r="J68">
        <v>0.66</v>
      </c>
      <c r="K68">
        <v>-0.44</v>
      </c>
      <c r="L68" t="s">
        <v>1523</v>
      </c>
    </row>
    <row r="69" spans="1:12">
      <c r="A69">
        <v>65</v>
      </c>
      <c r="B69" t="s">
        <v>358</v>
      </c>
      <c r="C69" t="s">
        <v>1117</v>
      </c>
      <c r="D69">
        <v>32</v>
      </c>
      <c r="E69">
        <v>745</v>
      </c>
      <c r="F69">
        <v>13869.89</v>
      </c>
      <c r="G69">
        <v>4.8</v>
      </c>
      <c r="H69">
        <v>19.46</v>
      </c>
      <c r="I69">
        <v>-0.13</v>
      </c>
      <c r="J69">
        <v>0.24</v>
      </c>
      <c r="K69">
        <v>-0.39</v>
      </c>
      <c r="L69" t="s">
        <v>1523</v>
      </c>
    </row>
    <row r="70" spans="1:12">
      <c r="A70">
        <v>61</v>
      </c>
      <c r="B70" t="s">
        <v>1212</v>
      </c>
      <c r="C70" t="s">
        <v>1117</v>
      </c>
      <c r="D70">
        <v>24</v>
      </c>
      <c r="E70">
        <v>603</v>
      </c>
      <c r="F70">
        <v>14352.6</v>
      </c>
      <c r="G70">
        <v>7.1</v>
      </c>
      <c r="H70">
        <v>27.79</v>
      </c>
      <c r="I70">
        <v>-0.1</v>
      </c>
      <c r="J70">
        <v>-0.19</v>
      </c>
      <c r="K70">
        <v>0.78</v>
      </c>
      <c r="L70" t="s">
        <v>1523</v>
      </c>
    </row>
    <row r="71" spans="1:12">
      <c r="A71">
        <v>31</v>
      </c>
      <c r="B71" t="s">
        <v>293</v>
      </c>
      <c r="C71" t="s">
        <v>1121</v>
      </c>
      <c r="D71">
        <v>51</v>
      </c>
      <c r="E71">
        <v>1397</v>
      </c>
      <c r="F71">
        <v>14920.88</v>
      </c>
      <c r="G71">
        <v>6.3</v>
      </c>
      <c r="H71">
        <v>11.67</v>
      </c>
      <c r="I71">
        <v>-0.08</v>
      </c>
      <c r="J71">
        <v>2.23</v>
      </c>
      <c r="K71">
        <v>0.37</v>
      </c>
      <c r="L71" t="s">
        <v>1524</v>
      </c>
    </row>
    <row r="72" spans="1:12">
      <c r="A72">
        <v>27</v>
      </c>
      <c r="B72" t="s">
        <v>285</v>
      </c>
      <c r="C72" t="s">
        <v>1119</v>
      </c>
      <c r="D72">
        <v>9</v>
      </c>
      <c r="E72">
        <v>365</v>
      </c>
      <c r="F72">
        <v>15099.88</v>
      </c>
      <c r="G72">
        <v>2.8</v>
      </c>
      <c r="H72">
        <v>40.97</v>
      </c>
      <c r="I72">
        <v>-7.0000000000000007E-2</v>
      </c>
      <c r="J72">
        <v>-0.92</v>
      </c>
      <c r="K72">
        <v>-1.41</v>
      </c>
      <c r="L72" t="s">
        <v>1523</v>
      </c>
    </row>
    <row r="73" spans="1:12">
      <c r="A73">
        <v>40</v>
      </c>
      <c r="B73" t="s">
        <v>309</v>
      </c>
      <c r="C73" t="s">
        <v>1129</v>
      </c>
      <c r="D73">
        <v>41</v>
      </c>
      <c r="E73">
        <v>1103</v>
      </c>
      <c r="F73">
        <v>17910.63</v>
      </c>
      <c r="G73">
        <v>5.0999999999999996</v>
      </c>
      <c r="H73">
        <v>17.23</v>
      </c>
      <c r="I73">
        <v>7.0000000000000007E-2</v>
      </c>
      <c r="J73">
        <v>1.33</v>
      </c>
      <c r="K73">
        <v>-0.24</v>
      </c>
      <c r="L73" t="s">
        <v>1523</v>
      </c>
    </row>
    <row r="74" spans="1:12">
      <c r="A74">
        <v>55</v>
      </c>
      <c r="B74" t="s">
        <v>1210</v>
      </c>
      <c r="C74" t="s">
        <v>1125</v>
      </c>
      <c r="D74">
        <v>33</v>
      </c>
      <c r="E74">
        <v>903</v>
      </c>
      <c r="F74">
        <v>17426.400000000001</v>
      </c>
      <c r="G74">
        <v>7.7</v>
      </c>
      <c r="H74">
        <v>22.4</v>
      </c>
      <c r="I74">
        <v>0.05</v>
      </c>
      <c r="J74">
        <v>0.72</v>
      </c>
      <c r="K74">
        <v>1.0900000000000001</v>
      </c>
      <c r="L74" t="s">
        <v>1523</v>
      </c>
    </row>
    <row r="75" spans="1:12">
      <c r="A75">
        <v>16</v>
      </c>
      <c r="B75" t="s">
        <v>263</v>
      </c>
      <c r="C75" t="s">
        <v>1119</v>
      </c>
      <c r="D75">
        <v>43</v>
      </c>
      <c r="E75">
        <v>1158</v>
      </c>
      <c r="F75">
        <v>17215.78</v>
      </c>
      <c r="G75">
        <v>6.7</v>
      </c>
      <c r="H75">
        <v>16.38</v>
      </c>
      <c r="I75">
        <v>0.04</v>
      </c>
      <c r="J75">
        <v>1.5</v>
      </c>
      <c r="K75">
        <v>0.57999999999999996</v>
      </c>
      <c r="L75" t="s">
        <v>1523</v>
      </c>
    </row>
    <row r="76" spans="1:12">
      <c r="A76">
        <v>76</v>
      </c>
      <c r="B76" t="s">
        <v>1211</v>
      </c>
      <c r="C76" t="s">
        <v>1115</v>
      </c>
      <c r="D76">
        <v>39</v>
      </c>
      <c r="E76">
        <v>981</v>
      </c>
      <c r="F76">
        <v>15760.44</v>
      </c>
      <c r="G76">
        <v>5.3</v>
      </c>
      <c r="H76">
        <v>16.98</v>
      </c>
      <c r="I76">
        <v>-0.03</v>
      </c>
      <c r="J76">
        <v>0.96</v>
      </c>
      <c r="K76">
        <v>-0.14000000000000001</v>
      </c>
      <c r="L76" t="s">
        <v>1523</v>
      </c>
    </row>
    <row r="77" spans="1:12">
      <c r="A77">
        <v>63</v>
      </c>
      <c r="B77" t="s">
        <v>354</v>
      </c>
      <c r="C77" t="s">
        <v>1117</v>
      </c>
      <c r="D77">
        <v>17</v>
      </c>
      <c r="E77">
        <v>445</v>
      </c>
      <c r="F77">
        <v>16701.099999999999</v>
      </c>
      <c r="G77">
        <v>4.0999999999999996</v>
      </c>
      <c r="H77">
        <v>40.79</v>
      </c>
      <c r="I77">
        <v>0.01</v>
      </c>
      <c r="J77">
        <v>-0.68</v>
      </c>
      <c r="K77">
        <v>-0.75</v>
      </c>
      <c r="L77" t="s">
        <v>1523</v>
      </c>
    </row>
    <row r="78" spans="1:12">
      <c r="A78">
        <v>2</v>
      </c>
      <c r="B78" t="s">
        <v>235</v>
      </c>
      <c r="C78" t="s">
        <v>1115</v>
      </c>
      <c r="D78">
        <v>44</v>
      </c>
      <c r="E78">
        <v>1057</v>
      </c>
      <c r="F78">
        <v>16355.96</v>
      </c>
      <c r="G78">
        <v>10.199999999999999</v>
      </c>
      <c r="H78">
        <v>17.88</v>
      </c>
      <c r="I78">
        <v>0</v>
      </c>
      <c r="J78">
        <v>1.19</v>
      </c>
      <c r="K78">
        <v>2.37</v>
      </c>
      <c r="L78" t="s">
        <v>1525</v>
      </c>
    </row>
  </sheetData>
  <pageMargins left="0.7" right="0.7" top="0.75" bottom="0.75" header="0.3" footer="0.3"/>
  <tableParts count="1">
    <tablePart r:id="rId1"/>
  </tableParts>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AEBE2-32D1-DC41-86D4-FF552990B391}">
  <dimension ref="A1:K38"/>
  <sheetViews>
    <sheetView showGridLines="0" workbookViewId="0">
      <selection activeCell="L55" sqref="L55"/>
    </sheetView>
  </sheetViews>
  <sheetFormatPr baseColWidth="10" defaultRowHeight="13"/>
  <cols>
    <col min="2" max="2" width="19.33203125" bestFit="1" customWidth="1"/>
    <col min="3" max="3" width="15.83203125" bestFit="1" customWidth="1"/>
    <col min="4" max="5" width="10.83203125" bestFit="1" customWidth="1"/>
    <col min="6" max="6" width="13.33203125" bestFit="1" customWidth="1"/>
    <col min="7" max="7" width="13.5" bestFit="1" customWidth="1"/>
    <col min="8" max="8" width="11.33203125" bestFit="1" customWidth="1"/>
    <col min="9" max="9" width="8" bestFit="1" customWidth="1"/>
    <col min="10" max="10" width="7.83203125" bestFit="1" customWidth="1"/>
    <col min="11" max="11" width="10.6640625" bestFit="1" customWidth="1"/>
    <col min="12" max="12" width="15.83203125" bestFit="1" customWidth="1"/>
    <col min="13" max="13" width="19.33203125" bestFit="1" customWidth="1"/>
    <col min="14" max="14" width="15.83203125" bestFit="1" customWidth="1"/>
    <col min="15" max="15" width="19.33203125" bestFit="1" customWidth="1"/>
    <col min="16" max="16" width="15.83203125" bestFit="1" customWidth="1"/>
    <col min="17" max="17" width="19.33203125" bestFit="1" customWidth="1"/>
    <col min="18" max="18" width="15.83203125" bestFit="1" customWidth="1"/>
    <col min="19" max="19" width="24" bestFit="1" customWidth="1"/>
    <col min="20" max="20" width="20.5" bestFit="1" customWidth="1"/>
  </cols>
  <sheetData>
    <row r="1" spans="1:11" ht="22" thickBot="1">
      <c r="A1" s="19" t="s">
        <v>1613</v>
      </c>
      <c r="B1" s="20" t="s">
        <v>1598</v>
      </c>
      <c r="C1" s="21"/>
      <c r="D1" s="21"/>
      <c r="E1" s="21"/>
      <c r="F1" s="21"/>
      <c r="G1" s="22"/>
    </row>
    <row r="3" spans="1:11">
      <c r="B3" s="12" t="s">
        <v>1658</v>
      </c>
      <c r="C3" s="12" t="s">
        <v>1627</v>
      </c>
    </row>
    <row r="4" spans="1:11">
      <c r="B4" s="12" t="s">
        <v>1635</v>
      </c>
      <c r="C4" t="s">
        <v>1115</v>
      </c>
      <c r="D4" t="s">
        <v>1117</v>
      </c>
      <c r="E4" t="s">
        <v>1119</v>
      </c>
      <c r="F4" t="s">
        <v>1121</v>
      </c>
      <c r="G4" t="s">
        <v>1123</v>
      </c>
      <c r="H4" t="s">
        <v>1125</v>
      </c>
      <c r="I4" t="s">
        <v>1127</v>
      </c>
      <c r="J4" t="s">
        <v>1129</v>
      </c>
      <c r="K4" t="s">
        <v>1184</v>
      </c>
    </row>
    <row r="5" spans="1:11">
      <c r="B5" s="13" t="s">
        <v>1506</v>
      </c>
      <c r="C5">
        <v>31</v>
      </c>
      <c r="D5">
        <v>12</v>
      </c>
      <c r="E5">
        <v>25</v>
      </c>
      <c r="F5">
        <v>32</v>
      </c>
      <c r="G5">
        <v>16</v>
      </c>
      <c r="H5">
        <v>19</v>
      </c>
      <c r="I5">
        <v>19</v>
      </c>
      <c r="J5">
        <v>27</v>
      </c>
      <c r="K5">
        <v>181</v>
      </c>
    </row>
    <row r="6" spans="1:11">
      <c r="B6" s="13" t="s">
        <v>1508</v>
      </c>
      <c r="C6">
        <v>38</v>
      </c>
      <c r="D6">
        <v>20</v>
      </c>
      <c r="E6">
        <v>36</v>
      </c>
      <c r="F6">
        <v>25</v>
      </c>
      <c r="G6">
        <v>20</v>
      </c>
      <c r="H6">
        <v>14</v>
      </c>
      <c r="I6">
        <v>11</v>
      </c>
      <c r="J6">
        <v>26</v>
      </c>
      <c r="K6">
        <v>190</v>
      </c>
    </row>
    <row r="7" spans="1:11">
      <c r="B7" s="13" t="s">
        <v>1509</v>
      </c>
      <c r="C7">
        <v>34</v>
      </c>
      <c r="D7">
        <v>19</v>
      </c>
      <c r="E7">
        <v>38</v>
      </c>
      <c r="F7">
        <v>27</v>
      </c>
      <c r="G7">
        <v>20</v>
      </c>
      <c r="H7">
        <v>24</v>
      </c>
      <c r="I7">
        <v>9</v>
      </c>
      <c r="J7">
        <v>31</v>
      </c>
      <c r="K7">
        <v>202</v>
      </c>
    </row>
    <row r="8" spans="1:11">
      <c r="B8" s="13" t="s">
        <v>1510</v>
      </c>
      <c r="C8">
        <v>46</v>
      </c>
      <c r="D8">
        <v>22</v>
      </c>
      <c r="E8">
        <v>35</v>
      </c>
      <c r="F8">
        <v>33</v>
      </c>
      <c r="G8">
        <v>19</v>
      </c>
      <c r="H8">
        <v>13</v>
      </c>
      <c r="I8">
        <v>20</v>
      </c>
      <c r="J8">
        <v>39</v>
      </c>
      <c r="K8">
        <v>227</v>
      </c>
    </row>
    <row r="9" spans="1:11">
      <c r="B9" s="13" t="s">
        <v>1512</v>
      </c>
      <c r="C9">
        <v>24</v>
      </c>
      <c r="D9">
        <v>17</v>
      </c>
      <c r="E9">
        <v>14</v>
      </c>
      <c r="F9">
        <v>14</v>
      </c>
      <c r="G9">
        <v>15</v>
      </c>
      <c r="H9">
        <v>12</v>
      </c>
      <c r="I9">
        <v>10</v>
      </c>
      <c r="J9">
        <v>15</v>
      </c>
      <c r="K9">
        <v>121</v>
      </c>
    </row>
    <row r="10" spans="1:11">
      <c r="B10" s="13" t="s">
        <v>1513</v>
      </c>
      <c r="C10">
        <v>12</v>
      </c>
      <c r="D10">
        <v>9</v>
      </c>
      <c r="E10">
        <v>9</v>
      </c>
      <c r="F10">
        <v>17</v>
      </c>
      <c r="G10">
        <v>5</v>
      </c>
      <c r="H10">
        <v>7</v>
      </c>
      <c r="I10">
        <v>4</v>
      </c>
      <c r="J10">
        <v>14</v>
      </c>
      <c r="K10">
        <v>77</v>
      </c>
    </row>
    <row r="11" spans="1:11">
      <c r="B11" s="13" t="s">
        <v>1514</v>
      </c>
      <c r="C11">
        <v>14</v>
      </c>
      <c r="D11">
        <v>6</v>
      </c>
      <c r="E11">
        <v>6</v>
      </c>
      <c r="F11">
        <v>13</v>
      </c>
      <c r="G11">
        <v>10</v>
      </c>
      <c r="H11">
        <v>5</v>
      </c>
      <c r="I11">
        <v>6</v>
      </c>
      <c r="J11">
        <v>9</v>
      </c>
      <c r="K11">
        <v>69</v>
      </c>
    </row>
    <row r="12" spans="1:11">
      <c r="B12" s="13" t="s">
        <v>1499</v>
      </c>
      <c r="C12">
        <v>25</v>
      </c>
      <c r="D12">
        <v>15</v>
      </c>
      <c r="E12">
        <v>21</v>
      </c>
      <c r="F12">
        <v>20</v>
      </c>
      <c r="G12">
        <v>12</v>
      </c>
      <c r="H12">
        <v>9</v>
      </c>
      <c r="I12">
        <v>7</v>
      </c>
      <c r="J12">
        <v>16</v>
      </c>
      <c r="K12">
        <v>125</v>
      </c>
    </row>
    <row r="13" spans="1:11">
      <c r="B13" s="13" t="s">
        <v>1501</v>
      </c>
      <c r="C13">
        <v>27</v>
      </c>
      <c r="D13">
        <v>14</v>
      </c>
      <c r="E13">
        <v>20</v>
      </c>
      <c r="F13">
        <v>19</v>
      </c>
      <c r="G13">
        <v>11</v>
      </c>
      <c r="H13">
        <v>11</v>
      </c>
      <c r="I13">
        <v>8</v>
      </c>
      <c r="J13">
        <v>21</v>
      </c>
      <c r="K13">
        <v>131</v>
      </c>
    </row>
    <row r="14" spans="1:11">
      <c r="B14" s="13" t="s">
        <v>1502</v>
      </c>
      <c r="C14">
        <v>18</v>
      </c>
      <c r="D14">
        <v>12</v>
      </c>
      <c r="E14">
        <v>26</v>
      </c>
      <c r="F14">
        <v>22</v>
      </c>
      <c r="G14">
        <v>16</v>
      </c>
      <c r="H14">
        <v>11</v>
      </c>
      <c r="I14">
        <v>6</v>
      </c>
      <c r="J14">
        <v>24</v>
      </c>
      <c r="K14">
        <v>135</v>
      </c>
    </row>
    <row r="15" spans="1:11">
      <c r="B15" s="13" t="s">
        <v>1504</v>
      </c>
      <c r="C15">
        <v>28</v>
      </c>
      <c r="D15">
        <v>19</v>
      </c>
      <c r="E15">
        <v>25</v>
      </c>
      <c r="F15">
        <v>26</v>
      </c>
      <c r="G15">
        <v>10</v>
      </c>
      <c r="H15">
        <v>15</v>
      </c>
      <c r="I15">
        <v>8</v>
      </c>
      <c r="J15">
        <v>23</v>
      </c>
      <c r="K15">
        <v>154</v>
      </c>
    </row>
    <row r="16" spans="1:11">
      <c r="B16" s="13" t="s">
        <v>1505</v>
      </c>
      <c r="C16">
        <v>23</v>
      </c>
      <c r="D16">
        <v>13</v>
      </c>
      <c r="E16">
        <v>19</v>
      </c>
      <c r="F16">
        <v>24</v>
      </c>
      <c r="G16">
        <v>17</v>
      </c>
      <c r="H16">
        <v>11</v>
      </c>
      <c r="I16">
        <v>8</v>
      </c>
      <c r="J16">
        <v>21</v>
      </c>
      <c r="K16">
        <v>136</v>
      </c>
    </row>
    <row r="17" spans="2:11">
      <c r="B17" s="13" t="s">
        <v>1184</v>
      </c>
      <c r="C17">
        <v>320</v>
      </c>
      <c r="D17">
        <v>178</v>
      </c>
      <c r="E17">
        <v>274</v>
      </c>
      <c r="F17">
        <v>272</v>
      </c>
      <c r="G17">
        <v>171</v>
      </c>
      <c r="H17">
        <v>151</v>
      </c>
      <c r="I17">
        <v>116</v>
      </c>
      <c r="J17">
        <v>266</v>
      </c>
      <c r="K17">
        <v>1748</v>
      </c>
    </row>
    <row r="32" spans="2:11">
      <c r="B32" s="12" t="s">
        <v>1658</v>
      </c>
      <c r="C32" s="12" t="s">
        <v>1627</v>
      </c>
    </row>
    <row r="33" spans="2:11">
      <c r="B33" s="12" t="s">
        <v>1636</v>
      </c>
      <c r="C33" t="s">
        <v>1115</v>
      </c>
      <c r="D33" t="s">
        <v>1117</v>
      </c>
      <c r="E33" t="s">
        <v>1119</v>
      </c>
      <c r="F33" t="s">
        <v>1121</v>
      </c>
      <c r="G33" t="s">
        <v>1123</v>
      </c>
      <c r="H33" t="s">
        <v>1125</v>
      </c>
      <c r="I33" t="s">
        <v>1127</v>
      </c>
      <c r="J33" t="s">
        <v>1129</v>
      </c>
      <c r="K33" t="s">
        <v>1184</v>
      </c>
    </row>
    <row r="34" spans="2:11">
      <c r="B34" s="13" t="s">
        <v>1507</v>
      </c>
      <c r="C34">
        <v>103</v>
      </c>
      <c r="D34">
        <v>51</v>
      </c>
      <c r="E34">
        <v>99</v>
      </c>
      <c r="F34">
        <v>84</v>
      </c>
      <c r="G34">
        <v>56</v>
      </c>
      <c r="H34">
        <v>57</v>
      </c>
      <c r="I34">
        <v>39</v>
      </c>
      <c r="J34">
        <v>84</v>
      </c>
      <c r="K34">
        <v>573</v>
      </c>
    </row>
    <row r="35" spans="2:11">
      <c r="B35" s="13" t="s">
        <v>1511</v>
      </c>
      <c r="C35">
        <v>82</v>
      </c>
      <c r="D35">
        <v>48</v>
      </c>
      <c r="E35">
        <v>58</v>
      </c>
      <c r="F35">
        <v>64</v>
      </c>
      <c r="G35">
        <v>39</v>
      </c>
      <c r="H35">
        <v>32</v>
      </c>
      <c r="I35">
        <v>34</v>
      </c>
      <c r="J35">
        <v>68</v>
      </c>
      <c r="K35">
        <v>425</v>
      </c>
    </row>
    <row r="36" spans="2:11">
      <c r="B36" s="13" t="s">
        <v>1500</v>
      </c>
      <c r="C36">
        <v>66</v>
      </c>
      <c r="D36">
        <v>35</v>
      </c>
      <c r="E36">
        <v>47</v>
      </c>
      <c r="F36">
        <v>52</v>
      </c>
      <c r="G36">
        <v>33</v>
      </c>
      <c r="H36">
        <v>25</v>
      </c>
      <c r="I36">
        <v>21</v>
      </c>
      <c r="J36">
        <v>46</v>
      </c>
      <c r="K36">
        <v>325</v>
      </c>
    </row>
    <row r="37" spans="2:11">
      <c r="B37" s="13" t="s">
        <v>1503</v>
      </c>
      <c r="C37">
        <v>69</v>
      </c>
      <c r="D37">
        <v>44</v>
      </c>
      <c r="E37">
        <v>70</v>
      </c>
      <c r="F37">
        <v>72</v>
      </c>
      <c r="G37">
        <v>43</v>
      </c>
      <c r="H37">
        <v>37</v>
      </c>
      <c r="I37">
        <v>22</v>
      </c>
      <c r="J37">
        <v>68</v>
      </c>
      <c r="K37">
        <v>425</v>
      </c>
    </row>
    <row r="38" spans="2:11">
      <c r="B38" s="13" t="s">
        <v>1184</v>
      </c>
      <c r="C38">
        <v>320</v>
      </c>
      <c r="D38">
        <v>178</v>
      </c>
      <c r="E38">
        <v>274</v>
      </c>
      <c r="F38">
        <v>272</v>
      </c>
      <c r="G38">
        <v>171</v>
      </c>
      <c r="H38">
        <v>151</v>
      </c>
      <c r="I38">
        <v>116</v>
      </c>
      <c r="J38">
        <v>266</v>
      </c>
      <c r="K38">
        <v>1748</v>
      </c>
    </row>
  </sheetData>
  <pageMargins left="0.7" right="0.7" top="0.75" bottom="0.75" header="0.3" footer="0.3"/>
  <drawing r:id="rId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B6B059-F74A-4253-8272-3B1F22E08EAB}">
  <dimension ref="A1:Y79"/>
  <sheetViews>
    <sheetView showGridLines="0" workbookViewId="0">
      <selection activeCell="A48" sqref="A48"/>
    </sheetView>
  </sheetViews>
  <sheetFormatPr baseColWidth="10" defaultColWidth="8.83203125" defaultRowHeight="13"/>
  <cols>
    <col min="14" max="14" width="12.1640625" bestFit="1" customWidth="1"/>
    <col min="15" max="15" width="30.83203125" bestFit="1" customWidth="1"/>
    <col min="16" max="16" width="16.83203125" bestFit="1" customWidth="1"/>
    <col min="17" max="17" width="14.1640625" bestFit="1" customWidth="1"/>
    <col min="18" max="18" width="12.33203125" bestFit="1" customWidth="1"/>
    <col min="19" max="19" width="15.83203125" bestFit="1" customWidth="1"/>
    <col min="20" max="20" width="19" bestFit="1" customWidth="1"/>
    <col min="21" max="21" width="19.33203125" bestFit="1" customWidth="1"/>
    <col min="22" max="22" width="18.6640625" bestFit="1" customWidth="1"/>
    <col min="23" max="23" width="15.5" bestFit="1" customWidth="1"/>
    <col min="24" max="24" width="18.83203125" bestFit="1" customWidth="1"/>
    <col min="25" max="25" width="16.33203125" bestFit="1" customWidth="1"/>
  </cols>
  <sheetData>
    <row r="1" spans="1:25" ht="14" thickBot="1">
      <c r="A1" s="43" t="s">
        <v>1526</v>
      </c>
      <c r="B1" s="44"/>
      <c r="C1" s="44"/>
      <c r="D1" s="44"/>
      <c r="E1" s="44"/>
      <c r="F1" s="44"/>
      <c r="G1" s="44"/>
      <c r="H1" s="44"/>
      <c r="I1" s="44"/>
      <c r="J1" s="44"/>
      <c r="K1" s="44"/>
      <c r="L1" s="45"/>
    </row>
    <row r="2" spans="1:25" ht="12.75" customHeight="1">
      <c r="A2" s="46" t="s">
        <v>1527</v>
      </c>
      <c r="B2" s="47"/>
      <c r="C2" s="47"/>
      <c r="D2" s="47"/>
      <c r="E2" s="47"/>
      <c r="F2" s="47"/>
      <c r="G2" s="47"/>
      <c r="H2" s="47"/>
      <c r="I2" s="47"/>
      <c r="J2" s="47"/>
      <c r="K2" s="47"/>
      <c r="L2" s="48"/>
      <c r="M2" s="8"/>
      <c r="N2" t="s">
        <v>224</v>
      </c>
      <c r="O2" t="s">
        <v>225</v>
      </c>
      <c r="P2" t="s">
        <v>1113</v>
      </c>
      <c r="Q2" t="s">
        <v>1187</v>
      </c>
      <c r="R2" t="s">
        <v>1198</v>
      </c>
      <c r="S2" t="s">
        <v>1132</v>
      </c>
      <c r="T2" t="s">
        <v>1517</v>
      </c>
      <c r="U2" t="s">
        <v>1203</v>
      </c>
      <c r="V2" t="s">
        <v>1518</v>
      </c>
      <c r="W2" t="s">
        <v>1519</v>
      </c>
      <c r="X2" t="s">
        <v>1520</v>
      </c>
      <c r="Y2" t="s">
        <v>1521</v>
      </c>
    </row>
    <row r="3" spans="1:25">
      <c r="A3" s="46"/>
      <c r="B3" s="47"/>
      <c r="C3" s="47"/>
      <c r="D3" s="47"/>
      <c r="E3" s="47"/>
      <c r="F3" s="47"/>
      <c r="G3" s="47"/>
      <c r="H3" s="47"/>
      <c r="I3" s="47"/>
      <c r="J3" s="47"/>
      <c r="K3" s="47"/>
      <c r="L3" s="48"/>
      <c r="M3" s="8"/>
      <c r="N3">
        <v>38</v>
      </c>
      <c r="O3" t="s">
        <v>1204</v>
      </c>
      <c r="P3" t="s">
        <v>1115</v>
      </c>
      <c r="Q3">
        <v>24</v>
      </c>
      <c r="R3">
        <v>623</v>
      </c>
      <c r="S3">
        <v>141396.73000000001</v>
      </c>
      <c r="T3">
        <v>4.5999999999999996</v>
      </c>
      <c r="U3">
        <v>245.93</v>
      </c>
      <c r="V3">
        <v>6.18</v>
      </c>
      <c r="W3">
        <v>-0.13</v>
      </c>
      <c r="X3">
        <v>-0.49</v>
      </c>
      <c r="Y3" t="s">
        <v>1522</v>
      </c>
    </row>
    <row r="4" spans="1:25">
      <c r="A4" s="46"/>
      <c r="B4" s="47"/>
      <c r="C4" s="47"/>
      <c r="D4" s="47"/>
      <c r="E4" s="47"/>
      <c r="F4" s="47"/>
      <c r="G4" s="47"/>
      <c r="H4" s="47"/>
      <c r="I4" s="47"/>
      <c r="J4" s="47"/>
      <c r="K4" s="47"/>
      <c r="L4" s="48"/>
      <c r="M4" s="8"/>
      <c r="N4">
        <v>29</v>
      </c>
      <c r="O4" t="s">
        <v>1205</v>
      </c>
      <c r="P4" t="s">
        <v>1125</v>
      </c>
      <c r="Q4">
        <v>32</v>
      </c>
      <c r="R4">
        <v>746</v>
      </c>
      <c r="S4">
        <v>80368.67</v>
      </c>
      <c r="T4">
        <v>6.4</v>
      </c>
      <c r="U4">
        <v>116.04</v>
      </c>
      <c r="V4">
        <v>3.16</v>
      </c>
      <c r="W4">
        <v>0.24</v>
      </c>
      <c r="X4">
        <v>0.43</v>
      </c>
      <c r="Y4" t="s">
        <v>1522</v>
      </c>
    </row>
    <row r="5" spans="1:25">
      <c r="A5" s="46"/>
      <c r="B5" s="47"/>
      <c r="C5" s="47"/>
      <c r="D5" s="47"/>
      <c r="E5" s="47"/>
      <c r="F5" s="47"/>
      <c r="G5" s="47"/>
      <c r="H5" s="47"/>
      <c r="I5" s="47"/>
      <c r="J5" s="47"/>
      <c r="K5" s="47"/>
      <c r="L5" s="48"/>
      <c r="M5" s="8"/>
      <c r="N5">
        <v>59</v>
      </c>
      <c r="O5" t="s">
        <v>346</v>
      </c>
      <c r="P5" t="s">
        <v>1121</v>
      </c>
      <c r="Q5">
        <v>54</v>
      </c>
      <c r="R5">
        <v>1496</v>
      </c>
      <c r="S5">
        <v>71155.7</v>
      </c>
      <c r="T5">
        <v>4.7</v>
      </c>
      <c r="U5">
        <v>51.13</v>
      </c>
      <c r="V5">
        <v>2.7</v>
      </c>
      <c r="W5">
        <v>2.54</v>
      </c>
      <c r="X5">
        <v>-0.44</v>
      </c>
      <c r="Y5" t="s">
        <v>1522</v>
      </c>
    </row>
    <row r="6" spans="1:25">
      <c r="A6" s="46"/>
      <c r="B6" s="47"/>
      <c r="C6" s="47"/>
      <c r="D6" s="47"/>
      <c r="E6" s="47"/>
      <c r="F6" s="47"/>
      <c r="G6" s="47"/>
      <c r="H6" s="47"/>
      <c r="I6" s="47"/>
      <c r="J6" s="47"/>
      <c r="K6" s="47"/>
      <c r="L6" s="48"/>
      <c r="M6" s="8"/>
      <c r="N6">
        <v>62</v>
      </c>
      <c r="O6" t="s">
        <v>352</v>
      </c>
      <c r="P6" t="s">
        <v>1119</v>
      </c>
      <c r="Q6">
        <v>48</v>
      </c>
      <c r="R6">
        <v>1083</v>
      </c>
      <c r="S6">
        <v>47234.97</v>
      </c>
      <c r="T6">
        <v>5.4</v>
      </c>
      <c r="U6">
        <v>46.41</v>
      </c>
      <c r="V6">
        <v>1.52</v>
      </c>
      <c r="W6">
        <v>1.27</v>
      </c>
      <c r="X6">
        <v>-0.09</v>
      </c>
      <c r="Y6" t="s">
        <v>1523</v>
      </c>
    </row>
    <row r="7" spans="1:25">
      <c r="A7" s="46"/>
      <c r="B7" s="47"/>
      <c r="C7" s="47"/>
      <c r="D7" s="47"/>
      <c r="E7" s="47"/>
      <c r="F7" s="47"/>
      <c r="G7" s="47"/>
      <c r="H7" s="47"/>
      <c r="I7" s="47"/>
      <c r="J7" s="47"/>
      <c r="K7" s="47"/>
      <c r="L7" s="48"/>
      <c r="M7" s="8"/>
      <c r="N7">
        <v>60</v>
      </c>
      <c r="O7" t="s">
        <v>348</v>
      </c>
      <c r="P7" t="s">
        <v>1121</v>
      </c>
      <c r="Q7">
        <v>51</v>
      </c>
      <c r="R7">
        <v>1577</v>
      </c>
      <c r="S7">
        <v>46825.48</v>
      </c>
      <c r="T7">
        <v>6.4</v>
      </c>
      <c r="U7">
        <v>32.130000000000003</v>
      </c>
      <c r="V7">
        <v>1.5</v>
      </c>
      <c r="W7">
        <v>2.78</v>
      </c>
      <c r="X7">
        <v>0.43</v>
      </c>
      <c r="Y7" t="s">
        <v>1524</v>
      </c>
    </row>
    <row r="8" spans="1:25">
      <c r="A8" s="46"/>
      <c r="B8" s="47"/>
      <c r="C8" s="47"/>
      <c r="D8" s="47"/>
      <c r="E8" s="47"/>
      <c r="F8" s="47"/>
      <c r="G8" s="47"/>
      <c r="H8" s="47"/>
      <c r="I8" s="47"/>
      <c r="J8" s="47"/>
      <c r="K8" s="47"/>
      <c r="L8" s="48"/>
      <c r="M8" s="8"/>
      <c r="N8">
        <v>56</v>
      </c>
      <c r="O8" t="s">
        <v>341</v>
      </c>
      <c r="P8" t="s">
        <v>1123</v>
      </c>
      <c r="Q8">
        <v>50</v>
      </c>
      <c r="R8">
        <v>1263</v>
      </c>
      <c r="S8">
        <v>42593.06</v>
      </c>
      <c r="T8">
        <v>6.2</v>
      </c>
      <c r="U8">
        <v>35.42</v>
      </c>
      <c r="V8">
        <v>1.29</v>
      </c>
      <c r="W8">
        <v>1.82</v>
      </c>
      <c r="X8">
        <v>0.32</v>
      </c>
      <c r="Y8" t="s">
        <v>1523</v>
      </c>
    </row>
    <row r="9" spans="1:25">
      <c r="A9" s="46"/>
      <c r="B9" s="47"/>
      <c r="C9" s="47"/>
      <c r="D9" s="47"/>
      <c r="E9" s="47"/>
      <c r="F9" s="47"/>
      <c r="G9" s="47"/>
      <c r="H9" s="47"/>
      <c r="I9" s="47"/>
      <c r="J9" s="47"/>
      <c r="K9" s="47"/>
      <c r="L9" s="48"/>
      <c r="M9" s="8"/>
      <c r="N9">
        <v>51</v>
      </c>
      <c r="O9" t="s">
        <v>331</v>
      </c>
      <c r="P9" t="s">
        <v>1127</v>
      </c>
      <c r="Q9">
        <v>39</v>
      </c>
      <c r="R9">
        <v>886</v>
      </c>
      <c r="S9">
        <v>41819.65</v>
      </c>
      <c r="T9">
        <v>5.0999999999999996</v>
      </c>
      <c r="U9">
        <v>50.55</v>
      </c>
      <c r="V9">
        <v>1.25</v>
      </c>
      <c r="W9">
        <v>0.67</v>
      </c>
      <c r="X9">
        <v>-0.24</v>
      </c>
      <c r="Y9" t="s">
        <v>1523</v>
      </c>
    </row>
    <row r="10" spans="1:25">
      <c r="A10" s="46"/>
      <c r="B10" s="47"/>
      <c r="C10" s="47"/>
      <c r="D10" s="47"/>
      <c r="E10" s="47"/>
      <c r="F10" s="47"/>
      <c r="G10" s="47"/>
      <c r="H10" s="47"/>
      <c r="I10" s="47"/>
      <c r="J10" s="47"/>
      <c r="K10" s="47"/>
      <c r="L10" s="48"/>
      <c r="M10" s="8"/>
      <c r="N10">
        <v>17</v>
      </c>
      <c r="O10" t="s">
        <v>265</v>
      </c>
      <c r="P10" t="s">
        <v>1125</v>
      </c>
      <c r="Q10">
        <v>37</v>
      </c>
      <c r="R10">
        <v>978</v>
      </c>
      <c r="S10">
        <v>32698.38</v>
      </c>
      <c r="T10">
        <v>6.2</v>
      </c>
      <c r="U10">
        <v>36.47</v>
      </c>
      <c r="V10">
        <v>0.8</v>
      </c>
      <c r="W10">
        <v>0.95</v>
      </c>
      <c r="X10">
        <v>0.32</v>
      </c>
      <c r="Y10" t="s">
        <v>1523</v>
      </c>
    </row>
    <row r="11" spans="1:25">
      <c r="A11" s="46"/>
      <c r="B11" s="47"/>
      <c r="C11" s="47"/>
      <c r="D11" s="47"/>
      <c r="E11" s="47"/>
      <c r="F11" s="47"/>
      <c r="G11" s="47"/>
      <c r="H11" s="47"/>
      <c r="I11" s="47"/>
      <c r="J11" s="47"/>
      <c r="K11" s="47"/>
      <c r="L11" s="48"/>
      <c r="M11" s="8"/>
      <c r="N11">
        <v>48</v>
      </c>
      <c r="O11" t="s">
        <v>325</v>
      </c>
      <c r="P11" t="s">
        <v>1119</v>
      </c>
      <c r="Q11">
        <v>6</v>
      </c>
      <c r="R11">
        <v>138</v>
      </c>
      <c r="S11">
        <v>1368.71</v>
      </c>
      <c r="T11">
        <v>10.8</v>
      </c>
      <c r="U11">
        <v>11.9</v>
      </c>
      <c r="V11">
        <v>-0.74</v>
      </c>
      <c r="W11">
        <v>-1.62</v>
      </c>
      <c r="X11">
        <v>2.68</v>
      </c>
      <c r="Y11" t="s">
        <v>1525</v>
      </c>
    </row>
    <row r="12" spans="1:25">
      <c r="A12" s="46"/>
      <c r="B12" s="47"/>
      <c r="C12" s="47"/>
      <c r="D12" s="47"/>
      <c r="E12" s="47"/>
      <c r="F12" s="47"/>
      <c r="G12" s="47"/>
      <c r="H12" s="47"/>
      <c r="I12" s="47"/>
      <c r="J12" s="47"/>
      <c r="K12" s="47"/>
      <c r="L12" s="48"/>
      <c r="M12" s="8"/>
      <c r="N12">
        <v>33</v>
      </c>
      <c r="O12" t="s">
        <v>297</v>
      </c>
      <c r="P12" t="s">
        <v>1121</v>
      </c>
      <c r="Q12">
        <v>32</v>
      </c>
      <c r="R12">
        <v>755</v>
      </c>
      <c r="S12">
        <v>1648.12</v>
      </c>
      <c r="T12">
        <v>4.4000000000000004</v>
      </c>
      <c r="U12">
        <v>2.33</v>
      </c>
      <c r="V12">
        <v>-0.73</v>
      </c>
      <c r="W12">
        <v>0.27</v>
      </c>
      <c r="X12">
        <v>-0.6</v>
      </c>
      <c r="Y12" t="s">
        <v>1523</v>
      </c>
    </row>
    <row r="13" spans="1:25">
      <c r="A13" s="46"/>
      <c r="B13" s="47"/>
      <c r="C13" s="47"/>
      <c r="D13" s="47"/>
      <c r="E13" s="47"/>
      <c r="F13" s="47"/>
      <c r="G13" s="47"/>
      <c r="H13" s="47"/>
      <c r="I13" s="47"/>
      <c r="J13" s="47"/>
      <c r="K13" s="47"/>
      <c r="L13" s="48"/>
      <c r="M13" s="8"/>
      <c r="N13">
        <v>15</v>
      </c>
      <c r="O13" t="s">
        <v>261</v>
      </c>
      <c r="P13" t="s">
        <v>1117</v>
      </c>
      <c r="Q13">
        <v>6</v>
      </c>
      <c r="R13">
        <v>122</v>
      </c>
      <c r="S13">
        <v>1784.82</v>
      </c>
      <c r="T13">
        <v>1.7</v>
      </c>
      <c r="U13">
        <v>14.47</v>
      </c>
      <c r="V13">
        <v>-0.72</v>
      </c>
      <c r="W13">
        <v>-1.66</v>
      </c>
      <c r="X13">
        <v>-1.98</v>
      </c>
      <c r="Y13" t="s">
        <v>1523</v>
      </c>
    </row>
    <row r="14" spans="1:25">
      <c r="A14" s="46"/>
      <c r="B14" s="47"/>
      <c r="C14" s="47"/>
      <c r="D14" s="47"/>
      <c r="E14" s="47"/>
      <c r="F14" s="47"/>
      <c r="G14" s="47"/>
      <c r="H14" s="47"/>
      <c r="I14" s="47"/>
      <c r="J14" s="47"/>
      <c r="K14" s="47"/>
      <c r="L14" s="48"/>
      <c r="M14" s="8"/>
      <c r="N14">
        <v>67</v>
      </c>
      <c r="O14" t="s">
        <v>362</v>
      </c>
      <c r="P14" t="s">
        <v>1115</v>
      </c>
      <c r="Q14">
        <v>10</v>
      </c>
      <c r="R14">
        <v>184</v>
      </c>
      <c r="S14">
        <v>2396.8000000000002</v>
      </c>
      <c r="T14">
        <v>6</v>
      </c>
      <c r="U14">
        <v>13.72</v>
      </c>
      <c r="V14">
        <v>-0.69</v>
      </c>
      <c r="W14">
        <v>-1.47</v>
      </c>
      <c r="X14">
        <v>0.22</v>
      </c>
      <c r="Y14" t="s">
        <v>1523</v>
      </c>
    </row>
    <row r="15" spans="1:25">
      <c r="A15" s="46"/>
      <c r="B15" s="47"/>
      <c r="C15" s="47"/>
      <c r="D15" s="47"/>
      <c r="E15" s="47"/>
      <c r="F15" s="47"/>
      <c r="G15" s="47"/>
      <c r="H15" s="47"/>
      <c r="I15" s="47"/>
      <c r="J15" s="47"/>
      <c r="K15" s="47"/>
      <c r="L15" s="48"/>
      <c r="M15" s="8"/>
      <c r="N15">
        <v>74</v>
      </c>
      <c r="O15" t="s">
        <v>373</v>
      </c>
      <c r="P15" t="s">
        <v>1127</v>
      </c>
      <c r="Q15">
        <v>13</v>
      </c>
      <c r="R15">
        <v>297</v>
      </c>
      <c r="S15">
        <v>2432.5</v>
      </c>
      <c r="T15">
        <v>5</v>
      </c>
      <c r="U15">
        <v>8.77</v>
      </c>
      <c r="V15">
        <v>-0.69</v>
      </c>
      <c r="W15">
        <v>-1.1299999999999999</v>
      </c>
      <c r="X15">
        <v>-0.28999999999999998</v>
      </c>
      <c r="Y15" t="s">
        <v>1523</v>
      </c>
    </row>
    <row r="16" spans="1:25">
      <c r="A16" s="46"/>
      <c r="B16" s="47"/>
      <c r="C16" s="47"/>
      <c r="D16" s="47"/>
      <c r="E16" s="47"/>
      <c r="F16" s="47"/>
      <c r="G16" s="47"/>
      <c r="H16" s="47"/>
      <c r="I16" s="47"/>
      <c r="J16" s="47"/>
      <c r="K16" s="47"/>
      <c r="L16" s="48"/>
      <c r="M16" s="8"/>
      <c r="N16">
        <v>37</v>
      </c>
      <c r="O16" t="s">
        <v>303</v>
      </c>
      <c r="P16" t="s">
        <v>1129</v>
      </c>
      <c r="Q16">
        <v>6</v>
      </c>
      <c r="R16">
        <v>125</v>
      </c>
      <c r="S16">
        <v>2688.4</v>
      </c>
      <c r="T16">
        <v>5</v>
      </c>
      <c r="U16">
        <v>23.4</v>
      </c>
      <c r="V16">
        <v>-0.68</v>
      </c>
      <c r="W16">
        <v>-1.66</v>
      </c>
      <c r="X16">
        <v>-0.28999999999999998</v>
      </c>
      <c r="Y16" t="s">
        <v>1523</v>
      </c>
    </row>
    <row r="17" spans="1:25">
      <c r="A17" s="46"/>
      <c r="B17" s="47"/>
      <c r="C17" s="47"/>
      <c r="D17" s="47"/>
      <c r="E17" s="47"/>
      <c r="F17" s="47"/>
      <c r="G17" s="47"/>
      <c r="H17" s="47"/>
      <c r="I17" s="47"/>
      <c r="J17" s="47"/>
      <c r="K17" s="47"/>
      <c r="L17" s="48"/>
      <c r="M17" s="8"/>
      <c r="N17">
        <v>3</v>
      </c>
      <c r="O17" t="s">
        <v>237</v>
      </c>
      <c r="P17" t="s">
        <v>1117</v>
      </c>
      <c r="Q17">
        <v>12</v>
      </c>
      <c r="R17">
        <v>328</v>
      </c>
      <c r="S17">
        <v>3044</v>
      </c>
      <c r="T17">
        <v>1.7</v>
      </c>
      <c r="U17">
        <v>9.5</v>
      </c>
      <c r="V17">
        <v>-0.66</v>
      </c>
      <c r="W17">
        <v>-1.03</v>
      </c>
      <c r="X17">
        <v>-1.98</v>
      </c>
      <c r="Y17" t="s">
        <v>1523</v>
      </c>
    </row>
    <row r="18" spans="1:25">
      <c r="A18" s="46"/>
      <c r="B18" s="47"/>
      <c r="C18" s="47"/>
      <c r="D18" s="47"/>
      <c r="E18" s="47"/>
      <c r="F18" s="47"/>
      <c r="G18" s="47"/>
      <c r="H18" s="47"/>
      <c r="I18" s="47"/>
      <c r="J18" s="47"/>
      <c r="K18" s="47"/>
      <c r="L18" s="48"/>
      <c r="M18" s="8"/>
      <c r="N18">
        <v>52</v>
      </c>
      <c r="O18" t="s">
        <v>333</v>
      </c>
      <c r="P18" t="s">
        <v>1123</v>
      </c>
      <c r="Q18">
        <v>29</v>
      </c>
      <c r="R18">
        <v>500</v>
      </c>
      <c r="S18">
        <v>3232.95</v>
      </c>
      <c r="T18">
        <v>4.0999999999999996</v>
      </c>
      <c r="U18">
        <v>6.76</v>
      </c>
      <c r="V18">
        <v>-0.65</v>
      </c>
      <c r="W18">
        <v>-0.51</v>
      </c>
      <c r="X18">
        <v>-0.75</v>
      </c>
      <c r="Y18" t="s">
        <v>1523</v>
      </c>
    </row>
    <row r="19" spans="1:25">
      <c r="A19" s="46"/>
      <c r="B19" s="47"/>
      <c r="C19" s="47"/>
      <c r="D19" s="47"/>
      <c r="E19" s="47"/>
      <c r="F19" s="47"/>
      <c r="G19" s="47"/>
      <c r="H19" s="47"/>
      <c r="I19" s="47"/>
      <c r="J19" s="47"/>
      <c r="K19" s="47"/>
      <c r="L19" s="48"/>
      <c r="M19" s="8"/>
      <c r="N19">
        <v>66</v>
      </c>
      <c r="O19" t="s">
        <v>360</v>
      </c>
      <c r="P19" t="s">
        <v>1117</v>
      </c>
      <c r="Q19">
        <v>8</v>
      </c>
      <c r="R19">
        <v>239</v>
      </c>
      <c r="S19">
        <v>3383</v>
      </c>
      <c r="T19">
        <v>3.1</v>
      </c>
      <c r="U19">
        <v>15.3</v>
      </c>
      <c r="V19">
        <v>-0.65</v>
      </c>
      <c r="W19">
        <v>-1.31</v>
      </c>
      <c r="X19">
        <v>-1.26</v>
      </c>
      <c r="Y19" t="s">
        <v>1523</v>
      </c>
    </row>
    <row r="20" spans="1:25">
      <c r="A20" s="46"/>
      <c r="B20" s="47"/>
      <c r="C20" s="47"/>
      <c r="D20" s="47"/>
      <c r="E20" s="47"/>
      <c r="F20" s="47"/>
      <c r="G20" s="47"/>
      <c r="H20" s="47"/>
      <c r="I20" s="47"/>
      <c r="J20" s="47"/>
      <c r="K20" s="47"/>
      <c r="L20" s="48"/>
      <c r="M20" s="8"/>
      <c r="N20">
        <v>50</v>
      </c>
      <c r="O20" t="s">
        <v>329</v>
      </c>
      <c r="P20" t="s">
        <v>1119</v>
      </c>
      <c r="Q20">
        <v>10</v>
      </c>
      <c r="R20">
        <v>235</v>
      </c>
      <c r="S20">
        <v>3437.69</v>
      </c>
      <c r="T20">
        <v>2.5</v>
      </c>
      <c r="U20">
        <v>14.95</v>
      </c>
      <c r="V20">
        <v>-0.64</v>
      </c>
      <c r="W20">
        <v>-1.32</v>
      </c>
      <c r="X20">
        <v>-1.57</v>
      </c>
      <c r="Y20" t="s">
        <v>1523</v>
      </c>
    </row>
    <row r="21" spans="1:25">
      <c r="A21" s="46"/>
      <c r="B21" s="47"/>
      <c r="C21" s="47"/>
      <c r="D21" s="47"/>
      <c r="E21" s="47"/>
      <c r="F21" s="47"/>
      <c r="G21" s="47"/>
      <c r="H21" s="47"/>
      <c r="I21" s="47"/>
      <c r="J21" s="47"/>
      <c r="K21" s="47"/>
      <c r="L21" s="48"/>
      <c r="M21" s="8"/>
      <c r="N21">
        <v>18</v>
      </c>
      <c r="O21" t="s">
        <v>267</v>
      </c>
      <c r="P21" t="s">
        <v>1129</v>
      </c>
      <c r="Q21">
        <v>27</v>
      </c>
      <c r="R21">
        <v>539</v>
      </c>
      <c r="S21">
        <v>29171.88</v>
      </c>
      <c r="T21">
        <v>8</v>
      </c>
      <c r="U21">
        <v>59.72</v>
      </c>
      <c r="V21">
        <v>0.63</v>
      </c>
      <c r="W21">
        <v>-0.39</v>
      </c>
      <c r="X21">
        <v>1.24</v>
      </c>
      <c r="Y21" t="s">
        <v>1523</v>
      </c>
    </row>
    <row r="22" spans="1:25">
      <c r="A22" s="46"/>
      <c r="B22" s="47"/>
      <c r="C22" s="47"/>
      <c r="D22" s="47"/>
      <c r="E22" s="47"/>
      <c r="F22" s="47"/>
      <c r="G22" s="47"/>
      <c r="H22" s="47"/>
      <c r="I22" s="47"/>
      <c r="J22" s="47"/>
      <c r="K22" s="47"/>
      <c r="L22" s="48"/>
      <c r="M22" s="8"/>
      <c r="N22">
        <v>25</v>
      </c>
      <c r="O22" t="s">
        <v>1221</v>
      </c>
      <c r="P22" t="s">
        <v>1119</v>
      </c>
      <c r="Q22">
        <v>18</v>
      </c>
      <c r="R22">
        <v>318</v>
      </c>
      <c r="S22">
        <v>3704.4</v>
      </c>
      <c r="T22">
        <v>8.6</v>
      </c>
      <c r="U22">
        <v>13.07</v>
      </c>
      <c r="V22">
        <v>-0.63</v>
      </c>
      <c r="W22">
        <v>-1.07</v>
      </c>
      <c r="X22">
        <v>1.55</v>
      </c>
      <c r="Y22" t="s">
        <v>1523</v>
      </c>
    </row>
    <row r="23" spans="1:25">
      <c r="A23" s="46"/>
      <c r="B23" s="47"/>
      <c r="C23" s="47"/>
      <c r="D23" s="47"/>
      <c r="E23" s="47"/>
      <c r="F23" s="47"/>
      <c r="G23" s="47"/>
      <c r="H23" s="47"/>
      <c r="I23" s="47"/>
      <c r="J23" s="47"/>
      <c r="K23" s="47"/>
      <c r="L23" s="48"/>
      <c r="M23" s="8"/>
      <c r="N23">
        <v>47</v>
      </c>
      <c r="O23" t="s">
        <v>323</v>
      </c>
      <c r="P23" t="s">
        <v>1119</v>
      </c>
      <c r="Q23">
        <v>21</v>
      </c>
      <c r="R23">
        <v>485</v>
      </c>
      <c r="S23">
        <v>3958.08</v>
      </c>
      <c r="T23">
        <v>7.4</v>
      </c>
      <c r="U23">
        <v>9.14</v>
      </c>
      <c r="V23">
        <v>-0.62</v>
      </c>
      <c r="W23">
        <v>-0.55000000000000004</v>
      </c>
      <c r="X23">
        <v>0.94</v>
      </c>
      <c r="Y23" t="s">
        <v>1523</v>
      </c>
    </row>
    <row r="24" spans="1:25">
      <c r="A24" s="46"/>
      <c r="B24" s="47"/>
      <c r="C24" s="47"/>
      <c r="D24" s="47"/>
      <c r="E24" s="47"/>
      <c r="F24" s="47"/>
      <c r="G24" s="47"/>
      <c r="H24" s="47"/>
      <c r="I24" s="47"/>
      <c r="J24" s="47"/>
      <c r="K24" s="47"/>
      <c r="L24" s="48"/>
      <c r="M24" s="8"/>
      <c r="N24">
        <v>73</v>
      </c>
      <c r="O24" t="s">
        <v>1220</v>
      </c>
      <c r="P24" t="s">
        <v>1129</v>
      </c>
      <c r="Q24">
        <v>14</v>
      </c>
      <c r="R24">
        <v>293</v>
      </c>
      <c r="S24">
        <v>3997.2</v>
      </c>
      <c r="T24">
        <v>4.7</v>
      </c>
      <c r="U24">
        <v>14.36</v>
      </c>
      <c r="V24">
        <v>-0.61</v>
      </c>
      <c r="W24">
        <v>-1.1399999999999999</v>
      </c>
      <c r="X24">
        <v>-0.44</v>
      </c>
      <c r="Y24" t="s">
        <v>1523</v>
      </c>
    </row>
    <row r="25" spans="1:25">
      <c r="A25" s="46"/>
      <c r="B25" s="47"/>
      <c r="C25" s="47"/>
      <c r="D25" s="47"/>
      <c r="E25" s="47"/>
      <c r="F25" s="47"/>
      <c r="G25" s="47"/>
      <c r="H25" s="47"/>
      <c r="I25" s="47"/>
      <c r="J25" s="47"/>
      <c r="K25" s="47"/>
      <c r="L25" s="48"/>
      <c r="M25" s="8"/>
      <c r="N25">
        <v>45</v>
      </c>
      <c r="O25" t="s">
        <v>1219</v>
      </c>
      <c r="P25" t="s">
        <v>1129</v>
      </c>
      <c r="Q25">
        <v>14</v>
      </c>
      <c r="R25">
        <v>508</v>
      </c>
      <c r="S25">
        <v>4338.17</v>
      </c>
      <c r="T25">
        <v>7.5</v>
      </c>
      <c r="U25">
        <v>9.23</v>
      </c>
      <c r="V25">
        <v>-0.6</v>
      </c>
      <c r="W25">
        <v>-0.48</v>
      </c>
      <c r="X25">
        <v>0.99</v>
      </c>
      <c r="Y25" t="s">
        <v>1523</v>
      </c>
    </row>
    <row r="26" spans="1:25">
      <c r="A26" s="46"/>
      <c r="B26" s="47"/>
      <c r="C26" s="47"/>
      <c r="D26" s="47"/>
      <c r="E26" s="47"/>
      <c r="F26" s="47"/>
      <c r="G26" s="47"/>
      <c r="H26" s="47"/>
      <c r="I26" s="47"/>
      <c r="J26" s="47"/>
      <c r="K26" s="47"/>
      <c r="L26" s="48"/>
      <c r="M26" s="8"/>
      <c r="N26">
        <v>23</v>
      </c>
      <c r="O26" t="s">
        <v>1217</v>
      </c>
      <c r="P26" t="s">
        <v>1123</v>
      </c>
      <c r="Q26">
        <v>20</v>
      </c>
      <c r="R26">
        <v>580</v>
      </c>
      <c r="S26">
        <v>4601.7</v>
      </c>
      <c r="T26">
        <v>3.8</v>
      </c>
      <c r="U26">
        <v>8.3699999999999992</v>
      </c>
      <c r="V26">
        <v>-0.59</v>
      </c>
      <c r="W26">
        <v>-0.26</v>
      </c>
      <c r="X26">
        <v>-0.9</v>
      </c>
      <c r="Y26" t="s">
        <v>1523</v>
      </c>
    </row>
    <row r="27" spans="1:25">
      <c r="A27" s="46"/>
      <c r="B27" s="47"/>
      <c r="C27" s="47"/>
      <c r="D27" s="47"/>
      <c r="E27" s="47"/>
      <c r="F27" s="47"/>
      <c r="G27" s="47"/>
      <c r="H27" s="47"/>
      <c r="I27" s="47"/>
      <c r="J27" s="47"/>
      <c r="K27" s="47"/>
      <c r="L27" s="48"/>
      <c r="M27" s="8"/>
      <c r="N27">
        <v>24</v>
      </c>
      <c r="O27" t="s">
        <v>1218</v>
      </c>
      <c r="P27" t="s">
        <v>1115</v>
      </c>
      <c r="Q27">
        <v>51</v>
      </c>
      <c r="R27">
        <v>1125</v>
      </c>
      <c r="S27">
        <v>4504.3599999999997</v>
      </c>
      <c r="T27">
        <v>5.7</v>
      </c>
      <c r="U27">
        <v>4.24</v>
      </c>
      <c r="V27">
        <v>-0.59</v>
      </c>
      <c r="W27">
        <v>1.4</v>
      </c>
      <c r="X27">
        <v>7.0000000000000007E-2</v>
      </c>
      <c r="Y27" t="s">
        <v>1523</v>
      </c>
    </row>
    <row r="28" spans="1:25">
      <c r="A28" s="46"/>
      <c r="B28" s="47"/>
      <c r="C28" s="47"/>
      <c r="D28" s="47"/>
      <c r="E28" s="47"/>
      <c r="F28" s="47"/>
      <c r="G28" s="47"/>
      <c r="H28" s="47"/>
      <c r="I28" s="47"/>
      <c r="J28" s="47"/>
      <c r="K28" s="47"/>
      <c r="L28" s="48"/>
      <c r="M28" s="8"/>
      <c r="N28">
        <v>54</v>
      </c>
      <c r="O28" t="s">
        <v>1216</v>
      </c>
      <c r="P28" t="s">
        <v>1125</v>
      </c>
      <c r="Q28">
        <v>36</v>
      </c>
      <c r="R28">
        <v>755</v>
      </c>
      <c r="S28">
        <v>4728.24</v>
      </c>
      <c r="T28">
        <v>7.2</v>
      </c>
      <c r="U28">
        <v>6.8</v>
      </c>
      <c r="V28">
        <v>-0.57999999999999996</v>
      </c>
      <c r="W28">
        <v>0.27</v>
      </c>
      <c r="X28">
        <v>0.83</v>
      </c>
      <c r="Y28" t="s">
        <v>1523</v>
      </c>
    </row>
    <row r="29" spans="1:25">
      <c r="A29" s="46"/>
      <c r="B29" s="47"/>
      <c r="C29" s="47"/>
      <c r="D29" s="47"/>
      <c r="E29" s="47"/>
      <c r="F29" s="47"/>
      <c r="G29" s="47"/>
      <c r="H29" s="47"/>
      <c r="I29" s="47"/>
      <c r="J29" s="47"/>
      <c r="K29" s="47"/>
      <c r="L29" s="48"/>
      <c r="M29" s="8"/>
      <c r="N29">
        <v>13</v>
      </c>
      <c r="O29" t="s">
        <v>257</v>
      </c>
      <c r="P29" t="s">
        <v>1129</v>
      </c>
      <c r="Q29">
        <v>40</v>
      </c>
      <c r="R29">
        <v>891</v>
      </c>
      <c r="S29">
        <v>4960.4399999999996</v>
      </c>
      <c r="T29">
        <v>4.2</v>
      </c>
      <c r="U29">
        <v>5.76</v>
      </c>
      <c r="V29">
        <v>-0.56999999999999995</v>
      </c>
      <c r="W29">
        <v>0.69</v>
      </c>
      <c r="X29">
        <v>-0.7</v>
      </c>
      <c r="Y29" t="s">
        <v>1523</v>
      </c>
    </row>
    <row r="30" spans="1:25">
      <c r="A30" s="46"/>
      <c r="B30" s="47"/>
      <c r="C30" s="47"/>
      <c r="D30" s="47"/>
      <c r="E30" s="47"/>
      <c r="F30" s="47"/>
      <c r="G30" s="47"/>
      <c r="H30" s="47"/>
      <c r="I30" s="47"/>
      <c r="J30" s="47"/>
      <c r="K30" s="47"/>
      <c r="L30" s="48"/>
      <c r="M30" s="8"/>
      <c r="N30">
        <v>5</v>
      </c>
      <c r="O30" t="s">
        <v>241</v>
      </c>
      <c r="P30" t="s">
        <v>1117</v>
      </c>
      <c r="Q30">
        <v>10</v>
      </c>
      <c r="R30">
        <v>298</v>
      </c>
      <c r="S30">
        <v>5347.2</v>
      </c>
      <c r="T30">
        <v>7.5</v>
      </c>
      <c r="U30">
        <v>19.61</v>
      </c>
      <c r="V30">
        <v>-0.55000000000000004</v>
      </c>
      <c r="W30">
        <v>-1.1299999999999999</v>
      </c>
      <c r="X30">
        <v>0.99</v>
      </c>
      <c r="Y30" t="s">
        <v>1523</v>
      </c>
    </row>
    <row r="31" spans="1:25">
      <c r="A31" s="46"/>
      <c r="B31" s="47"/>
      <c r="C31" s="47"/>
      <c r="D31" s="47"/>
      <c r="E31" s="47"/>
      <c r="F31" s="47"/>
      <c r="G31" s="47"/>
      <c r="H31" s="47"/>
      <c r="I31" s="47"/>
      <c r="J31" s="47"/>
      <c r="K31" s="47"/>
      <c r="L31" s="48"/>
      <c r="M31" s="8"/>
      <c r="N31">
        <v>58</v>
      </c>
      <c r="O31" t="s">
        <v>344</v>
      </c>
      <c r="P31" t="s">
        <v>1129</v>
      </c>
      <c r="Q31">
        <v>18</v>
      </c>
      <c r="R31">
        <v>534</v>
      </c>
      <c r="S31">
        <v>5881.67</v>
      </c>
      <c r="T31">
        <v>10</v>
      </c>
      <c r="U31">
        <v>12.66</v>
      </c>
      <c r="V31">
        <v>-0.52</v>
      </c>
      <c r="W31">
        <v>-0.4</v>
      </c>
      <c r="X31">
        <v>2.27</v>
      </c>
      <c r="Y31" t="s">
        <v>1525</v>
      </c>
    </row>
    <row r="32" spans="1:25">
      <c r="A32" s="46"/>
      <c r="B32" s="47"/>
      <c r="C32" s="47"/>
      <c r="D32" s="47"/>
      <c r="E32" s="47"/>
      <c r="F32" s="47"/>
      <c r="G32" s="47"/>
      <c r="H32" s="47"/>
      <c r="I32" s="47"/>
      <c r="J32" s="47"/>
      <c r="K32" s="47"/>
      <c r="L32" s="48"/>
      <c r="M32" s="8"/>
      <c r="N32">
        <v>19</v>
      </c>
      <c r="O32" t="s">
        <v>269</v>
      </c>
      <c r="P32" t="s">
        <v>1119</v>
      </c>
      <c r="Q32">
        <v>37</v>
      </c>
      <c r="R32">
        <v>723</v>
      </c>
      <c r="S32">
        <v>5862.62</v>
      </c>
      <c r="T32">
        <v>5.5</v>
      </c>
      <c r="U32">
        <v>8.5299999999999994</v>
      </c>
      <c r="V32">
        <v>-0.52</v>
      </c>
      <c r="W32">
        <v>0.17</v>
      </c>
      <c r="X32">
        <v>-0.03</v>
      </c>
      <c r="Y32" t="s">
        <v>1523</v>
      </c>
    </row>
    <row r="33" spans="1:25">
      <c r="A33" s="46"/>
      <c r="B33" s="47"/>
      <c r="C33" s="47"/>
      <c r="D33" s="47"/>
      <c r="E33" s="47"/>
      <c r="F33" s="47"/>
      <c r="G33" s="47"/>
      <c r="H33" s="47"/>
      <c r="I33" s="47"/>
      <c r="J33" s="47"/>
      <c r="K33" s="47"/>
      <c r="L33" s="48"/>
      <c r="M33" s="8"/>
      <c r="N33">
        <v>46</v>
      </c>
      <c r="O33" t="s">
        <v>321</v>
      </c>
      <c r="P33" t="s">
        <v>1129</v>
      </c>
      <c r="Q33">
        <v>27</v>
      </c>
      <c r="R33">
        <v>548</v>
      </c>
      <c r="S33">
        <v>5883</v>
      </c>
      <c r="T33">
        <v>6.4</v>
      </c>
      <c r="U33">
        <v>11.11</v>
      </c>
      <c r="V33">
        <v>-0.52</v>
      </c>
      <c r="W33">
        <v>-0.36</v>
      </c>
      <c r="X33">
        <v>0.43</v>
      </c>
      <c r="Y33" t="s">
        <v>1523</v>
      </c>
    </row>
    <row r="34" spans="1:25">
      <c r="A34" s="46"/>
      <c r="B34" s="47"/>
      <c r="C34" s="47"/>
      <c r="D34" s="47"/>
      <c r="E34" s="47"/>
      <c r="F34" s="47"/>
      <c r="G34" s="47"/>
      <c r="H34" s="47"/>
      <c r="I34" s="47"/>
      <c r="J34" s="47"/>
      <c r="K34" s="47"/>
      <c r="L34" s="48"/>
      <c r="M34" s="8"/>
      <c r="N34">
        <v>34</v>
      </c>
      <c r="O34" t="s">
        <v>299</v>
      </c>
      <c r="P34" t="s">
        <v>1115</v>
      </c>
      <c r="Q34">
        <v>19</v>
      </c>
      <c r="R34">
        <v>506</v>
      </c>
      <c r="S34">
        <v>6350.4</v>
      </c>
      <c r="T34">
        <v>5</v>
      </c>
      <c r="U34">
        <v>12.97</v>
      </c>
      <c r="V34">
        <v>-0.5</v>
      </c>
      <c r="W34">
        <v>-0.49</v>
      </c>
      <c r="X34">
        <v>-0.28999999999999998</v>
      </c>
      <c r="Y34" t="s">
        <v>1523</v>
      </c>
    </row>
    <row r="35" spans="1:25">
      <c r="A35" s="46"/>
      <c r="B35" s="47"/>
      <c r="C35" s="47"/>
      <c r="D35" s="47"/>
      <c r="E35" s="47"/>
      <c r="F35" s="47"/>
      <c r="G35" s="47"/>
      <c r="H35" s="47"/>
      <c r="I35" s="47"/>
      <c r="J35" s="47"/>
      <c r="K35" s="47"/>
      <c r="L35" s="48"/>
      <c r="M35" s="8"/>
      <c r="N35">
        <v>28</v>
      </c>
      <c r="O35" t="s">
        <v>1206</v>
      </c>
      <c r="P35" t="s">
        <v>1127</v>
      </c>
      <c r="Q35">
        <v>33</v>
      </c>
      <c r="R35">
        <v>640</v>
      </c>
      <c r="S35">
        <v>25696.639999999999</v>
      </c>
      <c r="T35">
        <v>3.8</v>
      </c>
      <c r="U35">
        <v>41.98</v>
      </c>
      <c r="V35">
        <v>0.46</v>
      </c>
      <c r="W35">
        <v>-0.08</v>
      </c>
      <c r="X35">
        <v>-0.9</v>
      </c>
      <c r="Y35" t="s">
        <v>1523</v>
      </c>
    </row>
    <row r="36" spans="1:25">
      <c r="A36" s="46"/>
      <c r="B36" s="47"/>
      <c r="C36" s="47"/>
      <c r="D36" s="47"/>
      <c r="E36" s="47"/>
      <c r="F36" s="47"/>
      <c r="G36" s="47"/>
      <c r="H36" s="47"/>
      <c r="I36" s="47"/>
      <c r="J36" s="47"/>
      <c r="K36" s="47"/>
      <c r="L36" s="48"/>
      <c r="M36" s="8"/>
      <c r="N36">
        <v>6</v>
      </c>
      <c r="O36" t="s">
        <v>243</v>
      </c>
      <c r="P36" t="s">
        <v>1117</v>
      </c>
      <c r="Q36">
        <v>12</v>
      </c>
      <c r="R36">
        <v>301</v>
      </c>
      <c r="S36">
        <v>7137</v>
      </c>
      <c r="T36">
        <v>3.1</v>
      </c>
      <c r="U36">
        <v>24.17</v>
      </c>
      <c r="V36">
        <v>-0.46</v>
      </c>
      <c r="W36">
        <v>-1.1200000000000001</v>
      </c>
      <c r="X36">
        <v>-1.26</v>
      </c>
      <c r="Y36" t="s">
        <v>1523</v>
      </c>
    </row>
    <row r="37" spans="1:25">
      <c r="A37" s="46"/>
      <c r="B37" s="47"/>
      <c r="C37" s="47"/>
      <c r="D37" s="47"/>
      <c r="E37" s="47"/>
      <c r="F37" s="47"/>
      <c r="G37" s="47"/>
      <c r="H37" s="47"/>
      <c r="I37" s="47"/>
      <c r="J37" s="47"/>
      <c r="K37" s="47"/>
      <c r="L37" s="48"/>
      <c r="M37" s="8"/>
      <c r="N37">
        <v>9</v>
      </c>
      <c r="O37" t="s">
        <v>249</v>
      </c>
      <c r="P37" t="s">
        <v>1125</v>
      </c>
      <c r="Q37">
        <v>5</v>
      </c>
      <c r="R37">
        <v>95</v>
      </c>
      <c r="S37">
        <v>7226.5</v>
      </c>
      <c r="T37">
        <v>10</v>
      </c>
      <c r="U37">
        <v>93.12</v>
      </c>
      <c r="V37">
        <v>-0.46</v>
      </c>
      <c r="W37">
        <v>-1.75</v>
      </c>
      <c r="X37">
        <v>2.27</v>
      </c>
      <c r="Y37" t="s">
        <v>1525</v>
      </c>
    </row>
    <row r="38" spans="1:25">
      <c r="A38" s="46"/>
      <c r="B38" s="47"/>
      <c r="C38" s="47"/>
      <c r="D38" s="47"/>
      <c r="E38" s="47"/>
      <c r="F38" s="47"/>
      <c r="G38" s="47"/>
      <c r="H38" s="47"/>
      <c r="I38" s="47"/>
      <c r="J38" s="47"/>
      <c r="K38" s="47"/>
      <c r="L38" s="48"/>
      <c r="M38" s="8"/>
      <c r="N38">
        <v>22</v>
      </c>
      <c r="O38" t="s">
        <v>1215</v>
      </c>
      <c r="P38" t="s">
        <v>1123</v>
      </c>
      <c r="Q38">
        <v>14</v>
      </c>
      <c r="R38">
        <v>348</v>
      </c>
      <c r="S38">
        <v>7122.36</v>
      </c>
      <c r="T38">
        <v>2.1</v>
      </c>
      <c r="U38">
        <v>20.399999999999999</v>
      </c>
      <c r="V38">
        <v>-0.46</v>
      </c>
      <c r="W38">
        <v>-0.97</v>
      </c>
      <c r="X38">
        <v>-1.77</v>
      </c>
      <c r="Y38" t="s">
        <v>1523</v>
      </c>
    </row>
    <row r="39" spans="1:25">
      <c r="A39" s="46"/>
      <c r="B39" s="47"/>
      <c r="C39" s="47"/>
      <c r="D39" s="47"/>
      <c r="E39" s="47"/>
      <c r="F39" s="47"/>
      <c r="G39" s="47"/>
      <c r="H39" s="47"/>
      <c r="I39" s="47"/>
      <c r="J39" s="47"/>
      <c r="K39" s="47"/>
      <c r="L39" s="48"/>
      <c r="M39" s="8"/>
      <c r="N39">
        <v>57</v>
      </c>
      <c r="O39" t="s">
        <v>343</v>
      </c>
      <c r="P39" t="s">
        <v>1123</v>
      </c>
      <c r="Q39">
        <v>23</v>
      </c>
      <c r="R39">
        <v>434</v>
      </c>
      <c r="S39">
        <v>7661.55</v>
      </c>
      <c r="T39">
        <v>2.8</v>
      </c>
      <c r="U39">
        <v>18.14</v>
      </c>
      <c r="V39">
        <v>-0.43</v>
      </c>
      <c r="W39">
        <v>-0.71</v>
      </c>
      <c r="X39">
        <v>-1.41</v>
      </c>
      <c r="Y39" t="s">
        <v>1523</v>
      </c>
    </row>
    <row r="40" spans="1:25">
      <c r="A40" s="46"/>
      <c r="B40" s="47"/>
      <c r="C40" s="47"/>
      <c r="D40" s="47"/>
      <c r="E40" s="47"/>
      <c r="F40" s="47"/>
      <c r="G40" s="47"/>
      <c r="H40" s="47"/>
      <c r="I40" s="47"/>
      <c r="J40" s="47"/>
      <c r="K40" s="47"/>
      <c r="L40" s="48"/>
      <c r="M40" s="8"/>
      <c r="N40">
        <v>14</v>
      </c>
      <c r="O40" t="s">
        <v>259</v>
      </c>
      <c r="P40" t="s">
        <v>1127</v>
      </c>
      <c r="Q40">
        <v>22</v>
      </c>
      <c r="R40">
        <v>404</v>
      </c>
      <c r="S40">
        <v>7991.49</v>
      </c>
      <c r="T40">
        <v>6.7</v>
      </c>
      <c r="U40">
        <v>21.35</v>
      </c>
      <c r="V40">
        <v>-0.42</v>
      </c>
      <c r="W40">
        <v>-0.8</v>
      </c>
      <c r="X40">
        <v>0.57999999999999996</v>
      </c>
      <c r="Y40" t="s">
        <v>1523</v>
      </c>
    </row>
    <row r="41" spans="1:25">
      <c r="A41" s="46"/>
      <c r="B41" s="47"/>
      <c r="C41" s="47"/>
      <c r="D41" s="47"/>
      <c r="E41" s="47"/>
      <c r="F41" s="47"/>
      <c r="G41" s="47"/>
      <c r="H41" s="47"/>
      <c r="I41" s="47"/>
      <c r="J41" s="47"/>
      <c r="K41" s="47"/>
      <c r="L41" s="48"/>
      <c r="M41" s="8"/>
      <c r="N41">
        <v>72</v>
      </c>
      <c r="O41" t="s">
        <v>370</v>
      </c>
      <c r="P41" t="s">
        <v>1121</v>
      </c>
      <c r="Q41">
        <v>38</v>
      </c>
      <c r="R41">
        <v>806</v>
      </c>
      <c r="S41">
        <v>24900.13</v>
      </c>
      <c r="T41">
        <v>2.4</v>
      </c>
      <c r="U41">
        <v>32.04</v>
      </c>
      <c r="V41">
        <v>0.42</v>
      </c>
      <c r="W41">
        <v>0.43</v>
      </c>
      <c r="X41">
        <v>-1.62</v>
      </c>
      <c r="Y41" t="s">
        <v>1523</v>
      </c>
    </row>
    <row r="42" spans="1:25">
      <c r="A42" s="46"/>
      <c r="B42" s="47"/>
      <c r="C42" s="47"/>
      <c r="D42" s="47"/>
      <c r="E42" s="47"/>
      <c r="F42" s="47"/>
      <c r="G42" s="47"/>
      <c r="H42" s="47"/>
      <c r="I42" s="47"/>
      <c r="J42" s="47"/>
      <c r="K42" s="47"/>
      <c r="L42" s="48"/>
      <c r="M42" s="8"/>
      <c r="N42">
        <v>75</v>
      </c>
      <c r="O42" t="s">
        <v>1214</v>
      </c>
      <c r="P42" t="s">
        <v>1115</v>
      </c>
      <c r="Q42">
        <v>46</v>
      </c>
      <c r="R42">
        <v>1155</v>
      </c>
      <c r="S42">
        <v>8177.49</v>
      </c>
      <c r="T42">
        <v>5.2</v>
      </c>
      <c r="U42">
        <v>7.38</v>
      </c>
      <c r="V42">
        <v>-0.41</v>
      </c>
      <c r="W42">
        <v>1.49</v>
      </c>
      <c r="X42">
        <v>-0.19</v>
      </c>
      <c r="Y42" t="s">
        <v>1523</v>
      </c>
    </row>
    <row r="43" spans="1:25">
      <c r="A43" s="46"/>
      <c r="B43" s="47"/>
      <c r="C43" s="47"/>
      <c r="D43" s="47"/>
      <c r="E43" s="47"/>
      <c r="F43" s="47"/>
      <c r="G43" s="47"/>
      <c r="H43" s="47"/>
      <c r="I43" s="47"/>
      <c r="J43" s="47"/>
      <c r="K43" s="47"/>
      <c r="L43" s="48"/>
      <c r="M43" s="8"/>
      <c r="N43">
        <v>32</v>
      </c>
      <c r="O43" t="s">
        <v>295</v>
      </c>
      <c r="P43" t="s">
        <v>1121</v>
      </c>
      <c r="Q43">
        <v>15</v>
      </c>
      <c r="R43">
        <v>297</v>
      </c>
      <c r="S43">
        <v>8404.16</v>
      </c>
      <c r="T43">
        <v>7.3</v>
      </c>
      <c r="U43">
        <v>30.72</v>
      </c>
      <c r="V43">
        <v>-0.4</v>
      </c>
      <c r="W43">
        <v>-1.1299999999999999</v>
      </c>
      <c r="X43">
        <v>0.89</v>
      </c>
      <c r="Y43" t="s">
        <v>1523</v>
      </c>
    </row>
    <row r="44" spans="1:25">
      <c r="A44" s="46"/>
      <c r="B44" s="47"/>
      <c r="C44" s="47"/>
      <c r="D44" s="47"/>
      <c r="E44" s="47"/>
      <c r="F44" s="47"/>
      <c r="G44" s="47"/>
      <c r="H44" s="47"/>
      <c r="I44" s="47"/>
      <c r="J44" s="47"/>
      <c r="K44" s="47"/>
      <c r="L44" s="48"/>
      <c r="M44" s="8"/>
      <c r="N44">
        <v>4</v>
      </c>
      <c r="O44" t="s">
        <v>239</v>
      </c>
      <c r="P44" t="s">
        <v>1117</v>
      </c>
      <c r="Q44">
        <v>20</v>
      </c>
      <c r="R44">
        <v>453</v>
      </c>
      <c r="S44">
        <v>8567.9</v>
      </c>
      <c r="T44">
        <v>7.5</v>
      </c>
      <c r="U44">
        <v>20.68</v>
      </c>
      <c r="V44">
        <v>-0.39</v>
      </c>
      <c r="W44">
        <v>-0.65</v>
      </c>
      <c r="X44">
        <v>0.99</v>
      </c>
      <c r="Y44" t="s">
        <v>1523</v>
      </c>
    </row>
    <row r="45" spans="1:25">
      <c r="A45" s="46"/>
      <c r="B45" s="47"/>
      <c r="C45" s="47"/>
      <c r="D45" s="47"/>
      <c r="E45" s="47"/>
      <c r="F45" s="47"/>
      <c r="G45" s="47"/>
      <c r="H45" s="47"/>
      <c r="I45" s="47"/>
      <c r="J45" s="47"/>
      <c r="K45" s="47"/>
      <c r="L45" s="48"/>
      <c r="M45" s="8"/>
      <c r="N45">
        <v>42</v>
      </c>
      <c r="O45" t="s">
        <v>313</v>
      </c>
      <c r="P45" t="s">
        <v>1123</v>
      </c>
      <c r="Q45">
        <v>30</v>
      </c>
      <c r="R45">
        <v>697</v>
      </c>
      <c r="S45">
        <v>8575</v>
      </c>
      <c r="T45">
        <v>5.5</v>
      </c>
      <c r="U45">
        <v>13.21</v>
      </c>
      <c r="V45">
        <v>-0.39</v>
      </c>
      <c r="W45">
        <v>0.09</v>
      </c>
      <c r="X45">
        <v>-0.03</v>
      </c>
      <c r="Y45" t="s">
        <v>1523</v>
      </c>
    </row>
    <row r="46" spans="1:25" ht="14" thickBot="1">
      <c r="A46" s="49"/>
      <c r="B46" s="50"/>
      <c r="C46" s="50"/>
      <c r="D46" s="50"/>
      <c r="E46" s="50"/>
      <c r="F46" s="50"/>
      <c r="G46" s="50"/>
      <c r="H46" s="50"/>
      <c r="I46" s="50"/>
      <c r="J46" s="50"/>
      <c r="K46" s="50"/>
      <c r="L46" s="51"/>
      <c r="M46" s="8"/>
      <c r="N46">
        <v>68</v>
      </c>
      <c r="O46" t="s">
        <v>363</v>
      </c>
      <c r="P46" t="s">
        <v>1119</v>
      </c>
      <c r="Q46">
        <v>34</v>
      </c>
      <c r="R46">
        <v>799</v>
      </c>
      <c r="S46">
        <v>8714</v>
      </c>
      <c r="T46">
        <v>5.9</v>
      </c>
      <c r="U46">
        <v>11.54</v>
      </c>
      <c r="V46">
        <v>-0.38</v>
      </c>
      <c r="W46">
        <v>0.41</v>
      </c>
      <c r="X46">
        <v>0.17</v>
      </c>
      <c r="Y46" t="s">
        <v>1523</v>
      </c>
    </row>
    <row r="47" spans="1:25">
      <c r="A47" s="8"/>
      <c r="B47" s="8"/>
      <c r="C47" s="8"/>
      <c r="D47" s="8"/>
      <c r="E47" s="8"/>
      <c r="F47" s="8"/>
      <c r="G47" s="8"/>
      <c r="H47" s="8"/>
      <c r="I47" s="8"/>
      <c r="J47" s="8"/>
      <c r="K47" s="8"/>
      <c r="L47" s="8"/>
      <c r="M47" s="8"/>
      <c r="N47">
        <v>41</v>
      </c>
      <c r="O47" t="s">
        <v>311</v>
      </c>
      <c r="P47" t="s">
        <v>1129</v>
      </c>
      <c r="Q47">
        <v>47</v>
      </c>
      <c r="R47">
        <v>981</v>
      </c>
      <c r="S47">
        <v>8680.34</v>
      </c>
      <c r="T47">
        <v>4</v>
      </c>
      <c r="U47">
        <v>9.19</v>
      </c>
      <c r="V47">
        <v>-0.38</v>
      </c>
      <c r="W47">
        <v>0.96</v>
      </c>
      <c r="X47">
        <v>-0.8</v>
      </c>
      <c r="Y47" t="s">
        <v>1523</v>
      </c>
    </row>
    <row r="48" spans="1:25">
      <c r="A48" s="8"/>
      <c r="B48" s="8"/>
      <c r="C48" s="8"/>
      <c r="D48" s="8"/>
      <c r="E48" s="8"/>
      <c r="F48" s="8"/>
      <c r="G48" s="8"/>
      <c r="H48" s="8"/>
      <c r="I48" s="8"/>
      <c r="J48" s="8"/>
      <c r="K48" s="8"/>
      <c r="L48" s="8"/>
      <c r="M48" s="8"/>
      <c r="N48">
        <v>49</v>
      </c>
      <c r="O48" t="s">
        <v>327</v>
      </c>
      <c r="P48" t="s">
        <v>1119</v>
      </c>
      <c r="Q48">
        <v>21</v>
      </c>
      <c r="R48">
        <v>520</v>
      </c>
      <c r="S48">
        <v>9244.6</v>
      </c>
      <c r="T48">
        <v>3.1</v>
      </c>
      <c r="U48">
        <v>18.48</v>
      </c>
      <c r="V48">
        <v>-0.36</v>
      </c>
      <c r="W48">
        <v>-0.45</v>
      </c>
      <c r="X48">
        <v>-1.26</v>
      </c>
      <c r="Y48" t="s">
        <v>1523</v>
      </c>
    </row>
    <row r="49" spans="1:25">
      <c r="A49" s="8"/>
      <c r="B49" s="8"/>
      <c r="C49" s="8"/>
      <c r="D49" s="8"/>
      <c r="E49" s="8"/>
      <c r="F49" s="8"/>
      <c r="G49" s="8"/>
      <c r="H49" s="8"/>
      <c r="I49" s="8"/>
      <c r="J49" s="8"/>
      <c r="K49" s="8"/>
      <c r="L49" s="8"/>
      <c r="M49" s="8"/>
      <c r="N49">
        <v>21</v>
      </c>
      <c r="O49" t="s">
        <v>273</v>
      </c>
      <c r="P49" t="s">
        <v>1119</v>
      </c>
      <c r="Q49">
        <v>39</v>
      </c>
      <c r="R49">
        <v>1016</v>
      </c>
      <c r="S49">
        <v>9104</v>
      </c>
      <c r="T49">
        <v>5.6</v>
      </c>
      <c r="U49">
        <v>9.3800000000000008</v>
      </c>
      <c r="V49">
        <v>-0.36</v>
      </c>
      <c r="W49">
        <v>1.07</v>
      </c>
      <c r="X49">
        <v>0.02</v>
      </c>
      <c r="Y49" t="s">
        <v>1523</v>
      </c>
    </row>
    <row r="50" spans="1:25">
      <c r="A50" s="8"/>
      <c r="B50" s="8"/>
      <c r="C50" s="8"/>
      <c r="D50" s="8"/>
      <c r="E50" s="8"/>
      <c r="F50" s="8"/>
      <c r="G50" s="8"/>
      <c r="H50" s="8"/>
      <c r="I50" s="8"/>
      <c r="J50" s="8"/>
      <c r="K50" s="8"/>
      <c r="L50" s="8"/>
      <c r="M50" s="8"/>
      <c r="N50">
        <v>77</v>
      </c>
      <c r="O50" t="s">
        <v>1213</v>
      </c>
      <c r="P50" t="s">
        <v>1117</v>
      </c>
      <c r="Q50">
        <v>38</v>
      </c>
      <c r="R50">
        <v>791</v>
      </c>
      <c r="S50">
        <v>9171.6299999999992</v>
      </c>
      <c r="T50">
        <v>5.0999999999999996</v>
      </c>
      <c r="U50">
        <v>12.11</v>
      </c>
      <c r="V50">
        <v>-0.36</v>
      </c>
      <c r="W50">
        <v>0.38</v>
      </c>
      <c r="X50">
        <v>-0.24</v>
      </c>
      <c r="Y50" t="s">
        <v>1523</v>
      </c>
    </row>
    <row r="51" spans="1:25">
      <c r="A51" s="8"/>
      <c r="B51" s="8"/>
      <c r="C51" s="8"/>
      <c r="D51" s="8"/>
      <c r="E51" s="8"/>
      <c r="F51" s="8"/>
      <c r="G51" s="8"/>
      <c r="H51" s="8"/>
      <c r="I51" s="8"/>
      <c r="J51" s="8"/>
      <c r="K51" s="8"/>
      <c r="L51" s="8"/>
      <c r="M51" s="8"/>
      <c r="N51">
        <v>43</v>
      </c>
      <c r="O51" t="s">
        <v>315</v>
      </c>
      <c r="P51" t="s">
        <v>1115</v>
      </c>
      <c r="Q51">
        <v>28</v>
      </c>
      <c r="R51">
        <v>580</v>
      </c>
      <c r="S51">
        <v>23526.7</v>
      </c>
      <c r="T51">
        <v>5</v>
      </c>
      <c r="U51">
        <v>43.04</v>
      </c>
      <c r="V51">
        <v>0.35</v>
      </c>
      <c r="W51">
        <v>-0.26</v>
      </c>
      <c r="X51">
        <v>-0.28999999999999998</v>
      </c>
      <c r="Y51" t="s">
        <v>1523</v>
      </c>
    </row>
    <row r="52" spans="1:25">
      <c r="A52" s="8"/>
      <c r="B52" s="8"/>
      <c r="C52" s="8"/>
      <c r="D52" s="8"/>
      <c r="E52" s="8"/>
      <c r="F52" s="8"/>
      <c r="G52" s="8"/>
      <c r="H52" s="8"/>
      <c r="I52" s="8"/>
      <c r="J52" s="8"/>
      <c r="K52" s="8"/>
      <c r="L52" s="8"/>
      <c r="M52" s="8"/>
      <c r="N52">
        <v>44</v>
      </c>
      <c r="O52" t="s">
        <v>317</v>
      </c>
      <c r="P52" t="s">
        <v>1117</v>
      </c>
      <c r="Q52">
        <v>24</v>
      </c>
      <c r="R52">
        <v>601</v>
      </c>
      <c r="S52">
        <v>9915.94</v>
      </c>
      <c r="T52">
        <v>6</v>
      </c>
      <c r="U52">
        <v>18.13</v>
      </c>
      <c r="V52">
        <v>-0.32</v>
      </c>
      <c r="W52">
        <v>-0.2</v>
      </c>
      <c r="X52">
        <v>0.22</v>
      </c>
      <c r="Y52" t="s">
        <v>1523</v>
      </c>
    </row>
    <row r="53" spans="1:25">
      <c r="A53" s="8"/>
      <c r="B53" s="8"/>
      <c r="C53" s="8"/>
      <c r="D53" s="8"/>
      <c r="E53" s="8"/>
      <c r="F53" s="8"/>
      <c r="G53" s="8"/>
      <c r="H53" s="8"/>
      <c r="I53" s="8"/>
      <c r="J53" s="8"/>
      <c r="K53" s="8"/>
      <c r="L53" s="8"/>
      <c r="M53" s="8"/>
      <c r="N53">
        <v>20</v>
      </c>
      <c r="O53" t="s">
        <v>271</v>
      </c>
      <c r="P53" t="s">
        <v>1119</v>
      </c>
      <c r="Q53">
        <v>16</v>
      </c>
      <c r="R53">
        <v>313</v>
      </c>
      <c r="S53">
        <v>22563.360000000001</v>
      </c>
      <c r="T53">
        <v>4.5999999999999996</v>
      </c>
      <c r="U53">
        <v>75.94</v>
      </c>
      <c r="V53">
        <v>0.3</v>
      </c>
      <c r="W53">
        <v>-1.08</v>
      </c>
      <c r="X53">
        <v>-0.49</v>
      </c>
      <c r="Y53" t="s">
        <v>1523</v>
      </c>
    </row>
    <row r="54" spans="1:25">
      <c r="A54" s="8"/>
      <c r="B54" s="8"/>
      <c r="C54" s="8"/>
      <c r="D54" s="8"/>
      <c r="E54" s="8"/>
      <c r="F54" s="8"/>
      <c r="G54" s="8"/>
      <c r="H54" s="8"/>
      <c r="I54" s="8"/>
      <c r="J54" s="8"/>
      <c r="K54" s="8"/>
      <c r="L54" s="8"/>
      <c r="M54" s="8"/>
      <c r="N54">
        <v>7</v>
      </c>
      <c r="O54" t="s">
        <v>245</v>
      </c>
      <c r="P54" t="s">
        <v>1127</v>
      </c>
      <c r="Q54">
        <v>29</v>
      </c>
      <c r="R54">
        <v>763</v>
      </c>
      <c r="S54">
        <v>22044.3</v>
      </c>
      <c r="T54">
        <v>2.8</v>
      </c>
      <c r="U54">
        <v>29.17</v>
      </c>
      <c r="V54">
        <v>0.28000000000000003</v>
      </c>
      <c r="W54">
        <v>0.3</v>
      </c>
      <c r="X54">
        <v>-1.41</v>
      </c>
      <c r="Y54" t="s">
        <v>1523</v>
      </c>
    </row>
    <row r="55" spans="1:25">
      <c r="A55" s="8"/>
      <c r="B55" s="8"/>
      <c r="C55" s="8"/>
      <c r="D55" s="8"/>
      <c r="E55" s="8"/>
      <c r="F55" s="8"/>
      <c r="G55" s="8"/>
      <c r="H55" s="8"/>
      <c r="I55" s="8"/>
      <c r="J55" s="8"/>
      <c r="K55" s="8"/>
      <c r="L55" s="8"/>
      <c r="M55" s="8"/>
      <c r="N55">
        <v>70</v>
      </c>
      <c r="O55" t="s">
        <v>367</v>
      </c>
      <c r="P55" t="s">
        <v>1115</v>
      </c>
      <c r="Q55">
        <v>39</v>
      </c>
      <c r="R55">
        <v>817</v>
      </c>
      <c r="S55">
        <v>10672.65</v>
      </c>
      <c r="T55">
        <v>6.3</v>
      </c>
      <c r="U55">
        <v>14.15</v>
      </c>
      <c r="V55">
        <v>-0.28000000000000003</v>
      </c>
      <c r="W55">
        <v>0.46</v>
      </c>
      <c r="X55">
        <v>0.37</v>
      </c>
      <c r="Y55" t="s">
        <v>1523</v>
      </c>
    </row>
    <row r="56" spans="1:25">
      <c r="A56" s="8"/>
      <c r="B56" s="8"/>
      <c r="C56" s="8"/>
      <c r="D56" s="8"/>
      <c r="E56" s="8"/>
      <c r="F56" s="8"/>
      <c r="G56" s="8"/>
      <c r="H56" s="8"/>
      <c r="I56" s="8"/>
      <c r="J56" s="8"/>
      <c r="K56" s="8"/>
      <c r="L56" s="8"/>
      <c r="M56" s="8"/>
      <c r="N56">
        <v>64</v>
      </c>
      <c r="O56" t="s">
        <v>1207</v>
      </c>
      <c r="P56" t="s">
        <v>1123</v>
      </c>
      <c r="Q56">
        <v>30</v>
      </c>
      <c r="R56">
        <v>740</v>
      </c>
      <c r="S56">
        <v>21957.97</v>
      </c>
      <c r="T56">
        <v>4.0999999999999996</v>
      </c>
      <c r="U56">
        <v>31.03</v>
      </c>
      <c r="V56">
        <v>0.27</v>
      </c>
      <c r="W56">
        <v>0.22</v>
      </c>
      <c r="X56">
        <v>-0.75</v>
      </c>
      <c r="Y56" t="s">
        <v>1523</v>
      </c>
    </row>
    <row r="57" spans="1:25">
      <c r="A57" s="8"/>
      <c r="B57" s="8"/>
      <c r="C57" s="8"/>
      <c r="D57" s="8"/>
      <c r="E57" s="8"/>
      <c r="F57" s="8"/>
      <c r="G57" s="8"/>
      <c r="H57" s="8"/>
      <c r="I57" s="8"/>
      <c r="J57" s="8"/>
      <c r="K57" s="8"/>
      <c r="L57" s="8"/>
      <c r="M57" s="8"/>
      <c r="N57">
        <v>69</v>
      </c>
      <c r="O57" t="s">
        <v>365</v>
      </c>
      <c r="P57" t="s">
        <v>1121</v>
      </c>
      <c r="Q57">
        <v>31</v>
      </c>
      <c r="R57">
        <v>714</v>
      </c>
      <c r="S57">
        <v>21942.36</v>
      </c>
      <c r="T57">
        <v>7.4</v>
      </c>
      <c r="U57">
        <v>33.450000000000003</v>
      </c>
      <c r="V57">
        <v>0.27</v>
      </c>
      <c r="W57">
        <v>0.15</v>
      </c>
      <c r="X57">
        <v>0.94</v>
      </c>
      <c r="Y57" t="s">
        <v>1523</v>
      </c>
    </row>
    <row r="58" spans="1:25">
      <c r="A58" s="8"/>
      <c r="B58" s="8"/>
      <c r="C58" s="8"/>
      <c r="D58" s="8"/>
      <c r="E58" s="8"/>
      <c r="F58" s="8"/>
      <c r="G58" s="8"/>
      <c r="H58" s="8"/>
      <c r="I58" s="8"/>
      <c r="J58" s="8"/>
      <c r="K58" s="8"/>
      <c r="L58" s="8"/>
      <c r="M58" s="8"/>
      <c r="N58">
        <v>10</v>
      </c>
      <c r="O58" t="s">
        <v>251</v>
      </c>
      <c r="P58" t="s">
        <v>1129</v>
      </c>
      <c r="Q58">
        <v>33</v>
      </c>
      <c r="R58">
        <v>742</v>
      </c>
      <c r="S58">
        <v>20867.34</v>
      </c>
      <c r="T58">
        <v>4.4000000000000004</v>
      </c>
      <c r="U58">
        <v>29.68</v>
      </c>
      <c r="V58">
        <v>0.22</v>
      </c>
      <c r="W58">
        <v>0.23</v>
      </c>
      <c r="X58">
        <v>-0.6</v>
      </c>
      <c r="Y58" t="s">
        <v>1523</v>
      </c>
    </row>
    <row r="59" spans="1:25">
      <c r="A59" s="8"/>
      <c r="B59" s="8"/>
      <c r="C59" s="8"/>
      <c r="D59" s="8"/>
      <c r="E59" s="8"/>
      <c r="F59" s="8"/>
      <c r="G59" s="8"/>
      <c r="H59" s="8"/>
      <c r="I59" s="8"/>
      <c r="J59" s="8"/>
      <c r="K59" s="8"/>
      <c r="L59" s="8"/>
      <c r="M59" s="8"/>
      <c r="N59">
        <v>12</v>
      </c>
      <c r="O59" t="s">
        <v>255</v>
      </c>
      <c r="P59" t="s">
        <v>1121</v>
      </c>
      <c r="Q59">
        <v>14</v>
      </c>
      <c r="R59">
        <v>344</v>
      </c>
      <c r="S59">
        <v>12257.66</v>
      </c>
      <c r="T59">
        <v>6.4</v>
      </c>
      <c r="U59">
        <v>36.909999999999997</v>
      </c>
      <c r="V59">
        <v>-0.21</v>
      </c>
      <c r="W59">
        <v>-0.99</v>
      </c>
      <c r="X59">
        <v>0.43</v>
      </c>
      <c r="Y59" t="s">
        <v>1523</v>
      </c>
    </row>
    <row r="60" spans="1:25">
      <c r="A60" s="8"/>
      <c r="B60" s="8"/>
      <c r="C60" s="8"/>
      <c r="D60" s="8"/>
      <c r="E60" s="8"/>
      <c r="F60" s="8"/>
      <c r="G60" s="8"/>
      <c r="H60" s="8"/>
      <c r="I60" s="8"/>
      <c r="J60" s="8"/>
      <c r="K60" s="8"/>
      <c r="L60" s="8"/>
      <c r="M60" s="8"/>
      <c r="N60">
        <v>39</v>
      </c>
      <c r="O60" t="s">
        <v>307</v>
      </c>
      <c r="P60" t="s">
        <v>1115</v>
      </c>
      <c r="Q60">
        <v>30</v>
      </c>
      <c r="R60">
        <v>793</v>
      </c>
      <c r="S60">
        <v>12294.54</v>
      </c>
      <c r="T60">
        <v>6.7</v>
      </c>
      <c r="U60">
        <v>16.68</v>
      </c>
      <c r="V60">
        <v>-0.2</v>
      </c>
      <c r="W60">
        <v>0.39</v>
      </c>
      <c r="X60">
        <v>0.57999999999999996</v>
      </c>
      <c r="Y60" t="s">
        <v>1523</v>
      </c>
    </row>
    <row r="61" spans="1:25">
      <c r="A61" s="8"/>
      <c r="B61" s="8"/>
      <c r="C61" s="8"/>
      <c r="D61" s="8"/>
      <c r="E61" s="8"/>
      <c r="F61" s="8"/>
      <c r="G61" s="8"/>
      <c r="H61" s="8"/>
      <c r="I61" s="8"/>
      <c r="J61" s="8"/>
      <c r="K61" s="8"/>
      <c r="L61" s="8"/>
      <c r="M61" s="8"/>
      <c r="N61">
        <v>53</v>
      </c>
      <c r="O61" t="s">
        <v>335</v>
      </c>
      <c r="P61" t="s">
        <v>1125</v>
      </c>
      <c r="Q61">
        <v>30</v>
      </c>
      <c r="R61">
        <v>722</v>
      </c>
      <c r="S61">
        <v>20574.169999999998</v>
      </c>
      <c r="T61">
        <v>3.8</v>
      </c>
      <c r="U61">
        <v>30.16</v>
      </c>
      <c r="V61">
        <v>0.2</v>
      </c>
      <c r="W61">
        <v>0.17</v>
      </c>
      <c r="X61">
        <v>-0.9</v>
      </c>
      <c r="Y61" t="s">
        <v>1523</v>
      </c>
    </row>
    <row r="62" spans="1:25">
      <c r="N62">
        <v>1</v>
      </c>
      <c r="O62" t="s">
        <v>233</v>
      </c>
      <c r="P62" t="s">
        <v>1115</v>
      </c>
      <c r="Q62">
        <v>38</v>
      </c>
      <c r="R62">
        <v>828</v>
      </c>
      <c r="S62">
        <v>12788.1</v>
      </c>
      <c r="T62">
        <v>7.8</v>
      </c>
      <c r="U62">
        <v>17.149999999999999</v>
      </c>
      <c r="V62">
        <v>-0.18</v>
      </c>
      <c r="W62">
        <v>0.49</v>
      </c>
      <c r="X62">
        <v>1.1399999999999999</v>
      </c>
      <c r="Y62" t="s">
        <v>1523</v>
      </c>
    </row>
    <row r="63" spans="1:25">
      <c r="N63">
        <v>8</v>
      </c>
      <c r="O63" t="s">
        <v>247</v>
      </c>
      <c r="P63" t="s">
        <v>1117</v>
      </c>
      <c r="Q63">
        <v>13</v>
      </c>
      <c r="R63">
        <v>372</v>
      </c>
      <c r="S63">
        <v>12772</v>
      </c>
      <c r="T63">
        <v>6.5</v>
      </c>
      <c r="U63">
        <v>38.770000000000003</v>
      </c>
      <c r="V63">
        <v>-0.18</v>
      </c>
      <c r="W63">
        <v>-0.9</v>
      </c>
      <c r="X63">
        <v>0.48</v>
      </c>
      <c r="Y63" t="s">
        <v>1523</v>
      </c>
    </row>
    <row r="64" spans="1:25">
      <c r="N64">
        <v>26</v>
      </c>
      <c r="O64" t="s">
        <v>1208</v>
      </c>
      <c r="P64" t="s">
        <v>1119</v>
      </c>
      <c r="Q64">
        <v>32</v>
      </c>
      <c r="R64">
        <v>753</v>
      </c>
      <c r="S64">
        <v>19849.14</v>
      </c>
      <c r="T64">
        <v>5.2</v>
      </c>
      <c r="U64">
        <v>28.86</v>
      </c>
      <c r="V64">
        <v>0.17</v>
      </c>
      <c r="W64">
        <v>0.26</v>
      </c>
      <c r="X64">
        <v>-0.19</v>
      </c>
      <c r="Y64" t="s">
        <v>1523</v>
      </c>
    </row>
    <row r="65" spans="14:25">
      <c r="N65">
        <v>11</v>
      </c>
      <c r="O65" t="s">
        <v>253</v>
      </c>
      <c r="P65" t="s">
        <v>1121</v>
      </c>
      <c r="Q65">
        <v>38</v>
      </c>
      <c r="R65">
        <v>706</v>
      </c>
      <c r="S65">
        <v>12901.77</v>
      </c>
      <c r="T65">
        <v>5.7</v>
      </c>
      <c r="U65">
        <v>19.600000000000001</v>
      </c>
      <c r="V65">
        <v>-0.17</v>
      </c>
      <c r="W65">
        <v>0.12</v>
      </c>
      <c r="X65">
        <v>7.0000000000000007E-2</v>
      </c>
      <c r="Y65" t="s">
        <v>1523</v>
      </c>
    </row>
    <row r="66" spans="14:25">
      <c r="N66">
        <v>30</v>
      </c>
      <c r="O66" t="s">
        <v>291</v>
      </c>
      <c r="P66" t="s">
        <v>1129</v>
      </c>
      <c r="Q66">
        <v>32</v>
      </c>
      <c r="R66">
        <v>612</v>
      </c>
      <c r="S66">
        <v>13424.2</v>
      </c>
      <c r="T66">
        <v>8.1</v>
      </c>
      <c r="U66">
        <v>24.27</v>
      </c>
      <c r="V66">
        <v>-0.15</v>
      </c>
      <c r="W66">
        <v>-0.17</v>
      </c>
      <c r="X66">
        <v>1.29</v>
      </c>
      <c r="Y66" t="s">
        <v>1523</v>
      </c>
    </row>
    <row r="67" spans="14:25">
      <c r="N67">
        <v>71</v>
      </c>
      <c r="O67" t="s">
        <v>1209</v>
      </c>
      <c r="P67" t="s">
        <v>1121</v>
      </c>
      <c r="Q67">
        <v>42</v>
      </c>
      <c r="R67">
        <v>1057</v>
      </c>
      <c r="S67">
        <v>19551.03</v>
      </c>
      <c r="T67">
        <v>4.3</v>
      </c>
      <c r="U67">
        <v>19.760000000000002</v>
      </c>
      <c r="V67">
        <v>0.15</v>
      </c>
      <c r="W67">
        <v>1.19</v>
      </c>
      <c r="X67">
        <v>-0.65</v>
      </c>
      <c r="Y67" t="s">
        <v>1523</v>
      </c>
    </row>
    <row r="68" spans="14:25">
      <c r="N68">
        <v>36</v>
      </c>
      <c r="O68" t="s">
        <v>301</v>
      </c>
      <c r="P68" t="s">
        <v>1129</v>
      </c>
      <c r="Q68">
        <v>31</v>
      </c>
      <c r="R68">
        <v>805</v>
      </c>
      <c r="S68">
        <v>13458.46</v>
      </c>
      <c r="T68">
        <v>7.9</v>
      </c>
      <c r="U68">
        <v>17.899999999999999</v>
      </c>
      <c r="V68">
        <v>-0.15</v>
      </c>
      <c r="W68">
        <v>0.42</v>
      </c>
      <c r="X68">
        <v>1.19</v>
      </c>
      <c r="Y68" t="s">
        <v>1523</v>
      </c>
    </row>
    <row r="69" spans="14:25">
      <c r="N69">
        <v>35</v>
      </c>
      <c r="O69" t="s">
        <v>300</v>
      </c>
      <c r="P69" t="s">
        <v>1115</v>
      </c>
      <c r="Q69">
        <v>36</v>
      </c>
      <c r="R69">
        <v>883</v>
      </c>
      <c r="S69">
        <v>13644</v>
      </c>
      <c r="T69">
        <v>4.7</v>
      </c>
      <c r="U69">
        <v>17</v>
      </c>
      <c r="V69">
        <v>-0.14000000000000001</v>
      </c>
      <c r="W69">
        <v>0.66</v>
      </c>
      <c r="X69">
        <v>-0.44</v>
      </c>
      <c r="Y69" t="s">
        <v>1523</v>
      </c>
    </row>
    <row r="70" spans="14:25">
      <c r="N70">
        <v>65</v>
      </c>
      <c r="O70" t="s">
        <v>358</v>
      </c>
      <c r="P70" t="s">
        <v>1117</v>
      </c>
      <c r="Q70">
        <v>32</v>
      </c>
      <c r="R70">
        <v>745</v>
      </c>
      <c r="S70">
        <v>13869.89</v>
      </c>
      <c r="T70">
        <v>4.8</v>
      </c>
      <c r="U70">
        <v>19.46</v>
      </c>
      <c r="V70">
        <v>-0.13</v>
      </c>
      <c r="W70">
        <v>0.24</v>
      </c>
      <c r="X70">
        <v>-0.39</v>
      </c>
      <c r="Y70" t="s">
        <v>1523</v>
      </c>
    </row>
    <row r="71" spans="14:25">
      <c r="N71">
        <v>61</v>
      </c>
      <c r="O71" t="s">
        <v>1212</v>
      </c>
      <c r="P71" t="s">
        <v>1117</v>
      </c>
      <c r="Q71">
        <v>24</v>
      </c>
      <c r="R71">
        <v>603</v>
      </c>
      <c r="S71">
        <v>14352.6</v>
      </c>
      <c r="T71">
        <v>7.1</v>
      </c>
      <c r="U71">
        <v>27.79</v>
      </c>
      <c r="V71">
        <v>-0.1</v>
      </c>
      <c r="W71">
        <v>-0.19</v>
      </c>
      <c r="X71">
        <v>0.78</v>
      </c>
      <c r="Y71" t="s">
        <v>1523</v>
      </c>
    </row>
    <row r="72" spans="14:25">
      <c r="N72">
        <v>31</v>
      </c>
      <c r="O72" t="s">
        <v>293</v>
      </c>
      <c r="P72" t="s">
        <v>1121</v>
      </c>
      <c r="Q72">
        <v>51</v>
      </c>
      <c r="R72">
        <v>1397</v>
      </c>
      <c r="S72">
        <v>14920.88</v>
      </c>
      <c r="T72">
        <v>6.3</v>
      </c>
      <c r="U72">
        <v>11.67</v>
      </c>
      <c r="V72">
        <v>-0.08</v>
      </c>
      <c r="W72">
        <v>2.23</v>
      </c>
      <c r="X72">
        <v>0.37</v>
      </c>
      <c r="Y72" t="s">
        <v>1524</v>
      </c>
    </row>
    <row r="73" spans="14:25">
      <c r="N73">
        <v>27</v>
      </c>
      <c r="O73" t="s">
        <v>285</v>
      </c>
      <c r="P73" t="s">
        <v>1119</v>
      </c>
      <c r="Q73">
        <v>9</v>
      </c>
      <c r="R73">
        <v>365</v>
      </c>
      <c r="S73">
        <v>15099.88</v>
      </c>
      <c r="T73">
        <v>2.8</v>
      </c>
      <c r="U73">
        <v>40.97</v>
      </c>
      <c r="V73">
        <v>-7.0000000000000007E-2</v>
      </c>
      <c r="W73">
        <v>-0.92</v>
      </c>
      <c r="X73">
        <v>-1.41</v>
      </c>
      <c r="Y73" t="s">
        <v>1523</v>
      </c>
    </row>
    <row r="74" spans="14:25">
      <c r="N74">
        <v>40</v>
      </c>
      <c r="O74" t="s">
        <v>309</v>
      </c>
      <c r="P74" t="s">
        <v>1129</v>
      </c>
      <c r="Q74">
        <v>41</v>
      </c>
      <c r="R74">
        <v>1103</v>
      </c>
      <c r="S74">
        <v>17910.63</v>
      </c>
      <c r="T74">
        <v>5.0999999999999996</v>
      </c>
      <c r="U74">
        <v>17.23</v>
      </c>
      <c r="V74">
        <v>7.0000000000000007E-2</v>
      </c>
      <c r="W74">
        <v>1.33</v>
      </c>
      <c r="X74">
        <v>-0.24</v>
      </c>
      <c r="Y74" t="s">
        <v>1523</v>
      </c>
    </row>
    <row r="75" spans="14:25">
      <c r="N75">
        <v>55</v>
      </c>
      <c r="O75" t="s">
        <v>1210</v>
      </c>
      <c r="P75" t="s">
        <v>1125</v>
      </c>
      <c r="Q75">
        <v>33</v>
      </c>
      <c r="R75">
        <v>903</v>
      </c>
      <c r="S75">
        <v>17426.400000000001</v>
      </c>
      <c r="T75">
        <v>7.7</v>
      </c>
      <c r="U75">
        <v>22.4</v>
      </c>
      <c r="V75">
        <v>0.05</v>
      </c>
      <c r="W75">
        <v>0.72</v>
      </c>
      <c r="X75">
        <v>1.0900000000000001</v>
      </c>
      <c r="Y75" t="s">
        <v>1523</v>
      </c>
    </row>
    <row r="76" spans="14:25">
      <c r="N76">
        <v>16</v>
      </c>
      <c r="O76" t="s">
        <v>263</v>
      </c>
      <c r="P76" t="s">
        <v>1119</v>
      </c>
      <c r="Q76">
        <v>43</v>
      </c>
      <c r="R76">
        <v>1158</v>
      </c>
      <c r="S76">
        <v>17215.78</v>
      </c>
      <c r="T76">
        <v>6.7</v>
      </c>
      <c r="U76">
        <v>16.38</v>
      </c>
      <c r="V76">
        <v>0.04</v>
      </c>
      <c r="W76">
        <v>1.5</v>
      </c>
      <c r="X76">
        <v>0.57999999999999996</v>
      </c>
      <c r="Y76" t="s">
        <v>1523</v>
      </c>
    </row>
    <row r="77" spans="14:25">
      <c r="N77">
        <v>76</v>
      </c>
      <c r="O77" t="s">
        <v>1211</v>
      </c>
      <c r="P77" t="s">
        <v>1115</v>
      </c>
      <c r="Q77">
        <v>39</v>
      </c>
      <c r="R77">
        <v>981</v>
      </c>
      <c r="S77">
        <v>15760.44</v>
      </c>
      <c r="T77">
        <v>5.3</v>
      </c>
      <c r="U77">
        <v>16.98</v>
      </c>
      <c r="V77">
        <v>-0.03</v>
      </c>
      <c r="W77">
        <v>0.96</v>
      </c>
      <c r="X77">
        <v>-0.14000000000000001</v>
      </c>
      <c r="Y77" t="s">
        <v>1523</v>
      </c>
    </row>
    <row r="78" spans="14:25">
      <c r="N78">
        <v>63</v>
      </c>
      <c r="O78" t="s">
        <v>354</v>
      </c>
      <c r="P78" t="s">
        <v>1117</v>
      </c>
      <c r="Q78">
        <v>17</v>
      </c>
      <c r="R78">
        <v>445</v>
      </c>
      <c r="S78">
        <v>16701.099999999999</v>
      </c>
      <c r="T78">
        <v>4.0999999999999996</v>
      </c>
      <c r="U78">
        <v>40.79</v>
      </c>
      <c r="V78">
        <v>0.01</v>
      </c>
      <c r="W78">
        <v>-0.68</v>
      </c>
      <c r="X78">
        <v>-0.75</v>
      </c>
      <c r="Y78" t="s">
        <v>1523</v>
      </c>
    </row>
    <row r="79" spans="14:25">
      <c r="N79">
        <v>2</v>
      </c>
      <c r="O79" t="s">
        <v>235</v>
      </c>
      <c r="P79" t="s">
        <v>1115</v>
      </c>
      <c r="Q79">
        <v>44</v>
      </c>
      <c r="R79">
        <v>1057</v>
      </c>
      <c r="S79">
        <v>16355.96</v>
      </c>
      <c r="T79">
        <v>10.199999999999999</v>
      </c>
      <c r="U79">
        <v>17.88</v>
      </c>
      <c r="V79">
        <v>0</v>
      </c>
      <c r="W79">
        <v>1.19</v>
      </c>
      <c r="X79">
        <v>2.37</v>
      </c>
      <c r="Y79" t="s">
        <v>1525</v>
      </c>
    </row>
  </sheetData>
  <mergeCells count="2">
    <mergeCell ref="A2:L46"/>
    <mergeCell ref="A1:L1"/>
  </mergeCells>
  <pageMargins left="0.7" right="0.7" top="0.75" bottom="0.75" header="0.3" footer="0.3"/>
  <tableParts count="1">
    <tablePart r:id="rId1"/>
  </tableParts>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073AFC-BB54-41B9-AFF5-C3673D330987}">
  <dimension ref="A1:L30"/>
  <sheetViews>
    <sheetView topLeftCell="I1" workbookViewId="0">
      <selection activeCell="M11" sqref="M11"/>
    </sheetView>
  </sheetViews>
  <sheetFormatPr baseColWidth="10" defaultColWidth="8.83203125" defaultRowHeight="13"/>
  <cols>
    <col min="1" max="1" width="12.83203125" bestFit="1" customWidth="1"/>
    <col min="2" max="2" width="36" bestFit="1" customWidth="1"/>
    <col min="3" max="3" width="18.5" bestFit="1" customWidth="1"/>
    <col min="4" max="4" width="14.6640625" bestFit="1" customWidth="1"/>
    <col min="5" max="5" width="17.5" bestFit="1" customWidth="1"/>
    <col min="6" max="6" width="20" bestFit="1" customWidth="1"/>
    <col min="7" max="7" width="21.33203125" bestFit="1" customWidth="1"/>
    <col min="8" max="8" width="20.33203125" bestFit="1" customWidth="1"/>
    <col min="9" max="9" width="20.5" bestFit="1" customWidth="1"/>
    <col min="10" max="10" width="21" bestFit="1" customWidth="1"/>
    <col min="11" max="11" width="17.83203125" bestFit="1" customWidth="1"/>
    <col min="12" max="12" width="24" bestFit="1" customWidth="1"/>
  </cols>
  <sheetData>
    <row r="1" spans="1:12">
      <c r="A1" t="s">
        <v>0</v>
      </c>
      <c r="B1" t="s">
        <v>1528</v>
      </c>
      <c r="C1" t="s">
        <v>1529</v>
      </c>
      <c r="D1" t="s">
        <v>1530</v>
      </c>
      <c r="E1" t="s">
        <v>1531</v>
      </c>
      <c r="F1" t="s">
        <v>1532</v>
      </c>
      <c r="G1" t="s">
        <v>1533</v>
      </c>
      <c r="H1" t="s">
        <v>1534</v>
      </c>
      <c r="I1" t="s">
        <v>1535</v>
      </c>
      <c r="J1" t="s">
        <v>1536</v>
      </c>
      <c r="K1" t="s">
        <v>1537</v>
      </c>
      <c r="L1" t="s">
        <v>1538</v>
      </c>
    </row>
    <row r="2" spans="1:12">
      <c r="A2">
        <v>7</v>
      </c>
      <c r="B2" t="s">
        <v>59</v>
      </c>
      <c r="C2" t="s">
        <v>64</v>
      </c>
      <c r="D2" t="s">
        <v>62</v>
      </c>
      <c r="E2" t="s">
        <v>63</v>
      </c>
      <c r="F2">
        <v>5</v>
      </c>
      <c r="G2">
        <v>5</v>
      </c>
      <c r="H2">
        <v>35.57</v>
      </c>
      <c r="I2">
        <v>15</v>
      </c>
      <c r="J2">
        <v>62.5</v>
      </c>
      <c r="K2">
        <v>4409.6499999999996</v>
      </c>
      <c r="L2">
        <v>1</v>
      </c>
    </row>
    <row r="3" spans="1:12">
      <c r="A3">
        <v>24</v>
      </c>
      <c r="B3" t="s">
        <v>178</v>
      </c>
      <c r="C3" t="s">
        <v>64</v>
      </c>
      <c r="D3" t="s">
        <v>181</v>
      </c>
      <c r="E3" t="s">
        <v>182</v>
      </c>
      <c r="F3">
        <v>3</v>
      </c>
      <c r="G3">
        <v>3</v>
      </c>
      <c r="H3">
        <v>30.93</v>
      </c>
      <c r="I3">
        <v>7</v>
      </c>
      <c r="J3">
        <v>53</v>
      </c>
      <c r="K3">
        <v>1326</v>
      </c>
      <c r="L3">
        <v>1</v>
      </c>
    </row>
    <row r="4" spans="1:12">
      <c r="A4">
        <v>10</v>
      </c>
      <c r="B4" t="s">
        <v>82</v>
      </c>
      <c r="C4" t="s">
        <v>86</v>
      </c>
      <c r="D4" t="s">
        <v>1150</v>
      </c>
      <c r="E4" t="s">
        <v>1539</v>
      </c>
      <c r="F4">
        <v>1</v>
      </c>
      <c r="G4">
        <v>1</v>
      </c>
      <c r="H4">
        <v>4.5</v>
      </c>
      <c r="I4">
        <v>4.5</v>
      </c>
      <c r="J4">
        <v>4.5</v>
      </c>
      <c r="K4">
        <v>90</v>
      </c>
      <c r="L4">
        <v>1</v>
      </c>
    </row>
    <row r="5" spans="1:12">
      <c r="A5">
        <v>29</v>
      </c>
      <c r="B5" t="s">
        <v>1540</v>
      </c>
      <c r="C5" t="s">
        <v>192</v>
      </c>
      <c r="D5" t="s">
        <v>214</v>
      </c>
      <c r="E5" t="s">
        <v>1541</v>
      </c>
      <c r="F5">
        <v>2</v>
      </c>
      <c r="G5">
        <v>2</v>
      </c>
      <c r="H5">
        <v>38.9</v>
      </c>
      <c r="I5">
        <v>28.5</v>
      </c>
      <c r="J5">
        <v>49.3</v>
      </c>
      <c r="K5">
        <v>4058.6</v>
      </c>
      <c r="L5">
        <v>0</v>
      </c>
    </row>
    <row r="6" spans="1:12">
      <c r="A6">
        <v>25</v>
      </c>
      <c r="B6" t="s">
        <v>186</v>
      </c>
      <c r="C6" t="s">
        <v>192</v>
      </c>
      <c r="D6" t="s">
        <v>1143</v>
      </c>
      <c r="E6" t="s">
        <v>1541</v>
      </c>
      <c r="F6">
        <v>2</v>
      </c>
      <c r="G6">
        <v>1</v>
      </c>
      <c r="H6">
        <v>15.72</v>
      </c>
      <c r="I6">
        <v>7.45</v>
      </c>
      <c r="J6">
        <v>24</v>
      </c>
      <c r="K6">
        <v>2916.45</v>
      </c>
      <c r="L6">
        <v>0</v>
      </c>
    </row>
    <row r="7" spans="1:12">
      <c r="A7">
        <v>21</v>
      </c>
      <c r="B7" t="s">
        <v>157</v>
      </c>
      <c r="C7" t="s">
        <v>161</v>
      </c>
      <c r="D7" t="s">
        <v>160</v>
      </c>
      <c r="E7" t="s">
        <v>1539</v>
      </c>
      <c r="F7">
        <v>2</v>
      </c>
      <c r="G7">
        <v>1</v>
      </c>
      <c r="H7">
        <v>10.75</v>
      </c>
      <c r="I7">
        <v>9.5</v>
      </c>
      <c r="J7">
        <v>12</v>
      </c>
      <c r="K7">
        <v>1187.5</v>
      </c>
      <c r="L7">
        <v>0</v>
      </c>
    </row>
    <row r="8" spans="1:12">
      <c r="A8">
        <v>23</v>
      </c>
      <c r="B8" t="s">
        <v>171</v>
      </c>
      <c r="C8" t="s">
        <v>176</v>
      </c>
      <c r="D8" t="s">
        <v>175</v>
      </c>
      <c r="E8" t="s">
        <v>1539</v>
      </c>
      <c r="F8">
        <v>3</v>
      </c>
      <c r="G8">
        <v>2</v>
      </c>
      <c r="H8">
        <v>18.079999999999998</v>
      </c>
      <c r="I8">
        <v>16.25</v>
      </c>
      <c r="J8">
        <v>20</v>
      </c>
      <c r="K8">
        <v>2282.25</v>
      </c>
      <c r="L8">
        <v>0</v>
      </c>
    </row>
    <row r="9" spans="1:12">
      <c r="A9">
        <v>18</v>
      </c>
      <c r="B9" t="s">
        <v>1542</v>
      </c>
      <c r="C9" t="s">
        <v>140</v>
      </c>
      <c r="D9" t="s">
        <v>139</v>
      </c>
      <c r="E9" t="s">
        <v>1539</v>
      </c>
      <c r="F9">
        <v>2</v>
      </c>
      <c r="G9">
        <v>1</v>
      </c>
      <c r="H9">
        <v>140.75</v>
      </c>
      <c r="I9">
        <v>18</v>
      </c>
      <c r="J9">
        <v>263.5</v>
      </c>
      <c r="K9">
        <v>5721.5</v>
      </c>
      <c r="L9">
        <v>0</v>
      </c>
    </row>
    <row r="10" spans="1:12">
      <c r="A10">
        <v>28</v>
      </c>
      <c r="B10" t="s">
        <v>1543</v>
      </c>
      <c r="C10" t="s">
        <v>140</v>
      </c>
      <c r="D10" t="s">
        <v>208</v>
      </c>
      <c r="E10" t="s">
        <v>1539</v>
      </c>
      <c r="F10">
        <v>2</v>
      </c>
      <c r="G10">
        <v>1</v>
      </c>
      <c r="H10">
        <v>44.5</v>
      </c>
      <c r="I10">
        <v>34</v>
      </c>
      <c r="J10">
        <v>55</v>
      </c>
      <c r="K10">
        <v>4991</v>
      </c>
      <c r="L10">
        <v>0</v>
      </c>
    </row>
    <row r="11" spans="1:12">
      <c r="A11">
        <v>27</v>
      </c>
      <c r="B11" t="s">
        <v>200</v>
      </c>
      <c r="C11" t="s">
        <v>140</v>
      </c>
      <c r="D11" t="s">
        <v>203</v>
      </c>
      <c r="E11" t="s">
        <v>1539</v>
      </c>
      <c r="F11">
        <v>1</v>
      </c>
      <c r="G11">
        <v>1</v>
      </c>
      <c r="H11">
        <v>13.25</v>
      </c>
      <c r="I11">
        <v>13.25</v>
      </c>
      <c r="J11">
        <v>13.25</v>
      </c>
      <c r="K11">
        <v>821.5</v>
      </c>
      <c r="L11">
        <v>0</v>
      </c>
    </row>
    <row r="12" spans="1:12">
      <c r="A12">
        <v>12</v>
      </c>
      <c r="B12" t="s">
        <v>1544</v>
      </c>
      <c r="C12" t="s">
        <v>93</v>
      </c>
      <c r="D12" t="s">
        <v>99</v>
      </c>
      <c r="E12" t="s">
        <v>1539</v>
      </c>
      <c r="F12">
        <v>5</v>
      </c>
      <c r="G12">
        <v>5</v>
      </c>
      <c r="H12">
        <v>44.68</v>
      </c>
      <c r="I12">
        <v>7.75</v>
      </c>
      <c r="J12">
        <v>123.79</v>
      </c>
      <c r="K12">
        <v>3301.85</v>
      </c>
      <c r="L12">
        <v>2</v>
      </c>
    </row>
    <row r="13" spans="1:12">
      <c r="A13">
        <v>11</v>
      </c>
      <c r="B13" t="s">
        <v>1545</v>
      </c>
      <c r="C13" t="s">
        <v>93</v>
      </c>
      <c r="D13" t="s">
        <v>92</v>
      </c>
      <c r="E13" t="s">
        <v>1539</v>
      </c>
      <c r="F13">
        <v>3</v>
      </c>
      <c r="G13">
        <v>1</v>
      </c>
      <c r="H13">
        <v>29.71</v>
      </c>
      <c r="I13">
        <v>14</v>
      </c>
      <c r="J13">
        <v>43.9</v>
      </c>
      <c r="K13">
        <v>3683.55</v>
      </c>
      <c r="L13">
        <v>0</v>
      </c>
    </row>
    <row r="14" spans="1:12">
      <c r="A14">
        <v>13</v>
      </c>
      <c r="B14" t="s">
        <v>102</v>
      </c>
      <c r="C14" t="s">
        <v>93</v>
      </c>
      <c r="D14" t="s">
        <v>106</v>
      </c>
      <c r="E14" t="s">
        <v>1539</v>
      </c>
      <c r="F14">
        <v>1</v>
      </c>
      <c r="G14">
        <v>1</v>
      </c>
      <c r="H14">
        <v>25.89</v>
      </c>
      <c r="I14">
        <v>25.89</v>
      </c>
      <c r="J14">
        <v>25.89</v>
      </c>
      <c r="K14">
        <v>258.89999999999998</v>
      </c>
      <c r="L14">
        <v>0</v>
      </c>
    </row>
    <row r="15" spans="1:12">
      <c r="A15">
        <v>26</v>
      </c>
      <c r="B15" t="s">
        <v>194</v>
      </c>
      <c r="C15" t="s">
        <v>113</v>
      </c>
      <c r="D15" t="s">
        <v>197</v>
      </c>
      <c r="E15" t="s">
        <v>1539</v>
      </c>
      <c r="F15">
        <v>2</v>
      </c>
      <c r="G15">
        <v>1</v>
      </c>
      <c r="H15">
        <v>28.75</v>
      </c>
      <c r="I15">
        <v>19.5</v>
      </c>
      <c r="J15">
        <v>38</v>
      </c>
      <c r="K15">
        <v>1500</v>
      </c>
      <c r="L15">
        <v>0</v>
      </c>
    </row>
    <row r="16" spans="1:12">
      <c r="A16">
        <v>14</v>
      </c>
      <c r="B16" t="s">
        <v>109</v>
      </c>
      <c r="C16" t="s">
        <v>113</v>
      </c>
      <c r="D16" t="s">
        <v>112</v>
      </c>
      <c r="E16" t="s">
        <v>1539</v>
      </c>
      <c r="F16">
        <v>3</v>
      </c>
      <c r="G16">
        <v>1</v>
      </c>
      <c r="H16">
        <v>26.43</v>
      </c>
      <c r="I16">
        <v>12.5</v>
      </c>
      <c r="J16">
        <v>34.799999999999997</v>
      </c>
      <c r="K16">
        <v>775.2</v>
      </c>
      <c r="L16">
        <v>0</v>
      </c>
    </row>
    <row r="17" spans="1:12">
      <c r="A17">
        <v>4</v>
      </c>
      <c r="B17" t="s">
        <v>37</v>
      </c>
      <c r="C17" t="s">
        <v>42</v>
      </c>
      <c r="D17" t="s">
        <v>41</v>
      </c>
      <c r="E17" t="s">
        <v>1539</v>
      </c>
      <c r="F17">
        <v>3</v>
      </c>
      <c r="G17">
        <v>3</v>
      </c>
      <c r="H17">
        <v>46</v>
      </c>
      <c r="I17">
        <v>10</v>
      </c>
      <c r="J17">
        <v>97</v>
      </c>
      <c r="K17">
        <v>3814</v>
      </c>
      <c r="L17">
        <v>1</v>
      </c>
    </row>
    <row r="18" spans="1:12">
      <c r="A18">
        <v>6</v>
      </c>
      <c r="B18" t="s">
        <v>52</v>
      </c>
      <c r="C18" t="s">
        <v>42</v>
      </c>
      <c r="D18" t="s">
        <v>56</v>
      </c>
      <c r="E18" t="s">
        <v>1539</v>
      </c>
      <c r="F18">
        <v>3</v>
      </c>
      <c r="G18">
        <v>3</v>
      </c>
      <c r="H18">
        <v>14.92</v>
      </c>
      <c r="I18">
        <v>6</v>
      </c>
      <c r="J18">
        <v>23.25</v>
      </c>
      <c r="K18">
        <v>1562.25</v>
      </c>
      <c r="L18">
        <v>0</v>
      </c>
    </row>
    <row r="19" spans="1:12">
      <c r="A19">
        <v>22</v>
      </c>
      <c r="B19" t="s">
        <v>162</v>
      </c>
      <c r="C19" t="s">
        <v>168</v>
      </c>
      <c r="D19" t="s">
        <v>166</v>
      </c>
      <c r="E19" t="s">
        <v>1539</v>
      </c>
      <c r="F19">
        <v>2</v>
      </c>
      <c r="G19">
        <v>1</v>
      </c>
      <c r="H19">
        <v>11.12</v>
      </c>
      <c r="I19">
        <v>9.5</v>
      </c>
      <c r="J19">
        <v>12.75</v>
      </c>
      <c r="K19">
        <v>533.25</v>
      </c>
      <c r="L19">
        <v>0</v>
      </c>
    </row>
    <row r="20" spans="1:12">
      <c r="A20">
        <v>15</v>
      </c>
      <c r="B20" t="s">
        <v>117</v>
      </c>
      <c r="C20" t="s">
        <v>121</v>
      </c>
      <c r="D20" t="s">
        <v>120</v>
      </c>
      <c r="E20" t="s">
        <v>1539</v>
      </c>
      <c r="F20">
        <v>3</v>
      </c>
      <c r="G20">
        <v>1</v>
      </c>
      <c r="H20">
        <v>20</v>
      </c>
      <c r="I20">
        <v>2.5</v>
      </c>
      <c r="J20">
        <v>36</v>
      </c>
      <c r="K20">
        <v>1775</v>
      </c>
      <c r="L20">
        <v>0</v>
      </c>
    </row>
    <row r="21" spans="1:12">
      <c r="A21">
        <v>20</v>
      </c>
      <c r="B21" t="s">
        <v>151</v>
      </c>
      <c r="C21" t="s">
        <v>155</v>
      </c>
      <c r="D21" t="s">
        <v>155</v>
      </c>
      <c r="E21" t="s">
        <v>1539</v>
      </c>
      <c r="F21">
        <v>3</v>
      </c>
      <c r="G21">
        <v>3</v>
      </c>
      <c r="H21">
        <v>26.48</v>
      </c>
      <c r="I21">
        <v>14</v>
      </c>
      <c r="J21">
        <v>46</v>
      </c>
      <c r="K21">
        <v>1671.15</v>
      </c>
      <c r="L21">
        <v>1</v>
      </c>
    </row>
    <row r="22" spans="1:12">
      <c r="A22">
        <v>5</v>
      </c>
      <c r="B22" t="s">
        <v>44</v>
      </c>
      <c r="C22" t="s">
        <v>50</v>
      </c>
      <c r="D22" t="s">
        <v>48</v>
      </c>
      <c r="E22" t="s">
        <v>49</v>
      </c>
      <c r="F22">
        <v>2</v>
      </c>
      <c r="G22">
        <v>1</v>
      </c>
      <c r="H22">
        <v>29.5</v>
      </c>
      <c r="I22">
        <v>21</v>
      </c>
      <c r="J22">
        <v>38</v>
      </c>
      <c r="K22">
        <v>3730</v>
      </c>
      <c r="L22">
        <v>0</v>
      </c>
    </row>
    <row r="23" spans="1:12">
      <c r="A23">
        <v>17</v>
      </c>
      <c r="B23" t="s">
        <v>1546</v>
      </c>
      <c r="C23" t="s">
        <v>79</v>
      </c>
      <c r="D23" t="s">
        <v>133</v>
      </c>
      <c r="E23" t="s">
        <v>1539</v>
      </c>
      <c r="F23">
        <v>3</v>
      </c>
      <c r="G23">
        <v>1</v>
      </c>
      <c r="H23">
        <v>20</v>
      </c>
      <c r="I23">
        <v>15</v>
      </c>
      <c r="J23">
        <v>26</v>
      </c>
      <c r="K23">
        <v>3929</v>
      </c>
      <c r="L23">
        <v>0</v>
      </c>
    </row>
    <row r="24" spans="1:12">
      <c r="A24">
        <v>9</v>
      </c>
      <c r="B24" t="s">
        <v>1547</v>
      </c>
      <c r="C24" t="s">
        <v>79</v>
      </c>
      <c r="D24" t="s">
        <v>1548</v>
      </c>
      <c r="E24" t="s">
        <v>1539</v>
      </c>
      <c r="F24">
        <v>2</v>
      </c>
      <c r="G24">
        <v>1</v>
      </c>
      <c r="H24">
        <v>15</v>
      </c>
      <c r="I24">
        <v>9</v>
      </c>
      <c r="J24">
        <v>21</v>
      </c>
      <c r="K24">
        <v>2733</v>
      </c>
      <c r="L24">
        <v>0</v>
      </c>
    </row>
    <row r="25" spans="1:12">
      <c r="A25">
        <v>8</v>
      </c>
      <c r="B25" t="s">
        <v>67</v>
      </c>
      <c r="C25" t="s">
        <v>18</v>
      </c>
      <c r="D25" t="s">
        <v>70</v>
      </c>
      <c r="E25" t="s">
        <v>1539</v>
      </c>
      <c r="F25">
        <v>4</v>
      </c>
      <c r="G25">
        <v>1</v>
      </c>
      <c r="H25">
        <v>28.18</v>
      </c>
      <c r="I25">
        <v>9.1999999999999993</v>
      </c>
      <c r="J25">
        <v>81</v>
      </c>
      <c r="K25">
        <v>3575</v>
      </c>
      <c r="L25">
        <v>0</v>
      </c>
    </row>
    <row r="26" spans="1:12">
      <c r="A26">
        <v>1</v>
      </c>
      <c r="B26" t="s">
        <v>12</v>
      </c>
      <c r="C26" t="s">
        <v>18</v>
      </c>
      <c r="D26" t="s">
        <v>16</v>
      </c>
      <c r="E26" t="s">
        <v>1539</v>
      </c>
      <c r="F26">
        <v>3</v>
      </c>
      <c r="G26">
        <v>2</v>
      </c>
      <c r="H26">
        <v>15.67</v>
      </c>
      <c r="I26">
        <v>10</v>
      </c>
      <c r="J26">
        <v>19</v>
      </c>
      <c r="K26">
        <v>1155</v>
      </c>
      <c r="L26">
        <v>0</v>
      </c>
    </row>
    <row r="27" spans="1:12">
      <c r="A27">
        <v>3</v>
      </c>
      <c r="B27" t="s">
        <v>29</v>
      </c>
      <c r="C27" t="s">
        <v>26</v>
      </c>
      <c r="D27" t="s">
        <v>33</v>
      </c>
      <c r="E27" t="s">
        <v>34</v>
      </c>
      <c r="F27">
        <v>3</v>
      </c>
      <c r="G27">
        <v>2</v>
      </c>
      <c r="H27">
        <v>31.67</v>
      </c>
      <c r="I27">
        <v>25</v>
      </c>
      <c r="J27">
        <v>40</v>
      </c>
      <c r="K27">
        <v>3690</v>
      </c>
      <c r="L27">
        <v>0</v>
      </c>
    </row>
    <row r="28" spans="1:12">
      <c r="A28">
        <v>2</v>
      </c>
      <c r="B28" t="s">
        <v>20</v>
      </c>
      <c r="C28" t="s">
        <v>26</v>
      </c>
      <c r="D28" t="s">
        <v>24</v>
      </c>
      <c r="E28" t="s">
        <v>25</v>
      </c>
      <c r="F28">
        <v>4</v>
      </c>
      <c r="G28">
        <v>1</v>
      </c>
      <c r="H28">
        <v>20.350000000000001</v>
      </c>
      <c r="I28">
        <v>17</v>
      </c>
      <c r="J28">
        <v>22</v>
      </c>
      <c r="K28">
        <v>2833.8</v>
      </c>
      <c r="L28">
        <v>1</v>
      </c>
    </row>
    <row r="29" spans="1:12">
      <c r="A29">
        <v>16</v>
      </c>
      <c r="B29" t="s">
        <v>123</v>
      </c>
      <c r="C29" t="s">
        <v>26</v>
      </c>
      <c r="D29" t="s">
        <v>127</v>
      </c>
      <c r="E29" t="s">
        <v>128</v>
      </c>
      <c r="F29">
        <v>3</v>
      </c>
      <c r="G29">
        <v>1</v>
      </c>
      <c r="H29">
        <v>15.33</v>
      </c>
      <c r="I29">
        <v>14</v>
      </c>
      <c r="J29">
        <v>18</v>
      </c>
      <c r="K29">
        <v>2642</v>
      </c>
      <c r="L29">
        <v>0</v>
      </c>
    </row>
    <row r="30" spans="1:12">
      <c r="A30">
        <v>19</v>
      </c>
      <c r="B30" t="s">
        <v>143</v>
      </c>
      <c r="C30" t="s">
        <v>26</v>
      </c>
      <c r="D30" t="s">
        <v>147</v>
      </c>
      <c r="E30" t="s">
        <v>148</v>
      </c>
      <c r="F30">
        <v>2</v>
      </c>
      <c r="G30">
        <v>1</v>
      </c>
      <c r="H30">
        <v>14.02</v>
      </c>
      <c r="I30">
        <v>9.65</v>
      </c>
      <c r="J30">
        <v>18.399999999999999</v>
      </c>
      <c r="K30">
        <v>3083.45</v>
      </c>
      <c r="L30">
        <v>0</v>
      </c>
    </row>
  </sheetData>
  <pageMargins left="0.7" right="0.7" top="0.75" bottom="0.75" header="0.3" footer="0.3"/>
  <tableParts count="1">
    <tablePart r:id="rId1"/>
  </tableParts>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BEDF45-E62E-4674-BEDB-D480FE423D50}">
  <dimension ref="A1:E17"/>
  <sheetViews>
    <sheetView workbookViewId="0">
      <selection activeCell="E23" sqref="E23"/>
    </sheetView>
  </sheetViews>
  <sheetFormatPr baseColWidth="10" defaultColWidth="8.83203125" defaultRowHeight="13"/>
  <cols>
    <col min="1" max="1" width="10.83203125" bestFit="1" customWidth="1"/>
    <col min="2" max="2" width="16.6640625" bestFit="1" customWidth="1"/>
    <col min="3" max="3" width="17.1640625" bestFit="1" customWidth="1"/>
    <col min="4" max="4" width="12.1640625" bestFit="1" customWidth="1"/>
    <col min="5" max="5" width="23" bestFit="1" customWidth="1"/>
  </cols>
  <sheetData>
    <row r="1" spans="1:5">
      <c r="A1" t="s">
        <v>8</v>
      </c>
      <c r="B1" t="s">
        <v>1549</v>
      </c>
      <c r="C1" t="s">
        <v>1550</v>
      </c>
      <c r="D1" t="s">
        <v>1551</v>
      </c>
      <c r="E1" t="s">
        <v>1552</v>
      </c>
    </row>
    <row r="2" spans="1:5">
      <c r="A2" t="s">
        <v>26</v>
      </c>
      <c r="B2">
        <v>4</v>
      </c>
      <c r="C2">
        <v>12</v>
      </c>
      <c r="D2">
        <v>20.87</v>
      </c>
      <c r="E2">
        <v>12249.25</v>
      </c>
    </row>
    <row r="3" spans="1:5">
      <c r="A3" t="s">
        <v>140</v>
      </c>
      <c r="B3">
        <v>3</v>
      </c>
      <c r="C3">
        <v>5</v>
      </c>
      <c r="D3">
        <v>76.75</v>
      </c>
      <c r="E3">
        <v>11534</v>
      </c>
    </row>
    <row r="4" spans="1:5">
      <c r="A4" t="s">
        <v>93</v>
      </c>
      <c r="B4">
        <v>3</v>
      </c>
      <c r="C4">
        <v>9</v>
      </c>
      <c r="D4">
        <v>37.6</v>
      </c>
      <c r="E4">
        <v>7244.3</v>
      </c>
    </row>
    <row r="5" spans="1:5">
      <c r="A5" t="s">
        <v>64</v>
      </c>
      <c r="B5">
        <v>2</v>
      </c>
      <c r="C5">
        <v>8</v>
      </c>
      <c r="D5">
        <v>33.83</v>
      </c>
      <c r="E5">
        <v>5735.65</v>
      </c>
    </row>
    <row r="6" spans="1:5">
      <c r="A6" t="s">
        <v>192</v>
      </c>
      <c r="B6">
        <v>2</v>
      </c>
      <c r="C6">
        <v>4</v>
      </c>
      <c r="D6">
        <v>27.31</v>
      </c>
      <c r="E6">
        <v>6975.05</v>
      </c>
    </row>
    <row r="7" spans="1:5">
      <c r="A7" t="s">
        <v>113</v>
      </c>
      <c r="B7">
        <v>2</v>
      </c>
      <c r="C7">
        <v>5</v>
      </c>
      <c r="D7">
        <v>27.36</v>
      </c>
      <c r="E7">
        <v>2275.1999999999998</v>
      </c>
    </row>
    <row r="8" spans="1:5">
      <c r="A8" t="s">
        <v>42</v>
      </c>
      <c r="B8">
        <v>2</v>
      </c>
      <c r="C8">
        <v>6</v>
      </c>
      <c r="D8">
        <v>30.46</v>
      </c>
      <c r="E8">
        <v>5376.25</v>
      </c>
    </row>
    <row r="9" spans="1:5">
      <c r="A9" t="s">
        <v>79</v>
      </c>
      <c r="B9">
        <v>2</v>
      </c>
      <c r="C9">
        <v>5</v>
      </c>
      <c r="D9">
        <v>18</v>
      </c>
      <c r="E9">
        <v>6662</v>
      </c>
    </row>
    <row r="10" spans="1:5">
      <c r="A10" t="s">
        <v>18</v>
      </c>
      <c r="B10">
        <v>2</v>
      </c>
      <c r="C10">
        <v>7</v>
      </c>
      <c r="D10">
        <v>22.81</v>
      </c>
      <c r="E10">
        <v>4730</v>
      </c>
    </row>
    <row r="11" spans="1:5">
      <c r="A11" t="s">
        <v>86</v>
      </c>
      <c r="B11">
        <v>1</v>
      </c>
      <c r="C11">
        <v>1</v>
      </c>
      <c r="D11">
        <v>4.5</v>
      </c>
      <c r="E11">
        <v>90</v>
      </c>
    </row>
    <row r="12" spans="1:5">
      <c r="A12" t="s">
        <v>161</v>
      </c>
      <c r="B12">
        <v>1</v>
      </c>
      <c r="C12">
        <v>2</v>
      </c>
      <c r="D12">
        <v>10.75</v>
      </c>
      <c r="E12">
        <v>1187.5</v>
      </c>
    </row>
    <row r="13" spans="1:5">
      <c r="A13" t="s">
        <v>176</v>
      </c>
      <c r="B13">
        <v>1</v>
      </c>
      <c r="C13">
        <v>3</v>
      </c>
      <c r="D13">
        <v>18.079999999999998</v>
      </c>
      <c r="E13">
        <v>2282.25</v>
      </c>
    </row>
    <row r="14" spans="1:5">
      <c r="A14" t="s">
        <v>168</v>
      </c>
      <c r="B14">
        <v>1</v>
      </c>
      <c r="C14">
        <v>2</v>
      </c>
      <c r="D14">
        <v>11.12</v>
      </c>
      <c r="E14">
        <v>533.25</v>
      </c>
    </row>
    <row r="15" spans="1:5">
      <c r="A15" t="s">
        <v>121</v>
      </c>
      <c r="B15">
        <v>1</v>
      </c>
      <c r="C15">
        <v>3</v>
      </c>
      <c r="D15">
        <v>20</v>
      </c>
      <c r="E15">
        <v>1775</v>
      </c>
    </row>
    <row r="16" spans="1:5">
      <c r="A16" t="s">
        <v>155</v>
      </c>
      <c r="B16">
        <v>1</v>
      </c>
      <c r="C16">
        <v>3</v>
      </c>
      <c r="D16">
        <v>26.48</v>
      </c>
      <c r="E16">
        <v>1671.15</v>
      </c>
    </row>
    <row r="17" spans="1:5">
      <c r="A17" t="s">
        <v>50</v>
      </c>
      <c r="B17">
        <v>1</v>
      </c>
      <c r="C17">
        <v>2</v>
      </c>
      <c r="D17">
        <v>29.5</v>
      </c>
      <c r="E17">
        <v>3730</v>
      </c>
    </row>
  </sheetData>
  <pageMargins left="0.7" right="0.7" top="0.75" bottom="0.75" header="0.3" footer="0.3"/>
  <tableParts count="1">
    <tablePart r:id="rId1"/>
  </tablePart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8A8EA0-CD1C-42B5-8F0A-2934F28F9432}">
  <dimension ref="A1:E30"/>
  <sheetViews>
    <sheetView workbookViewId="0">
      <selection activeCell="G20" sqref="G20"/>
    </sheetView>
  </sheetViews>
  <sheetFormatPr baseColWidth="10" defaultColWidth="8.83203125" defaultRowHeight="13"/>
  <cols>
    <col min="1" max="1" width="12.6640625" bestFit="1" customWidth="1"/>
    <col min="2" max="2" width="16.6640625" bestFit="1" customWidth="1"/>
    <col min="3" max="3" width="17.1640625" bestFit="1" customWidth="1"/>
    <col min="4" max="4" width="12.1640625" bestFit="1" customWidth="1"/>
    <col min="5" max="5" width="23" bestFit="1" customWidth="1"/>
  </cols>
  <sheetData>
    <row r="1" spans="1:5">
      <c r="A1" t="s">
        <v>5</v>
      </c>
      <c r="B1" t="s">
        <v>1549</v>
      </c>
      <c r="C1" t="s">
        <v>1550</v>
      </c>
      <c r="D1" t="s">
        <v>1551</v>
      </c>
      <c r="E1" t="s">
        <v>1552</v>
      </c>
    </row>
    <row r="2" spans="1:5">
      <c r="A2" t="s">
        <v>33</v>
      </c>
      <c r="B2">
        <v>1</v>
      </c>
      <c r="C2">
        <v>3</v>
      </c>
      <c r="D2">
        <v>31.67</v>
      </c>
      <c r="E2">
        <v>3690</v>
      </c>
    </row>
    <row r="3" spans="1:5">
      <c r="A3" t="s">
        <v>208</v>
      </c>
      <c r="B3">
        <v>1</v>
      </c>
      <c r="C3">
        <v>2</v>
      </c>
      <c r="D3">
        <v>44.5</v>
      </c>
      <c r="E3">
        <v>4991</v>
      </c>
    </row>
    <row r="4" spans="1:5">
      <c r="A4" t="s">
        <v>127</v>
      </c>
      <c r="B4">
        <v>1</v>
      </c>
      <c r="C4">
        <v>3</v>
      </c>
      <c r="D4">
        <v>15.33</v>
      </c>
      <c r="E4">
        <v>2642</v>
      </c>
    </row>
    <row r="5" spans="1:5">
      <c r="A5" t="s">
        <v>92</v>
      </c>
      <c r="B5">
        <v>1</v>
      </c>
      <c r="C5">
        <v>3</v>
      </c>
      <c r="D5">
        <v>29.71</v>
      </c>
      <c r="E5">
        <v>3683.55</v>
      </c>
    </row>
    <row r="6" spans="1:5">
      <c r="A6" t="s">
        <v>147</v>
      </c>
      <c r="B6">
        <v>1</v>
      </c>
      <c r="C6">
        <v>2</v>
      </c>
      <c r="D6">
        <v>14.02</v>
      </c>
      <c r="E6">
        <v>3083.45</v>
      </c>
    </row>
    <row r="7" spans="1:5">
      <c r="A7" t="s">
        <v>106</v>
      </c>
      <c r="B7">
        <v>1</v>
      </c>
      <c r="C7">
        <v>1</v>
      </c>
      <c r="D7">
        <v>25.89</v>
      </c>
      <c r="E7">
        <v>258.89999999999998</v>
      </c>
    </row>
    <row r="8" spans="1:5">
      <c r="A8" t="s">
        <v>99</v>
      </c>
      <c r="B8">
        <v>1</v>
      </c>
      <c r="C8">
        <v>5</v>
      </c>
      <c r="D8">
        <v>44.68</v>
      </c>
      <c r="E8">
        <v>3301.85</v>
      </c>
    </row>
    <row r="9" spans="1:5">
      <c r="A9" t="s">
        <v>1548</v>
      </c>
      <c r="B9">
        <v>1</v>
      </c>
      <c r="C9">
        <v>2</v>
      </c>
      <c r="D9">
        <v>15</v>
      </c>
      <c r="E9">
        <v>2733</v>
      </c>
    </row>
    <row r="10" spans="1:5">
      <c r="A10" t="s">
        <v>175</v>
      </c>
      <c r="B10">
        <v>1</v>
      </c>
      <c r="C10">
        <v>3</v>
      </c>
      <c r="D10">
        <v>18.079999999999998</v>
      </c>
      <c r="E10">
        <v>2282.25</v>
      </c>
    </row>
    <row r="11" spans="1:5">
      <c r="A11" t="s">
        <v>16</v>
      </c>
      <c r="B11">
        <v>1</v>
      </c>
      <c r="C11">
        <v>3</v>
      </c>
      <c r="D11">
        <v>15.67</v>
      </c>
      <c r="E11">
        <v>1155</v>
      </c>
    </row>
    <row r="12" spans="1:5">
      <c r="A12" t="s">
        <v>160</v>
      </c>
      <c r="B12">
        <v>1</v>
      </c>
      <c r="C12">
        <v>2</v>
      </c>
      <c r="D12">
        <v>10.75</v>
      </c>
      <c r="E12">
        <v>1187.5</v>
      </c>
    </row>
    <row r="13" spans="1:5">
      <c r="A13" t="s">
        <v>70</v>
      </c>
      <c r="B13">
        <v>1</v>
      </c>
      <c r="C13">
        <v>4</v>
      </c>
      <c r="D13">
        <v>28.18</v>
      </c>
      <c r="E13">
        <v>3575</v>
      </c>
    </row>
    <row r="14" spans="1:5">
      <c r="A14" t="s">
        <v>62</v>
      </c>
      <c r="B14">
        <v>1</v>
      </c>
      <c r="C14">
        <v>5</v>
      </c>
      <c r="D14">
        <v>35.57</v>
      </c>
      <c r="E14">
        <v>4409.6499999999996</v>
      </c>
    </row>
    <row r="15" spans="1:5">
      <c r="A15" t="s">
        <v>203</v>
      </c>
      <c r="B15">
        <v>1</v>
      </c>
      <c r="C15">
        <v>1</v>
      </c>
      <c r="D15">
        <v>13.25</v>
      </c>
      <c r="E15">
        <v>821.5</v>
      </c>
    </row>
    <row r="16" spans="1:5">
      <c r="A16" t="s">
        <v>1143</v>
      </c>
      <c r="B16">
        <v>1</v>
      </c>
      <c r="C16">
        <v>2</v>
      </c>
      <c r="D16">
        <v>15.72</v>
      </c>
      <c r="E16">
        <v>2916.45</v>
      </c>
    </row>
    <row r="17" spans="1:5">
      <c r="A17" t="s">
        <v>24</v>
      </c>
      <c r="B17">
        <v>1</v>
      </c>
      <c r="C17">
        <v>4</v>
      </c>
      <c r="D17">
        <v>20.350000000000001</v>
      </c>
      <c r="E17">
        <v>2833.8</v>
      </c>
    </row>
    <row r="18" spans="1:5">
      <c r="A18" t="s">
        <v>56</v>
      </c>
      <c r="B18">
        <v>1</v>
      </c>
      <c r="C18">
        <v>3</v>
      </c>
      <c r="D18">
        <v>14.92</v>
      </c>
      <c r="E18">
        <v>1562.25</v>
      </c>
    </row>
    <row r="19" spans="1:5">
      <c r="A19" t="s">
        <v>48</v>
      </c>
      <c r="B19">
        <v>1</v>
      </c>
      <c r="C19">
        <v>2</v>
      </c>
      <c r="D19">
        <v>29.5</v>
      </c>
      <c r="E19">
        <v>3730</v>
      </c>
    </row>
    <row r="20" spans="1:5">
      <c r="A20" t="s">
        <v>139</v>
      </c>
      <c r="B20">
        <v>1</v>
      </c>
      <c r="C20">
        <v>2</v>
      </c>
      <c r="D20">
        <v>140.75</v>
      </c>
      <c r="E20">
        <v>5721.5</v>
      </c>
    </row>
    <row r="21" spans="1:5">
      <c r="A21" t="s">
        <v>112</v>
      </c>
      <c r="B21">
        <v>1</v>
      </c>
      <c r="C21">
        <v>3</v>
      </c>
      <c r="D21">
        <v>26.43</v>
      </c>
      <c r="E21">
        <v>775.2</v>
      </c>
    </row>
    <row r="22" spans="1:5">
      <c r="A22" t="s">
        <v>1150</v>
      </c>
      <c r="B22">
        <v>1</v>
      </c>
      <c r="C22">
        <v>1</v>
      </c>
      <c r="D22">
        <v>4.5</v>
      </c>
      <c r="E22">
        <v>90</v>
      </c>
    </row>
    <row r="23" spans="1:5">
      <c r="A23" t="s">
        <v>197</v>
      </c>
      <c r="B23">
        <v>1</v>
      </c>
      <c r="C23">
        <v>2</v>
      </c>
      <c r="D23">
        <v>28.75</v>
      </c>
      <c r="E23">
        <v>1500</v>
      </c>
    </row>
    <row r="24" spans="1:5">
      <c r="A24" t="s">
        <v>120</v>
      </c>
      <c r="B24">
        <v>1</v>
      </c>
      <c r="C24">
        <v>3</v>
      </c>
      <c r="D24">
        <v>20</v>
      </c>
      <c r="E24">
        <v>1775</v>
      </c>
    </row>
    <row r="25" spans="1:5">
      <c r="A25" t="s">
        <v>155</v>
      </c>
      <c r="B25">
        <v>1</v>
      </c>
      <c r="C25">
        <v>3</v>
      </c>
      <c r="D25">
        <v>26.48</v>
      </c>
      <c r="E25">
        <v>1671.15</v>
      </c>
    </row>
    <row r="26" spans="1:5">
      <c r="A26" t="s">
        <v>214</v>
      </c>
      <c r="B26">
        <v>1</v>
      </c>
      <c r="C26">
        <v>2</v>
      </c>
      <c r="D26">
        <v>38.9</v>
      </c>
      <c r="E26">
        <v>4058.6</v>
      </c>
    </row>
    <row r="27" spans="1:5">
      <c r="A27" t="s">
        <v>133</v>
      </c>
      <c r="B27">
        <v>1</v>
      </c>
      <c r="C27">
        <v>3</v>
      </c>
      <c r="D27">
        <v>20</v>
      </c>
      <c r="E27">
        <v>3929</v>
      </c>
    </row>
    <row r="28" spans="1:5">
      <c r="A28" t="s">
        <v>181</v>
      </c>
      <c r="B28">
        <v>1</v>
      </c>
      <c r="C28">
        <v>3</v>
      </c>
      <c r="D28">
        <v>30.93</v>
      </c>
      <c r="E28">
        <v>1326</v>
      </c>
    </row>
    <row r="29" spans="1:5">
      <c r="A29" t="s">
        <v>41</v>
      </c>
      <c r="B29">
        <v>1</v>
      </c>
      <c r="C29">
        <v>3</v>
      </c>
      <c r="D29">
        <v>46</v>
      </c>
      <c r="E29">
        <v>3814</v>
      </c>
    </row>
    <row r="30" spans="1:5">
      <c r="A30" t="s">
        <v>166</v>
      </c>
      <c r="B30">
        <v>1</v>
      </c>
      <c r="C30">
        <v>2</v>
      </c>
      <c r="D30">
        <v>11.12</v>
      </c>
      <c r="E30">
        <v>533.25</v>
      </c>
    </row>
  </sheetData>
  <pageMargins left="0.7" right="0.7" top="0.75" bottom="0.75" header="0.3" footer="0.3"/>
  <tableParts count="1">
    <tablePart r:id="rId1"/>
  </tableParts>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6FC9A-D5BE-EA4C-B89D-803B766B44CA}">
  <dimension ref="A1:K32"/>
  <sheetViews>
    <sheetView showGridLines="0" zoomScale="87" workbookViewId="0">
      <selection activeCell="L50" sqref="L50"/>
    </sheetView>
  </sheetViews>
  <sheetFormatPr baseColWidth="10" defaultRowHeight="13"/>
  <cols>
    <col min="2" max="2" width="18.6640625" bestFit="1" customWidth="1"/>
    <col min="3" max="3" width="15.83203125" bestFit="1" customWidth="1"/>
    <col min="4" max="5" width="10.83203125" bestFit="1" customWidth="1"/>
    <col min="6" max="6" width="13.33203125" bestFit="1" customWidth="1"/>
    <col min="7" max="7" width="13.5" bestFit="1" customWidth="1"/>
    <col min="8" max="8" width="11.33203125" bestFit="1" customWidth="1"/>
    <col min="9" max="9" width="9.1640625" bestFit="1" customWidth="1"/>
    <col min="10" max="10" width="10.1640625" bestFit="1" customWidth="1"/>
    <col min="11" max="11" width="11.1640625" bestFit="1" customWidth="1"/>
  </cols>
  <sheetData>
    <row r="1" spans="1:11" ht="22" thickBot="1">
      <c r="A1" s="19" t="s">
        <v>1614</v>
      </c>
      <c r="B1" s="20" t="s">
        <v>1599</v>
      </c>
      <c r="C1" s="21"/>
      <c r="D1" s="21"/>
      <c r="E1" s="21"/>
      <c r="F1" s="21"/>
      <c r="G1" s="21"/>
      <c r="H1" s="22"/>
    </row>
    <row r="3" spans="1:11">
      <c r="B3" s="12" t="s">
        <v>1624</v>
      </c>
      <c r="C3" s="12" t="s">
        <v>1627</v>
      </c>
    </row>
    <row r="4" spans="1:11">
      <c r="B4" s="12" t="s">
        <v>1637</v>
      </c>
      <c r="C4" t="s">
        <v>1115</v>
      </c>
      <c r="D4" t="s">
        <v>1117</v>
      </c>
      <c r="E4" t="s">
        <v>1119</v>
      </c>
      <c r="F4" t="s">
        <v>1121</v>
      </c>
      <c r="G4" t="s">
        <v>1123</v>
      </c>
      <c r="H4" t="s">
        <v>1125</v>
      </c>
      <c r="I4" t="s">
        <v>1127</v>
      </c>
      <c r="J4" t="s">
        <v>1129</v>
      </c>
      <c r="K4" t="s">
        <v>1184</v>
      </c>
    </row>
    <row r="5" spans="1:11">
      <c r="B5" s="13" t="s">
        <v>1525</v>
      </c>
      <c r="C5">
        <v>1057</v>
      </c>
      <c r="E5">
        <v>138</v>
      </c>
      <c r="H5">
        <v>95</v>
      </c>
      <c r="J5">
        <v>534</v>
      </c>
      <c r="K5">
        <v>1824</v>
      </c>
    </row>
    <row r="6" spans="1:11">
      <c r="B6" s="13" t="s">
        <v>1523</v>
      </c>
      <c r="C6">
        <v>7852</v>
      </c>
      <c r="D6">
        <v>5298</v>
      </c>
      <c r="E6">
        <v>7768</v>
      </c>
      <c r="F6">
        <v>4679</v>
      </c>
      <c r="G6">
        <v>4562</v>
      </c>
      <c r="H6">
        <v>3358</v>
      </c>
      <c r="I6">
        <v>2990</v>
      </c>
      <c r="J6">
        <v>7147</v>
      </c>
      <c r="K6">
        <v>43654</v>
      </c>
    </row>
    <row r="7" spans="1:11">
      <c r="B7" s="13" t="s">
        <v>1522</v>
      </c>
      <c r="C7">
        <v>623</v>
      </c>
      <c r="F7">
        <v>1496</v>
      </c>
      <c r="H7">
        <v>746</v>
      </c>
      <c r="K7">
        <v>2865</v>
      </c>
    </row>
    <row r="8" spans="1:11">
      <c r="B8" s="13" t="s">
        <v>1524</v>
      </c>
      <c r="F8">
        <v>2974</v>
      </c>
      <c r="K8">
        <v>2974</v>
      </c>
    </row>
    <row r="9" spans="1:11">
      <c r="B9" s="13" t="s">
        <v>1184</v>
      </c>
      <c r="C9">
        <v>9532</v>
      </c>
      <c r="D9">
        <v>5298</v>
      </c>
      <c r="E9">
        <v>7906</v>
      </c>
      <c r="F9">
        <v>9149</v>
      </c>
      <c r="G9">
        <v>4562</v>
      </c>
      <c r="H9">
        <v>4199</v>
      </c>
      <c r="I9">
        <v>2990</v>
      </c>
      <c r="J9">
        <v>7681</v>
      </c>
      <c r="K9">
        <v>51317</v>
      </c>
    </row>
    <row r="26" spans="2:11">
      <c r="B26" s="12" t="s">
        <v>1586</v>
      </c>
      <c r="C26" s="12" t="s">
        <v>1627</v>
      </c>
    </row>
    <row r="27" spans="2:11">
      <c r="B27" s="12" t="s">
        <v>1637</v>
      </c>
      <c r="C27" t="s">
        <v>1115</v>
      </c>
      <c r="D27" t="s">
        <v>1117</v>
      </c>
      <c r="E27" t="s">
        <v>1119</v>
      </c>
      <c r="F27" t="s">
        <v>1121</v>
      </c>
      <c r="G27" t="s">
        <v>1123</v>
      </c>
      <c r="H27" t="s">
        <v>1125</v>
      </c>
      <c r="I27" t="s">
        <v>1127</v>
      </c>
      <c r="J27" t="s">
        <v>1129</v>
      </c>
      <c r="K27" t="s">
        <v>1184</v>
      </c>
    </row>
    <row r="28" spans="2:11">
      <c r="B28" s="13" t="s">
        <v>1525</v>
      </c>
      <c r="C28">
        <v>16355.96</v>
      </c>
      <c r="E28">
        <v>1368.71</v>
      </c>
      <c r="H28">
        <v>7226.5</v>
      </c>
      <c r="J28">
        <v>5881.67</v>
      </c>
      <c r="K28">
        <v>30832.839999999997</v>
      </c>
    </row>
    <row r="29" spans="2:11">
      <c r="B29" s="13" t="s">
        <v>1523</v>
      </c>
      <c r="C29">
        <v>110115.48000000001</v>
      </c>
      <c r="D29">
        <v>106047.08000000002</v>
      </c>
      <c r="E29">
        <v>165988.52000000002</v>
      </c>
      <c r="F29">
        <v>101605.23000000001</v>
      </c>
      <c r="G29">
        <v>95744.59</v>
      </c>
      <c r="H29">
        <v>75427.19</v>
      </c>
      <c r="I29">
        <v>99984.580000000016</v>
      </c>
      <c r="J29">
        <v>125380.06</v>
      </c>
      <c r="K29">
        <v>880292.73000000021</v>
      </c>
    </row>
    <row r="30" spans="2:11">
      <c r="B30" s="13" t="s">
        <v>1522</v>
      </c>
      <c r="C30">
        <v>141396.73000000001</v>
      </c>
      <c r="F30">
        <v>71155.7</v>
      </c>
      <c r="H30">
        <v>80368.67</v>
      </c>
      <c r="K30">
        <v>292921.09999999998</v>
      </c>
    </row>
    <row r="31" spans="2:11">
      <c r="B31" s="13" t="s">
        <v>1524</v>
      </c>
      <c r="F31">
        <v>61746.36</v>
      </c>
      <c r="K31">
        <v>61746.36</v>
      </c>
    </row>
    <row r="32" spans="2:11">
      <c r="B32" s="13" t="s">
        <v>1184</v>
      </c>
      <c r="C32">
        <v>267868.17000000004</v>
      </c>
      <c r="D32">
        <v>106047.08000000002</v>
      </c>
      <c r="E32">
        <v>167357.23000000001</v>
      </c>
      <c r="F32">
        <v>234507.28999999998</v>
      </c>
      <c r="G32">
        <v>95744.59</v>
      </c>
      <c r="H32">
        <v>163022.35999999999</v>
      </c>
      <c r="I32">
        <v>99984.580000000016</v>
      </c>
      <c r="J32">
        <v>131261.73000000001</v>
      </c>
      <c r="K32">
        <v>1265793.0300000003</v>
      </c>
    </row>
  </sheetData>
  <pageMargins left="0.7" right="0.7" top="0.75" bottom="0.75" header="0.3" footer="0.3"/>
  <drawing r:id="rId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19304-556F-4DB4-BA54-36FB127660DB}">
  <dimension ref="A1:U93"/>
  <sheetViews>
    <sheetView showGridLines="0" workbookViewId="0">
      <selection activeCell="A79" sqref="A79"/>
    </sheetView>
  </sheetViews>
  <sheetFormatPr baseColWidth="10" defaultColWidth="8.83203125" defaultRowHeight="13"/>
  <cols>
    <col min="8" max="8" width="12.6640625" bestFit="1" customWidth="1"/>
    <col min="9" max="9" width="16.6640625" bestFit="1" customWidth="1"/>
    <col min="10" max="10" width="17.1640625" bestFit="1" customWidth="1"/>
    <col min="11" max="11" width="36" bestFit="1" customWidth="1"/>
    <col min="12" max="12" width="23" bestFit="1" customWidth="1"/>
    <col min="13" max="13" width="14.6640625" bestFit="1" customWidth="1"/>
    <col min="14" max="14" width="17.5" bestFit="1" customWidth="1"/>
    <col min="15" max="15" width="20" bestFit="1" customWidth="1"/>
    <col min="16" max="16" width="21.33203125" bestFit="1" customWidth="1"/>
    <col min="17" max="17" width="20.33203125" bestFit="1" customWidth="1"/>
    <col min="18" max="18" width="20.5" bestFit="1" customWidth="1"/>
    <col min="19" max="19" width="21" bestFit="1" customWidth="1"/>
    <col min="20" max="20" width="17.83203125" bestFit="1" customWidth="1"/>
    <col min="21" max="21" width="24" bestFit="1" customWidth="1"/>
  </cols>
  <sheetData>
    <row r="1" spans="1:21" ht="14" thickBot="1">
      <c r="A1" s="43" t="s">
        <v>1553</v>
      </c>
      <c r="B1" s="44"/>
      <c r="C1" s="44"/>
      <c r="D1" s="44"/>
      <c r="E1" s="44"/>
      <c r="F1" s="44"/>
      <c r="G1" s="44"/>
      <c r="H1" s="45"/>
    </row>
    <row r="2" spans="1:21" ht="16.5" customHeight="1">
      <c r="A2" s="46" t="s">
        <v>1554</v>
      </c>
      <c r="B2" s="47"/>
      <c r="C2" s="47"/>
      <c r="D2" s="47"/>
      <c r="E2" s="47"/>
      <c r="F2" s="47"/>
      <c r="G2" s="47"/>
      <c r="H2" s="48"/>
      <c r="J2" t="s">
        <v>0</v>
      </c>
      <c r="K2" t="s">
        <v>1528</v>
      </c>
      <c r="L2" t="s">
        <v>1529</v>
      </c>
      <c r="M2" t="s">
        <v>1530</v>
      </c>
      <c r="N2" t="s">
        <v>1531</v>
      </c>
      <c r="O2" t="s">
        <v>1532</v>
      </c>
      <c r="P2" t="s">
        <v>1533</v>
      </c>
      <c r="Q2" t="s">
        <v>1534</v>
      </c>
      <c r="R2" t="s">
        <v>1535</v>
      </c>
      <c r="S2" t="s">
        <v>1536</v>
      </c>
      <c r="T2" t="s">
        <v>1537</v>
      </c>
      <c r="U2" t="s">
        <v>1538</v>
      </c>
    </row>
    <row r="3" spans="1:21">
      <c r="A3" s="46"/>
      <c r="B3" s="47"/>
      <c r="C3" s="47"/>
      <c r="D3" s="47"/>
      <c r="E3" s="47"/>
      <c r="F3" s="47"/>
      <c r="G3" s="47"/>
      <c r="H3" s="48"/>
      <c r="J3">
        <v>7</v>
      </c>
      <c r="K3" t="s">
        <v>59</v>
      </c>
      <c r="L3" t="s">
        <v>64</v>
      </c>
      <c r="M3" t="s">
        <v>62</v>
      </c>
      <c r="N3" t="s">
        <v>63</v>
      </c>
      <c r="O3">
        <v>5</v>
      </c>
      <c r="P3">
        <v>5</v>
      </c>
      <c r="Q3">
        <v>35.57</v>
      </c>
      <c r="R3">
        <v>15</v>
      </c>
      <c r="S3">
        <v>62.5</v>
      </c>
      <c r="T3">
        <v>4409.6499999999996</v>
      </c>
      <c r="U3">
        <v>1</v>
      </c>
    </row>
    <row r="4" spans="1:21">
      <c r="A4" s="46"/>
      <c r="B4" s="47"/>
      <c r="C4" s="47"/>
      <c r="D4" s="47"/>
      <c r="E4" s="47"/>
      <c r="F4" s="47"/>
      <c r="G4" s="47"/>
      <c r="H4" s="48"/>
      <c r="J4">
        <v>24</v>
      </c>
      <c r="K4" t="s">
        <v>178</v>
      </c>
      <c r="L4" t="s">
        <v>64</v>
      </c>
      <c r="M4" t="s">
        <v>181</v>
      </c>
      <c r="N4" t="s">
        <v>182</v>
      </c>
      <c r="O4">
        <v>3</v>
      </c>
      <c r="P4">
        <v>3</v>
      </c>
      <c r="Q4">
        <v>30.93</v>
      </c>
      <c r="R4">
        <v>7</v>
      </c>
      <c r="S4">
        <v>53</v>
      </c>
      <c r="T4">
        <v>1326</v>
      </c>
      <c r="U4">
        <v>1</v>
      </c>
    </row>
    <row r="5" spans="1:21">
      <c r="A5" s="46"/>
      <c r="B5" s="47"/>
      <c r="C5" s="47"/>
      <c r="D5" s="47"/>
      <c r="E5" s="47"/>
      <c r="F5" s="47"/>
      <c r="G5" s="47"/>
      <c r="H5" s="48"/>
      <c r="J5">
        <v>10</v>
      </c>
      <c r="K5" t="s">
        <v>82</v>
      </c>
      <c r="L5" t="s">
        <v>86</v>
      </c>
      <c r="M5" t="s">
        <v>1150</v>
      </c>
      <c r="N5" t="s">
        <v>1539</v>
      </c>
      <c r="O5">
        <v>1</v>
      </c>
      <c r="P5">
        <v>1</v>
      </c>
      <c r="Q5">
        <v>4.5</v>
      </c>
      <c r="R5">
        <v>4.5</v>
      </c>
      <c r="S5">
        <v>4.5</v>
      </c>
      <c r="T5">
        <v>90</v>
      </c>
      <c r="U5">
        <v>1</v>
      </c>
    </row>
    <row r="6" spans="1:21">
      <c r="A6" s="46"/>
      <c r="B6" s="47"/>
      <c r="C6" s="47"/>
      <c r="D6" s="47"/>
      <c r="E6" s="47"/>
      <c r="F6" s="47"/>
      <c r="G6" s="47"/>
      <c r="H6" s="48"/>
      <c r="J6">
        <v>29</v>
      </c>
      <c r="K6" t="s">
        <v>1540</v>
      </c>
      <c r="L6" t="s">
        <v>192</v>
      </c>
      <c r="M6" t="s">
        <v>214</v>
      </c>
      <c r="N6" t="s">
        <v>1541</v>
      </c>
      <c r="O6">
        <v>2</v>
      </c>
      <c r="P6">
        <v>2</v>
      </c>
      <c r="Q6">
        <v>38.9</v>
      </c>
      <c r="R6">
        <v>28.5</v>
      </c>
      <c r="S6">
        <v>49.3</v>
      </c>
      <c r="T6">
        <v>4058.6</v>
      </c>
      <c r="U6">
        <v>0</v>
      </c>
    </row>
    <row r="7" spans="1:21">
      <c r="A7" s="46"/>
      <c r="B7" s="47"/>
      <c r="C7" s="47"/>
      <c r="D7" s="47"/>
      <c r="E7" s="47"/>
      <c r="F7" s="47"/>
      <c r="G7" s="47"/>
      <c r="H7" s="48"/>
      <c r="J7">
        <v>25</v>
      </c>
      <c r="K7" t="s">
        <v>186</v>
      </c>
      <c r="L7" t="s">
        <v>192</v>
      </c>
      <c r="M7" t="s">
        <v>1143</v>
      </c>
      <c r="N7" t="s">
        <v>1541</v>
      </c>
      <c r="O7">
        <v>2</v>
      </c>
      <c r="P7">
        <v>1</v>
      </c>
      <c r="Q7">
        <v>15.72</v>
      </c>
      <c r="R7">
        <v>7.45</v>
      </c>
      <c r="S7">
        <v>24</v>
      </c>
      <c r="T7">
        <v>2916.45</v>
      </c>
      <c r="U7">
        <v>0</v>
      </c>
    </row>
    <row r="8" spans="1:21">
      <c r="A8" s="46"/>
      <c r="B8" s="47"/>
      <c r="C8" s="47"/>
      <c r="D8" s="47"/>
      <c r="E8" s="47"/>
      <c r="F8" s="47"/>
      <c r="G8" s="47"/>
      <c r="H8" s="48"/>
      <c r="J8">
        <v>21</v>
      </c>
      <c r="K8" t="s">
        <v>157</v>
      </c>
      <c r="L8" t="s">
        <v>161</v>
      </c>
      <c r="M8" t="s">
        <v>160</v>
      </c>
      <c r="N8" t="s">
        <v>1539</v>
      </c>
      <c r="O8">
        <v>2</v>
      </c>
      <c r="P8">
        <v>1</v>
      </c>
      <c r="Q8">
        <v>10.75</v>
      </c>
      <c r="R8">
        <v>9.5</v>
      </c>
      <c r="S8">
        <v>12</v>
      </c>
      <c r="T8">
        <v>1187.5</v>
      </c>
      <c r="U8">
        <v>0</v>
      </c>
    </row>
    <row r="9" spans="1:21">
      <c r="A9" s="46"/>
      <c r="B9" s="47"/>
      <c r="C9" s="47"/>
      <c r="D9" s="47"/>
      <c r="E9" s="47"/>
      <c r="F9" s="47"/>
      <c r="G9" s="47"/>
      <c r="H9" s="48"/>
      <c r="J9">
        <v>23</v>
      </c>
      <c r="K9" t="s">
        <v>171</v>
      </c>
      <c r="L9" t="s">
        <v>176</v>
      </c>
      <c r="M9" t="s">
        <v>175</v>
      </c>
      <c r="N9" t="s">
        <v>1539</v>
      </c>
      <c r="O9">
        <v>3</v>
      </c>
      <c r="P9">
        <v>2</v>
      </c>
      <c r="Q9">
        <v>18.079999999999998</v>
      </c>
      <c r="R9">
        <v>16.25</v>
      </c>
      <c r="S9">
        <v>20</v>
      </c>
      <c r="T9">
        <v>2282.25</v>
      </c>
      <c r="U9">
        <v>0</v>
      </c>
    </row>
    <row r="10" spans="1:21">
      <c r="A10" s="46"/>
      <c r="B10" s="47"/>
      <c r="C10" s="47"/>
      <c r="D10" s="47"/>
      <c r="E10" s="47"/>
      <c r="F10" s="47"/>
      <c r="G10" s="47"/>
      <c r="H10" s="48"/>
      <c r="J10">
        <v>18</v>
      </c>
      <c r="K10" t="s">
        <v>1542</v>
      </c>
      <c r="L10" t="s">
        <v>140</v>
      </c>
      <c r="M10" t="s">
        <v>139</v>
      </c>
      <c r="N10" t="s">
        <v>1539</v>
      </c>
      <c r="O10">
        <v>2</v>
      </c>
      <c r="P10">
        <v>1</v>
      </c>
      <c r="Q10">
        <v>140.75</v>
      </c>
      <c r="R10">
        <v>18</v>
      </c>
      <c r="S10">
        <v>263.5</v>
      </c>
      <c r="T10">
        <v>5721.5</v>
      </c>
      <c r="U10">
        <v>0</v>
      </c>
    </row>
    <row r="11" spans="1:21">
      <c r="A11" s="46"/>
      <c r="B11" s="47"/>
      <c r="C11" s="47"/>
      <c r="D11" s="47"/>
      <c r="E11" s="47"/>
      <c r="F11" s="47"/>
      <c r="G11" s="47"/>
      <c r="H11" s="48"/>
      <c r="J11">
        <v>28</v>
      </c>
      <c r="K11" t="s">
        <v>1543</v>
      </c>
      <c r="L11" t="s">
        <v>140</v>
      </c>
      <c r="M11" t="s">
        <v>208</v>
      </c>
      <c r="N11" t="s">
        <v>1539</v>
      </c>
      <c r="O11">
        <v>2</v>
      </c>
      <c r="P11">
        <v>1</v>
      </c>
      <c r="Q11">
        <v>44.5</v>
      </c>
      <c r="R11">
        <v>34</v>
      </c>
      <c r="S11">
        <v>55</v>
      </c>
      <c r="T11">
        <v>4991</v>
      </c>
      <c r="U11">
        <v>0</v>
      </c>
    </row>
    <row r="12" spans="1:21">
      <c r="A12" s="46"/>
      <c r="B12" s="47"/>
      <c r="C12" s="47"/>
      <c r="D12" s="47"/>
      <c r="E12" s="47"/>
      <c r="F12" s="47"/>
      <c r="G12" s="47"/>
      <c r="H12" s="48"/>
      <c r="J12">
        <v>27</v>
      </c>
      <c r="K12" t="s">
        <v>200</v>
      </c>
      <c r="L12" t="s">
        <v>140</v>
      </c>
      <c r="M12" t="s">
        <v>203</v>
      </c>
      <c r="N12" t="s">
        <v>1539</v>
      </c>
      <c r="O12">
        <v>1</v>
      </c>
      <c r="P12">
        <v>1</v>
      </c>
      <c r="Q12">
        <v>13.25</v>
      </c>
      <c r="R12">
        <v>13.25</v>
      </c>
      <c r="S12">
        <v>13.25</v>
      </c>
      <c r="T12">
        <v>821.5</v>
      </c>
      <c r="U12">
        <v>0</v>
      </c>
    </row>
    <row r="13" spans="1:21">
      <c r="A13" s="46"/>
      <c r="B13" s="47"/>
      <c r="C13" s="47"/>
      <c r="D13" s="47"/>
      <c r="E13" s="47"/>
      <c r="F13" s="47"/>
      <c r="G13" s="47"/>
      <c r="H13" s="48"/>
      <c r="J13">
        <v>12</v>
      </c>
      <c r="K13" t="s">
        <v>1544</v>
      </c>
      <c r="L13" t="s">
        <v>93</v>
      </c>
      <c r="M13" t="s">
        <v>99</v>
      </c>
      <c r="N13" t="s">
        <v>1539</v>
      </c>
      <c r="O13">
        <v>5</v>
      </c>
      <c r="P13">
        <v>5</v>
      </c>
      <c r="Q13">
        <v>44.68</v>
      </c>
      <c r="R13">
        <v>7.75</v>
      </c>
      <c r="S13">
        <v>123.79</v>
      </c>
      <c r="T13">
        <v>3301.85</v>
      </c>
      <c r="U13">
        <v>2</v>
      </c>
    </row>
    <row r="14" spans="1:21">
      <c r="A14" s="46"/>
      <c r="B14" s="47"/>
      <c r="C14" s="47"/>
      <c r="D14" s="47"/>
      <c r="E14" s="47"/>
      <c r="F14" s="47"/>
      <c r="G14" s="47"/>
      <c r="H14" s="48"/>
      <c r="J14">
        <v>11</v>
      </c>
      <c r="K14" t="s">
        <v>1545</v>
      </c>
      <c r="L14" t="s">
        <v>93</v>
      </c>
      <c r="M14" t="s">
        <v>92</v>
      </c>
      <c r="N14" t="s">
        <v>1539</v>
      </c>
      <c r="O14">
        <v>3</v>
      </c>
      <c r="P14">
        <v>1</v>
      </c>
      <c r="Q14">
        <v>29.71</v>
      </c>
      <c r="R14">
        <v>14</v>
      </c>
      <c r="S14">
        <v>43.9</v>
      </c>
      <c r="T14">
        <v>3683.55</v>
      </c>
      <c r="U14">
        <v>0</v>
      </c>
    </row>
    <row r="15" spans="1:21">
      <c r="A15" s="46"/>
      <c r="B15" s="47"/>
      <c r="C15" s="47"/>
      <c r="D15" s="47"/>
      <c r="E15" s="47"/>
      <c r="F15" s="47"/>
      <c r="G15" s="47"/>
      <c r="H15" s="48"/>
      <c r="J15">
        <v>13</v>
      </c>
      <c r="K15" t="s">
        <v>102</v>
      </c>
      <c r="L15" t="s">
        <v>93</v>
      </c>
      <c r="M15" t="s">
        <v>106</v>
      </c>
      <c r="N15" t="s">
        <v>1539</v>
      </c>
      <c r="O15">
        <v>1</v>
      </c>
      <c r="P15">
        <v>1</v>
      </c>
      <c r="Q15">
        <v>25.89</v>
      </c>
      <c r="R15">
        <v>25.89</v>
      </c>
      <c r="S15">
        <v>25.89</v>
      </c>
      <c r="T15">
        <v>258.89999999999998</v>
      </c>
      <c r="U15">
        <v>0</v>
      </c>
    </row>
    <row r="16" spans="1:21">
      <c r="A16" s="46"/>
      <c r="B16" s="47"/>
      <c r="C16" s="47"/>
      <c r="D16" s="47"/>
      <c r="E16" s="47"/>
      <c r="F16" s="47"/>
      <c r="G16" s="47"/>
      <c r="H16" s="48"/>
      <c r="J16">
        <v>26</v>
      </c>
      <c r="K16" t="s">
        <v>194</v>
      </c>
      <c r="L16" t="s">
        <v>113</v>
      </c>
      <c r="M16" t="s">
        <v>197</v>
      </c>
      <c r="N16" t="s">
        <v>1539</v>
      </c>
      <c r="O16">
        <v>2</v>
      </c>
      <c r="P16">
        <v>1</v>
      </c>
      <c r="Q16">
        <v>28.75</v>
      </c>
      <c r="R16">
        <v>19.5</v>
      </c>
      <c r="S16">
        <v>38</v>
      </c>
      <c r="T16">
        <v>1500</v>
      </c>
      <c r="U16">
        <v>0</v>
      </c>
    </row>
    <row r="17" spans="1:21">
      <c r="A17" s="46"/>
      <c r="B17" s="47"/>
      <c r="C17" s="47"/>
      <c r="D17" s="47"/>
      <c r="E17" s="47"/>
      <c r="F17" s="47"/>
      <c r="G17" s="47"/>
      <c r="H17" s="48"/>
      <c r="J17">
        <v>14</v>
      </c>
      <c r="K17" t="s">
        <v>109</v>
      </c>
      <c r="L17" t="s">
        <v>113</v>
      </c>
      <c r="M17" t="s">
        <v>112</v>
      </c>
      <c r="N17" t="s">
        <v>1539</v>
      </c>
      <c r="O17">
        <v>3</v>
      </c>
      <c r="P17">
        <v>1</v>
      </c>
      <c r="Q17">
        <v>26.43</v>
      </c>
      <c r="R17">
        <v>12.5</v>
      </c>
      <c r="S17">
        <v>34.799999999999997</v>
      </c>
      <c r="T17">
        <v>775.2</v>
      </c>
      <c r="U17">
        <v>0</v>
      </c>
    </row>
    <row r="18" spans="1:21">
      <c r="A18" s="46"/>
      <c r="B18" s="47"/>
      <c r="C18" s="47"/>
      <c r="D18" s="47"/>
      <c r="E18" s="47"/>
      <c r="F18" s="47"/>
      <c r="G18" s="47"/>
      <c r="H18" s="48"/>
      <c r="J18">
        <v>4</v>
      </c>
      <c r="K18" t="s">
        <v>37</v>
      </c>
      <c r="L18" t="s">
        <v>42</v>
      </c>
      <c r="M18" t="s">
        <v>41</v>
      </c>
      <c r="N18" t="s">
        <v>1539</v>
      </c>
      <c r="O18">
        <v>3</v>
      </c>
      <c r="P18">
        <v>3</v>
      </c>
      <c r="Q18">
        <v>46</v>
      </c>
      <c r="R18">
        <v>10</v>
      </c>
      <c r="S18">
        <v>97</v>
      </c>
      <c r="T18">
        <v>3814</v>
      </c>
      <c r="U18">
        <v>1</v>
      </c>
    </row>
    <row r="19" spans="1:21">
      <c r="A19" s="46"/>
      <c r="B19" s="47"/>
      <c r="C19" s="47"/>
      <c r="D19" s="47"/>
      <c r="E19" s="47"/>
      <c r="F19" s="47"/>
      <c r="G19" s="47"/>
      <c r="H19" s="48"/>
      <c r="J19">
        <v>6</v>
      </c>
      <c r="K19" t="s">
        <v>52</v>
      </c>
      <c r="L19" t="s">
        <v>42</v>
      </c>
      <c r="M19" t="s">
        <v>56</v>
      </c>
      <c r="N19" t="s">
        <v>1539</v>
      </c>
      <c r="O19">
        <v>3</v>
      </c>
      <c r="P19">
        <v>3</v>
      </c>
      <c r="Q19">
        <v>14.92</v>
      </c>
      <c r="R19">
        <v>6</v>
      </c>
      <c r="S19">
        <v>23.25</v>
      </c>
      <c r="T19">
        <v>1562.25</v>
      </c>
      <c r="U19">
        <v>0</v>
      </c>
    </row>
    <row r="20" spans="1:21">
      <c r="A20" s="46"/>
      <c r="B20" s="47"/>
      <c r="C20" s="47"/>
      <c r="D20" s="47"/>
      <c r="E20" s="47"/>
      <c r="F20" s="47"/>
      <c r="G20" s="47"/>
      <c r="H20" s="48"/>
      <c r="J20">
        <v>22</v>
      </c>
      <c r="K20" t="s">
        <v>162</v>
      </c>
      <c r="L20" t="s">
        <v>168</v>
      </c>
      <c r="M20" t="s">
        <v>166</v>
      </c>
      <c r="N20" t="s">
        <v>1539</v>
      </c>
      <c r="O20">
        <v>2</v>
      </c>
      <c r="P20">
        <v>1</v>
      </c>
      <c r="Q20">
        <v>11.12</v>
      </c>
      <c r="R20">
        <v>9.5</v>
      </c>
      <c r="S20">
        <v>12.75</v>
      </c>
      <c r="T20">
        <v>533.25</v>
      </c>
      <c r="U20">
        <v>0</v>
      </c>
    </row>
    <row r="21" spans="1:21">
      <c r="A21" s="46"/>
      <c r="B21" s="47"/>
      <c r="C21" s="47"/>
      <c r="D21" s="47"/>
      <c r="E21" s="47"/>
      <c r="F21" s="47"/>
      <c r="G21" s="47"/>
      <c r="H21" s="48"/>
      <c r="J21">
        <v>15</v>
      </c>
      <c r="K21" t="s">
        <v>117</v>
      </c>
      <c r="L21" t="s">
        <v>121</v>
      </c>
      <c r="M21" t="s">
        <v>120</v>
      </c>
      <c r="N21" t="s">
        <v>1539</v>
      </c>
      <c r="O21">
        <v>3</v>
      </c>
      <c r="P21">
        <v>1</v>
      </c>
      <c r="Q21">
        <v>20</v>
      </c>
      <c r="R21">
        <v>2.5</v>
      </c>
      <c r="S21">
        <v>36</v>
      </c>
      <c r="T21">
        <v>1775</v>
      </c>
      <c r="U21">
        <v>0</v>
      </c>
    </row>
    <row r="22" spans="1:21" ht="14" thickBot="1">
      <c r="A22" s="49"/>
      <c r="B22" s="50"/>
      <c r="C22" s="50"/>
      <c r="D22" s="50"/>
      <c r="E22" s="50"/>
      <c r="F22" s="50"/>
      <c r="G22" s="50"/>
      <c r="H22" s="51"/>
      <c r="J22">
        <v>20</v>
      </c>
      <c r="K22" t="s">
        <v>151</v>
      </c>
      <c r="L22" t="s">
        <v>155</v>
      </c>
      <c r="M22" t="s">
        <v>155</v>
      </c>
      <c r="N22" t="s">
        <v>1539</v>
      </c>
      <c r="O22">
        <v>3</v>
      </c>
      <c r="P22">
        <v>3</v>
      </c>
      <c r="Q22">
        <v>26.48</v>
      </c>
      <c r="R22">
        <v>14</v>
      </c>
      <c r="S22">
        <v>46</v>
      </c>
      <c r="T22">
        <v>1671.15</v>
      </c>
      <c r="U22">
        <v>1</v>
      </c>
    </row>
    <row r="23" spans="1:21">
      <c r="J23">
        <v>5</v>
      </c>
      <c r="K23" t="s">
        <v>44</v>
      </c>
      <c r="L23" t="s">
        <v>50</v>
      </c>
      <c r="M23" t="s">
        <v>48</v>
      </c>
      <c r="N23" t="s">
        <v>49</v>
      </c>
      <c r="O23">
        <v>2</v>
      </c>
      <c r="P23">
        <v>1</v>
      </c>
      <c r="Q23">
        <v>29.5</v>
      </c>
      <c r="R23">
        <v>21</v>
      </c>
      <c r="S23">
        <v>38</v>
      </c>
      <c r="T23">
        <v>3730</v>
      </c>
      <c r="U23">
        <v>0</v>
      </c>
    </row>
    <row r="24" spans="1:21">
      <c r="J24">
        <v>17</v>
      </c>
      <c r="K24" t="s">
        <v>1546</v>
      </c>
      <c r="L24" t="s">
        <v>79</v>
      </c>
      <c r="M24" t="s">
        <v>133</v>
      </c>
      <c r="N24" t="s">
        <v>1539</v>
      </c>
      <c r="O24">
        <v>3</v>
      </c>
      <c r="P24">
        <v>1</v>
      </c>
      <c r="Q24">
        <v>20</v>
      </c>
      <c r="R24">
        <v>15</v>
      </c>
      <c r="S24">
        <v>26</v>
      </c>
      <c r="T24">
        <v>3929</v>
      </c>
      <c r="U24">
        <v>0</v>
      </c>
    </row>
    <row r="25" spans="1:21">
      <c r="J25">
        <v>9</v>
      </c>
      <c r="K25" t="s">
        <v>1547</v>
      </c>
      <c r="L25" t="s">
        <v>79</v>
      </c>
      <c r="M25" t="s">
        <v>1548</v>
      </c>
      <c r="N25" t="s">
        <v>1539</v>
      </c>
      <c r="O25">
        <v>2</v>
      </c>
      <c r="P25">
        <v>1</v>
      </c>
      <c r="Q25">
        <v>15</v>
      </c>
      <c r="R25">
        <v>9</v>
      </c>
      <c r="S25">
        <v>21</v>
      </c>
      <c r="T25">
        <v>2733</v>
      </c>
      <c r="U25">
        <v>0</v>
      </c>
    </row>
    <row r="26" spans="1:21">
      <c r="J26">
        <v>8</v>
      </c>
      <c r="K26" t="s">
        <v>67</v>
      </c>
      <c r="L26" t="s">
        <v>18</v>
      </c>
      <c r="M26" t="s">
        <v>70</v>
      </c>
      <c r="N26" t="s">
        <v>1539</v>
      </c>
      <c r="O26">
        <v>4</v>
      </c>
      <c r="P26">
        <v>1</v>
      </c>
      <c r="Q26">
        <v>28.18</v>
      </c>
      <c r="R26">
        <v>9.1999999999999993</v>
      </c>
      <c r="S26">
        <v>81</v>
      </c>
      <c r="T26">
        <v>3575</v>
      </c>
      <c r="U26">
        <v>0</v>
      </c>
    </row>
    <row r="27" spans="1:21">
      <c r="J27">
        <v>1</v>
      </c>
      <c r="K27" t="s">
        <v>12</v>
      </c>
      <c r="L27" t="s">
        <v>18</v>
      </c>
      <c r="M27" t="s">
        <v>16</v>
      </c>
      <c r="N27" t="s">
        <v>1539</v>
      </c>
      <c r="O27">
        <v>3</v>
      </c>
      <c r="P27">
        <v>2</v>
      </c>
      <c r="Q27">
        <v>15.67</v>
      </c>
      <c r="R27">
        <v>10</v>
      </c>
      <c r="S27">
        <v>19</v>
      </c>
      <c r="T27">
        <v>1155</v>
      </c>
      <c r="U27">
        <v>0</v>
      </c>
    </row>
    <row r="28" spans="1:21">
      <c r="J28">
        <v>3</v>
      </c>
      <c r="K28" t="s">
        <v>29</v>
      </c>
      <c r="L28" t="s">
        <v>26</v>
      </c>
      <c r="M28" t="s">
        <v>33</v>
      </c>
      <c r="N28" t="s">
        <v>34</v>
      </c>
      <c r="O28">
        <v>3</v>
      </c>
      <c r="P28">
        <v>2</v>
      </c>
      <c r="Q28">
        <v>31.67</v>
      </c>
      <c r="R28">
        <v>25</v>
      </c>
      <c r="S28">
        <v>40</v>
      </c>
      <c r="T28">
        <v>3690</v>
      </c>
      <c r="U28">
        <v>0</v>
      </c>
    </row>
    <row r="29" spans="1:21">
      <c r="J29">
        <v>2</v>
      </c>
      <c r="K29" t="s">
        <v>20</v>
      </c>
      <c r="L29" t="s">
        <v>26</v>
      </c>
      <c r="M29" t="s">
        <v>24</v>
      </c>
      <c r="N29" t="s">
        <v>25</v>
      </c>
      <c r="O29">
        <v>4</v>
      </c>
      <c r="P29">
        <v>1</v>
      </c>
      <c r="Q29">
        <v>20.350000000000001</v>
      </c>
      <c r="R29">
        <v>17</v>
      </c>
      <c r="S29">
        <v>22</v>
      </c>
      <c r="T29">
        <v>2833.8</v>
      </c>
      <c r="U29">
        <v>1</v>
      </c>
    </row>
    <row r="30" spans="1:21">
      <c r="J30">
        <v>16</v>
      </c>
      <c r="K30" t="s">
        <v>123</v>
      </c>
      <c r="L30" t="s">
        <v>26</v>
      </c>
      <c r="M30" t="s">
        <v>127</v>
      </c>
      <c r="N30" t="s">
        <v>128</v>
      </c>
      <c r="O30">
        <v>3</v>
      </c>
      <c r="P30">
        <v>1</v>
      </c>
      <c r="Q30">
        <v>15.33</v>
      </c>
      <c r="R30">
        <v>14</v>
      </c>
      <c r="S30">
        <v>18</v>
      </c>
      <c r="T30">
        <v>2642</v>
      </c>
      <c r="U30">
        <v>0</v>
      </c>
    </row>
    <row r="31" spans="1:21">
      <c r="J31">
        <v>19</v>
      </c>
      <c r="K31" t="s">
        <v>143</v>
      </c>
      <c r="L31" t="s">
        <v>26</v>
      </c>
      <c r="M31" t="s">
        <v>147</v>
      </c>
      <c r="N31" t="s">
        <v>148</v>
      </c>
      <c r="O31">
        <v>2</v>
      </c>
      <c r="P31">
        <v>1</v>
      </c>
      <c r="Q31">
        <v>14.02</v>
      </c>
      <c r="R31">
        <v>9.65</v>
      </c>
      <c r="S31">
        <v>18.399999999999999</v>
      </c>
      <c r="T31">
        <v>3083.45</v>
      </c>
      <c r="U31">
        <v>0</v>
      </c>
    </row>
    <row r="33" spans="1:12" ht="14" thickBot="1"/>
    <row r="34" spans="1:12" ht="14" thickBot="1">
      <c r="A34" s="43" t="s">
        <v>1555</v>
      </c>
      <c r="B34" s="44"/>
      <c r="C34" s="44"/>
      <c r="D34" s="44"/>
      <c r="E34" s="44"/>
      <c r="F34" s="45"/>
    </row>
    <row r="35" spans="1:12" ht="15.75" customHeight="1">
      <c r="A35" s="46" t="s">
        <v>1556</v>
      </c>
      <c r="B35" s="47"/>
      <c r="C35" s="47"/>
      <c r="D35" s="47"/>
      <c r="E35" s="47"/>
      <c r="F35" s="48"/>
      <c r="H35" t="s">
        <v>8</v>
      </c>
      <c r="I35" t="s">
        <v>1549</v>
      </c>
      <c r="J35" t="s">
        <v>1550</v>
      </c>
      <c r="K35" t="s">
        <v>1551</v>
      </c>
      <c r="L35" t="s">
        <v>1552</v>
      </c>
    </row>
    <row r="36" spans="1:12">
      <c r="A36" s="46"/>
      <c r="B36" s="47"/>
      <c r="C36" s="47"/>
      <c r="D36" s="47"/>
      <c r="E36" s="47"/>
      <c r="F36" s="48"/>
      <c r="H36" t="s">
        <v>26</v>
      </c>
      <c r="I36">
        <v>4</v>
      </c>
      <c r="J36">
        <v>12</v>
      </c>
      <c r="K36">
        <v>20.87</v>
      </c>
      <c r="L36">
        <v>12249.25</v>
      </c>
    </row>
    <row r="37" spans="1:12">
      <c r="A37" s="46"/>
      <c r="B37" s="47"/>
      <c r="C37" s="47"/>
      <c r="D37" s="47"/>
      <c r="E37" s="47"/>
      <c r="F37" s="48"/>
      <c r="H37" t="s">
        <v>140</v>
      </c>
      <c r="I37">
        <v>3</v>
      </c>
      <c r="J37">
        <v>5</v>
      </c>
      <c r="K37">
        <v>76.75</v>
      </c>
      <c r="L37">
        <v>11534</v>
      </c>
    </row>
    <row r="38" spans="1:12">
      <c r="A38" s="46"/>
      <c r="B38" s="47"/>
      <c r="C38" s="47"/>
      <c r="D38" s="47"/>
      <c r="E38" s="47"/>
      <c r="F38" s="48"/>
      <c r="H38" t="s">
        <v>93</v>
      </c>
      <c r="I38">
        <v>3</v>
      </c>
      <c r="J38">
        <v>9</v>
      </c>
      <c r="K38">
        <v>37.6</v>
      </c>
      <c r="L38">
        <v>7244.3</v>
      </c>
    </row>
    <row r="39" spans="1:12">
      <c r="A39" s="46"/>
      <c r="B39" s="47"/>
      <c r="C39" s="47"/>
      <c r="D39" s="47"/>
      <c r="E39" s="47"/>
      <c r="F39" s="48"/>
      <c r="H39" t="s">
        <v>64</v>
      </c>
      <c r="I39">
        <v>2</v>
      </c>
      <c r="J39">
        <v>8</v>
      </c>
      <c r="K39">
        <v>33.83</v>
      </c>
      <c r="L39">
        <v>5735.65</v>
      </c>
    </row>
    <row r="40" spans="1:12">
      <c r="A40" s="46"/>
      <c r="B40" s="47"/>
      <c r="C40" s="47"/>
      <c r="D40" s="47"/>
      <c r="E40" s="47"/>
      <c r="F40" s="48"/>
      <c r="H40" t="s">
        <v>192</v>
      </c>
      <c r="I40">
        <v>2</v>
      </c>
      <c r="J40">
        <v>4</v>
      </c>
      <c r="K40">
        <v>27.31</v>
      </c>
      <c r="L40">
        <v>6975.05</v>
      </c>
    </row>
    <row r="41" spans="1:12">
      <c r="A41" s="46"/>
      <c r="B41" s="47"/>
      <c r="C41" s="47"/>
      <c r="D41" s="47"/>
      <c r="E41" s="47"/>
      <c r="F41" s="48"/>
      <c r="H41" t="s">
        <v>113</v>
      </c>
      <c r="I41">
        <v>2</v>
      </c>
      <c r="J41">
        <v>5</v>
      </c>
      <c r="K41">
        <v>27.36</v>
      </c>
      <c r="L41">
        <v>2275.1999999999998</v>
      </c>
    </row>
    <row r="42" spans="1:12">
      <c r="A42" s="46"/>
      <c r="B42" s="47"/>
      <c r="C42" s="47"/>
      <c r="D42" s="47"/>
      <c r="E42" s="47"/>
      <c r="F42" s="48"/>
      <c r="H42" t="s">
        <v>42</v>
      </c>
      <c r="I42">
        <v>2</v>
      </c>
      <c r="J42">
        <v>6</v>
      </c>
      <c r="K42">
        <v>30.46</v>
      </c>
      <c r="L42">
        <v>5376.25</v>
      </c>
    </row>
    <row r="43" spans="1:12">
      <c r="A43" s="46"/>
      <c r="B43" s="47"/>
      <c r="C43" s="47"/>
      <c r="D43" s="47"/>
      <c r="E43" s="47"/>
      <c r="F43" s="48"/>
      <c r="H43" t="s">
        <v>79</v>
      </c>
      <c r="I43">
        <v>2</v>
      </c>
      <c r="J43">
        <v>5</v>
      </c>
      <c r="K43">
        <v>18</v>
      </c>
      <c r="L43">
        <v>6662</v>
      </c>
    </row>
    <row r="44" spans="1:12">
      <c r="A44" s="46"/>
      <c r="B44" s="47"/>
      <c r="C44" s="47"/>
      <c r="D44" s="47"/>
      <c r="E44" s="47"/>
      <c r="F44" s="48"/>
      <c r="H44" t="s">
        <v>18</v>
      </c>
      <c r="I44">
        <v>2</v>
      </c>
      <c r="J44">
        <v>7</v>
      </c>
      <c r="K44">
        <v>22.81</v>
      </c>
      <c r="L44">
        <v>4730</v>
      </c>
    </row>
    <row r="45" spans="1:12">
      <c r="A45" s="46"/>
      <c r="B45" s="47"/>
      <c r="C45" s="47"/>
      <c r="D45" s="47"/>
      <c r="E45" s="47"/>
      <c r="F45" s="48"/>
      <c r="H45" t="s">
        <v>86</v>
      </c>
      <c r="I45">
        <v>1</v>
      </c>
      <c r="J45">
        <v>1</v>
      </c>
      <c r="K45">
        <v>4.5</v>
      </c>
      <c r="L45">
        <v>90</v>
      </c>
    </row>
    <row r="46" spans="1:12">
      <c r="A46" s="46"/>
      <c r="B46" s="47"/>
      <c r="C46" s="47"/>
      <c r="D46" s="47"/>
      <c r="E46" s="47"/>
      <c r="F46" s="48"/>
      <c r="H46" t="s">
        <v>161</v>
      </c>
      <c r="I46">
        <v>1</v>
      </c>
      <c r="J46">
        <v>2</v>
      </c>
      <c r="K46">
        <v>10.75</v>
      </c>
      <c r="L46">
        <v>1187.5</v>
      </c>
    </row>
    <row r="47" spans="1:12">
      <c r="A47" s="46"/>
      <c r="B47" s="47"/>
      <c r="C47" s="47"/>
      <c r="D47" s="47"/>
      <c r="E47" s="47"/>
      <c r="F47" s="48"/>
      <c r="H47" t="s">
        <v>176</v>
      </c>
      <c r="I47">
        <v>1</v>
      </c>
      <c r="J47">
        <v>3</v>
      </c>
      <c r="K47">
        <v>18.079999999999998</v>
      </c>
      <c r="L47">
        <v>2282.25</v>
      </c>
    </row>
    <row r="48" spans="1:12">
      <c r="A48" s="46"/>
      <c r="B48" s="47"/>
      <c r="C48" s="47"/>
      <c r="D48" s="47"/>
      <c r="E48" s="47"/>
      <c r="F48" s="48"/>
      <c r="H48" t="s">
        <v>168</v>
      </c>
      <c r="I48">
        <v>1</v>
      </c>
      <c r="J48">
        <v>2</v>
      </c>
      <c r="K48">
        <v>11.12</v>
      </c>
      <c r="L48">
        <v>533.25</v>
      </c>
    </row>
    <row r="49" spans="1:12">
      <c r="A49" s="46"/>
      <c r="B49" s="47"/>
      <c r="C49" s="47"/>
      <c r="D49" s="47"/>
      <c r="E49" s="47"/>
      <c r="F49" s="48"/>
      <c r="H49" t="s">
        <v>121</v>
      </c>
      <c r="I49">
        <v>1</v>
      </c>
      <c r="J49">
        <v>3</v>
      </c>
      <c r="K49">
        <v>20</v>
      </c>
      <c r="L49">
        <v>1775</v>
      </c>
    </row>
    <row r="50" spans="1:12">
      <c r="A50" s="46"/>
      <c r="B50" s="47"/>
      <c r="C50" s="47"/>
      <c r="D50" s="47"/>
      <c r="E50" s="47"/>
      <c r="F50" s="48"/>
      <c r="H50" t="s">
        <v>155</v>
      </c>
      <c r="I50">
        <v>1</v>
      </c>
      <c r="J50">
        <v>3</v>
      </c>
      <c r="K50">
        <v>26.48</v>
      </c>
      <c r="L50">
        <v>1671.15</v>
      </c>
    </row>
    <row r="51" spans="1:12" ht="14" thickBot="1">
      <c r="A51" s="49"/>
      <c r="B51" s="50"/>
      <c r="C51" s="50"/>
      <c r="D51" s="50"/>
      <c r="E51" s="50"/>
      <c r="F51" s="51"/>
      <c r="H51" t="s">
        <v>50</v>
      </c>
      <c r="I51">
        <v>1</v>
      </c>
      <c r="J51">
        <v>2</v>
      </c>
      <c r="K51">
        <v>29.5</v>
      </c>
      <c r="L51">
        <v>3730</v>
      </c>
    </row>
    <row r="62" spans="1:12" ht="14" thickBot="1"/>
    <row r="63" spans="1:12" ht="14" thickBot="1">
      <c r="A63" s="43" t="s">
        <v>1557</v>
      </c>
      <c r="B63" s="44"/>
      <c r="C63" s="44"/>
      <c r="D63" s="44"/>
      <c r="E63" s="44"/>
      <c r="F63" s="45"/>
    </row>
    <row r="64" spans="1:12">
      <c r="A64" s="46" t="s">
        <v>1558</v>
      </c>
      <c r="B64" s="47"/>
      <c r="C64" s="47"/>
      <c r="D64" s="47"/>
      <c r="E64" s="47"/>
      <c r="F64" s="48"/>
      <c r="H64" t="s">
        <v>5</v>
      </c>
      <c r="I64" t="s">
        <v>1549</v>
      </c>
      <c r="J64" t="s">
        <v>1550</v>
      </c>
      <c r="K64" t="s">
        <v>1551</v>
      </c>
      <c r="L64" t="s">
        <v>1552</v>
      </c>
    </row>
    <row r="65" spans="1:12">
      <c r="A65" s="46"/>
      <c r="B65" s="47"/>
      <c r="C65" s="47"/>
      <c r="D65" s="47"/>
      <c r="E65" s="47"/>
      <c r="F65" s="48"/>
      <c r="H65" t="s">
        <v>33</v>
      </c>
      <c r="I65">
        <v>1</v>
      </c>
      <c r="J65">
        <v>3</v>
      </c>
      <c r="K65">
        <v>31.67</v>
      </c>
      <c r="L65">
        <v>3690</v>
      </c>
    </row>
    <row r="66" spans="1:12">
      <c r="A66" s="46"/>
      <c r="B66" s="47"/>
      <c r="C66" s="47"/>
      <c r="D66" s="47"/>
      <c r="E66" s="47"/>
      <c r="F66" s="48"/>
      <c r="H66" t="s">
        <v>208</v>
      </c>
      <c r="I66">
        <v>1</v>
      </c>
      <c r="J66">
        <v>2</v>
      </c>
      <c r="K66">
        <v>44.5</v>
      </c>
      <c r="L66">
        <v>4991</v>
      </c>
    </row>
    <row r="67" spans="1:12">
      <c r="A67" s="46"/>
      <c r="B67" s="47"/>
      <c r="C67" s="47"/>
      <c r="D67" s="47"/>
      <c r="E67" s="47"/>
      <c r="F67" s="48"/>
      <c r="H67" t="s">
        <v>127</v>
      </c>
      <c r="I67">
        <v>1</v>
      </c>
      <c r="J67">
        <v>3</v>
      </c>
      <c r="K67">
        <v>15.33</v>
      </c>
      <c r="L67">
        <v>2642</v>
      </c>
    </row>
    <row r="68" spans="1:12">
      <c r="A68" s="46"/>
      <c r="B68" s="47"/>
      <c r="C68" s="47"/>
      <c r="D68" s="47"/>
      <c r="E68" s="47"/>
      <c r="F68" s="48"/>
      <c r="H68" t="s">
        <v>92</v>
      </c>
      <c r="I68">
        <v>1</v>
      </c>
      <c r="J68">
        <v>3</v>
      </c>
      <c r="K68">
        <v>29.71</v>
      </c>
      <c r="L68">
        <v>3683.55</v>
      </c>
    </row>
    <row r="69" spans="1:12">
      <c r="A69" s="46"/>
      <c r="B69" s="47"/>
      <c r="C69" s="47"/>
      <c r="D69" s="47"/>
      <c r="E69" s="47"/>
      <c r="F69" s="48"/>
      <c r="H69" t="s">
        <v>147</v>
      </c>
      <c r="I69">
        <v>1</v>
      </c>
      <c r="J69">
        <v>2</v>
      </c>
      <c r="K69">
        <v>14.02</v>
      </c>
      <c r="L69">
        <v>3083.45</v>
      </c>
    </row>
    <row r="70" spans="1:12">
      <c r="A70" s="46"/>
      <c r="B70" s="47"/>
      <c r="C70" s="47"/>
      <c r="D70" s="47"/>
      <c r="E70" s="47"/>
      <c r="F70" s="48"/>
      <c r="H70" t="s">
        <v>106</v>
      </c>
      <c r="I70">
        <v>1</v>
      </c>
      <c r="J70">
        <v>1</v>
      </c>
      <c r="K70">
        <v>25.89</v>
      </c>
      <c r="L70">
        <v>258.89999999999998</v>
      </c>
    </row>
    <row r="71" spans="1:12">
      <c r="A71" s="46"/>
      <c r="B71" s="47"/>
      <c r="C71" s="47"/>
      <c r="D71" s="47"/>
      <c r="E71" s="47"/>
      <c r="F71" s="48"/>
      <c r="H71" t="s">
        <v>99</v>
      </c>
      <c r="I71">
        <v>1</v>
      </c>
      <c r="J71">
        <v>5</v>
      </c>
      <c r="K71">
        <v>44.68</v>
      </c>
      <c r="L71">
        <v>3301.85</v>
      </c>
    </row>
    <row r="72" spans="1:12">
      <c r="A72" s="46"/>
      <c r="B72" s="47"/>
      <c r="C72" s="47"/>
      <c r="D72" s="47"/>
      <c r="E72" s="47"/>
      <c r="F72" s="48"/>
      <c r="H72" t="s">
        <v>1548</v>
      </c>
      <c r="I72">
        <v>1</v>
      </c>
      <c r="J72">
        <v>2</v>
      </c>
      <c r="K72">
        <v>15</v>
      </c>
      <c r="L72">
        <v>2733</v>
      </c>
    </row>
    <row r="73" spans="1:12">
      <c r="A73" s="46"/>
      <c r="B73" s="47"/>
      <c r="C73" s="47"/>
      <c r="D73" s="47"/>
      <c r="E73" s="47"/>
      <c r="F73" s="48"/>
      <c r="H73" t="s">
        <v>175</v>
      </c>
      <c r="I73">
        <v>1</v>
      </c>
      <c r="J73">
        <v>3</v>
      </c>
      <c r="K73">
        <v>18.079999999999998</v>
      </c>
      <c r="L73">
        <v>2282.25</v>
      </c>
    </row>
    <row r="74" spans="1:12">
      <c r="A74" s="46"/>
      <c r="B74" s="47"/>
      <c r="C74" s="47"/>
      <c r="D74" s="47"/>
      <c r="E74" s="47"/>
      <c r="F74" s="48"/>
      <c r="H74" t="s">
        <v>16</v>
      </c>
      <c r="I74">
        <v>1</v>
      </c>
      <c r="J74">
        <v>3</v>
      </c>
      <c r="K74">
        <v>15.67</v>
      </c>
      <c r="L74">
        <v>1155</v>
      </c>
    </row>
    <row r="75" spans="1:12">
      <c r="A75" s="46"/>
      <c r="B75" s="47"/>
      <c r="C75" s="47"/>
      <c r="D75" s="47"/>
      <c r="E75" s="47"/>
      <c r="F75" s="48"/>
      <c r="H75" t="s">
        <v>160</v>
      </c>
      <c r="I75">
        <v>1</v>
      </c>
      <c r="J75">
        <v>2</v>
      </c>
      <c r="K75">
        <v>10.75</v>
      </c>
      <c r="L75">
        <v>1187.5</v>
      </c>
    </row>
    <row r="76" spans="1:12">
      <c r="A76" s="46"/>
      <c r="B76" s="47"/>
      <c r="C76" s="47"/>
      <c r="D76" s="47"/>
      <c r="E76" s="47"/>
      <c r="F76" s="48"/>
      <c r="H76" t="s">
        <v>70</v>
      </c>
      <c r="I76">
        <v>1</v>
      </c>
      <c r="J76">
        <v>4</v>
      </c>
      <c r="K76">
        <v>28.18</v>
      </c>
      <c r="L76">
        <v>3575</v>
      </c>
    </row>
    <row r="77" spans="1:12" ht="14" thickBot="1">
      <c r="A77" s="49"/>
      <c r="B77" s="50"/>
      <c r="C77" s="50"/>
      <c r="D77" s="50"/>
      <c r="E77" s="50"/>
      <c r="F77" s="51"/>
      <c r="H77" t="s">
        <v>62</v>
      </c>
      <c r="I77">
        <v>1</v>
      </c>
      <c r="J77">
        <v>5</v>
      </c>
      <c r="K77">
        <v>35.57</v>
      </c>
      <c r="L77">
        <v>4409.6499999999996</v>
      </c>
    </row>
    <row r="78" spans="1:12">
      <c r="H78" t="s">
        <v>203</v>
      </c>
      <c r="I78">
        <v>1</v>
      </c>
      <c r="J78">
        <v>1</v>
      </c>
      <c r="K78">
        <v>13.25</v>
      </c>
      <c r="L78">
        <v>821.5</v>
      </c>
    </row>
    <row r="79" spans="1:12">
      <c r="H79" t="s">
        <v>1143</v>
      </c>
      <c r="I79">
        <v>1</v>
      </c>
      <c r="J79">
        <v>2</v>
      </c>
      <c r="K79">
        <v>15.72</v>
      </c>
      <c r="L79">
        <v>2916.45</v>
      </c>
    </row>
    <row r="80" spans="1:12">
      <c r="H80" t="s">
        <v>24</v>
      </c>
      <c r="I80">
        <v>1</v>
      </c>
      <c r="J80">
        <v>4</v>
      </c>
      <c r="K80">
        <v>20.350000000000001</v>
      </c>
      <c r="L80">
        <v>2833.8</v>
      </c>
    </row>
    <row r="81" spans="8:12">
      <c r="H81" t="s">
        <v>56</v>
      </c>
      <c r="I81">
        <v>1</v>
      </c>
      <c r="J81">
        <v>3</v>
      </c>
      <c r="K81">
        <v>14.92</v>
      </c>
      <c r="L81">
        <v>1562.25</v>
      </c>
    </row>
    <row r="82" spans="8:12">
      <c r="H82" t="s">
        <v>48</v>
      </c>
      <c r="I82">
        <v>1</v>
      </c>
      <c r="J82">
        <v>2</v>
      </c>
      <c r="K82">
        <v>29.5</v>
      </c>
      <c r="L82">
        <v>3730</v>
      </c>
    </row>
    <row r="83" spans="8:12">
      <c r="H83" t="s">
        <v>139</v>
      </c>
      <c r="I83">
        <v>1</v>
      </c>
      <c r="J83">
        <v>2</v>
      </c>
      <c r="K83">
        <v>140.75</v>
      </c>
      <c r="L83">
        <v>5721.5</v>
      </c>
    </row>
    <row r="84" spans="8:12">
      <c r="H84" t="s">
        <v>112</v>
      </c>
      <c r="I84">
        <v>1</v>
      </c>
      <c r="J84">
        <v>3</v>
      </c>
      <c r="K84">
        <v>26.43</v>
      </c>
      <c r="L84">
        <v>775.2</v>
      </c>
    </row>
    <row r="85" spans="8:12">
      <c r="H85" t="s">
        <v>1150</v>
      </c>
      <c r="I85">
        <v>1</v>
      </c>
      <c r="J85">
        <v>1</v>
      </c>
      <c r="K85">
        <v>4.5</v>
      </c>
      <c r="L85">
        <v>90</v>
      </c>
    </row>
    <row r="86" spans="8:12">
      <c r="H86" t="s">
        <v>197</v>
      </c>
      <c r="I86">
        <v>1</v>
      </c>
      <c r="J86">
        <v>2</v>
      </c>
      <c r="K86">
        <v>28.75</v>
      </c>
      <c r="L86">
        <v>1500</v>
      </c>
    </row>
    <row r="87" spans="8:12">
      <c r="H87" t="s">
        <v>120</v>
      </c>
      <c r="I87">
        <v>1</v>
      </c>
      <c r="J87">
        <v>3</v>
      </c>
      <c r="K87">
        <v>20</v>
      </c>
      <c r="L87">
        <v>1775</v>
      </c>
    </row>
    <row r="88" spans="8:12">
      <c r="H88" t="s">
        <v>155</v>
      </c>
      <c r="I88">
        <v>1</v>
      </c>
      <c r="J88">
        <v>3</v>
      </c>
      <c r="K88">
        <v>26.48</v>
      </c>
      <c r="L88">
        <v>1671.15</v>
      </c>
    </row>
    <row r="89" spans="8:12">
      <c r="H89" t="s">
        <v>214</v>
      </c>
      <c r="I89">
        <v>1</v>
      </c>
      <c r="J89">
        <v>2</v>
      </c>
      <c r="K89">
        <v>38.9</v>
      </c>
      <c r="L89">
        <v>4058.6</v>
      </c>
    </row>
    <row r="90" spans="8:12">
      <c r="H90" t="s">
        <v>133</v>
      </c>
      <c r="I90">
        <v>1</v>
      </c>
      <c r="J90">
        <v>3</v>
      </c>
      <c r="K90">
        <v>20</v>
      </c>
      <c r="L90">
        <v>3929</v>
      </c>
    </row>
    <row r="91" spans="8:12">
      <c r="H91" t="s">
        <v>181</v>
      </c>
      <c r="I91">
        <v>1</v>
      </c>
      <c r="J91">
        <v>3</v>
      </c>
      <c r="K91">
        <v>30.93</v>
      </c>
      <c r="L91">
        <v>1326</v>
      </c>
    </row>
    <row r="92" spans="8:12">
      <c r="H92" t="s">
        <v>41</v>
      </c>
      <c r="I92">
        <v>1</v>
      </c>
      <c r="J92">
        <v>3</v>
      </c>
      <c r="K92">
        <v>46</v>
      </c>
      <c r="L92">
        <v>3814</v>
      </c>
    </row>
    <row r="93" spans="8:12">
      <c r="H93" t="s">
        <v>166</v>
      </c>
      <c r="I93">
        <v>1</v>
      </c>
      <c r="J93">
        <v>2</v>
      </c>
      <c r="K93">
        <v>11.12</v>
      </c>
      <c r="L93">
        <v>533.25</v>
      </c>
    </row>
  </sheetData>
  <mergeCells count="6">
    <mergeCell ref="A2:H22"/>
    <mergeCell ref="A35:F51"/>
    <mergeCell ref="A64:F77"/>
    <mergeCell ref="A1:H1"/>
    <mergeCell ref="A34:F34"/>
    <mergeCell ref="A63:F63"/>
  </mergeCells>
  <pageMargins left="0.7" right="0.7" top="0.75" bottom="0.75" header="0.3" footer="0.3"/>
  <tableParts count="3">
    <tablePart r:id="rId1"/>
    <tablePart r:id="rId2"/>
    <tablePart r:id="rId3"/>
  </tableParts>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48F48-45AE-40F9-9926-3B00545202E0}">
  <dimension ref="A1:H50"/>
  <sheetViews>
    <sheetView topLeftCell="B46" workbookViewId="0">
      <selection activeCell="E60" sqref="E60"/>
    </sheetView>
  </sheetViews>
  <sheetFormatPr baseColWidth="10" defaultColWidth="8.83203125" defaultRowHeight="13"/>
  <cols>
    <col min="1" max="1" width="12.83203125" bestFit="1" customWidth="1"/>
    <col min="2" max="2" width="36" bestFit="1" customWidth="1"/>
    <col min="3" max="3" width="10.83203125" bestFit="1" customWidth="1"/>
    <col min="4" max="4" width="13.33203125" bestFit="1" customWidth="1"/>
    <col min="5" max="5" width="16.83203125" bestFit="1" customWidth="1"/>
    <col min="6" max="6" width="22.83203125" bestFit="1" customWidth="1"/>
    <col min="7" max="7" width="24.1640625" bestFit="1" customWidth="1"/>
    <col min="8" max="8" width="19.6640625" bestFit="1" customWidth="1"/>
  </cols>
  <sheetData>
    <row r="1" spans="1:8">
      <c r="A1" t="s">
        <v>0</v>
      </c>
      <c r="B1" t="s">
        <v>1528</v>
      </c>
      <c r="C1" t="s">
        <v>8</v>
      </c>
      <c r="D1" t="s">
        <v>226</v>
      </c>
      <c r="E1" t="s">
        <v>1113</v>
      </c>
      <c r="F1" t="s">
        <v>1559</v>
      </c>
      <c r="G1" t="s">
        <v>1560</v>
      </c>
      <c r="H1" t="s">
        <v>1561</v>
      </c>
    </row>
    <row r="2" spans="1:8">
      <c r="A2">
        <v>16</v>
      </c>
      <c r="B2" t="s">
        <v>123</v>
      </c>
      <c r="C2" t="s">
        <v>26</v>
      </c>
      <c r="D2">
        <v>1</v>
      </c>
      <c r="E2" t="s">
        <v>1115</v>
      </c>
      <c r="F2">
        <v>3</v>
      </c>
      <c r="G2">
        <v>15.33</v>
      </c>
      <c r="H2">
        <v>183</v>
      </c>
    </row>
    <row r="3" spans="1:8">
      <c r="A3">
        <v>1</v>
      </c>
      <c r="B3" t="s">
        <v>12</v>
      </c>
      <c r="C3" t="s">
        <v>18</v>
      </c>
      <c r="D3">
        <v>1</v>
      </c>
      <c r="E3" t="s">
        <v>1115</v>
      </c>
      <c r="F3">
        <v>2</v>
      </c>
      <c r="G3">
        <v>18.5</v>
      </c>
      <c r="H3">
        <v>56</v>
      </c>
    </row>
    <row r="4" spans="1:8">
      <c r="A4">
        <v>18</v>
      </c>
      <c r="B4" t="s">
        <v>1542</v>
      </c>
      <c r="C4" t="s">
        <v>140</v>
      </c>
      <c r="D4">
        <v>1</v>
      </c>
      <c r="E4" t="s">
        <v>1115</v>
      </c>
      <c r="F4">
        <v>2</v>
      </c>
      <c r="G4">
        <v>140.75</v>
      </c>
      <c r="H4">
        <v>86</v>
      </c>
    </row>
    <row r="5" spans="1:8">
      <c r="A5">
        <v>7</v>
      </c>
      <c r="B5" t="s">
        <v>59</v>
      </c>
      <c r="C5" t="s">
        <v>64</v>
      </c>
      <c r="D5">
        <v>1</v>
      </c>
      <c r="E5" t="s">
        <v>1115</v>
      </c>
      <c r="F5">
        <v>1</v>
      </c>
      <c r="G5">
        <v>15</v>
      </c>
      <c r="H5">
        <v>15</v>
      </c>
    </row>
    <row r="6" spans="1:8">
      <c r="A6">
        <v>20</v>
      </c>
      <c r="B6" t="s">
        <v>151</v>
      </c>
      <c r="C6" t="s">
        <v>155</v>
      </c>
      <c r="D6">
        <v>1</v>
      </c>
      <c r="E6" t="s">
        <v>1115</v>
      </c>
      <c r="F6">
        <v>1</v>
      </c>
      <c r="G6">
        <v>46</v>
      </c>
      <c r="H6">
        <v>17</v>
      </c>
    </row>
    <row r="7" spans="1:8">
      <c r="A7">
        <v>10</v>
      </c>
      <c r="B7" t="s">
        <v>82</v>
      </c>
      <c r="C7" t="s">
        <v>86</v>
      </c>
      <c r="D7">
        <v>1</v>
      </c>
      <c r="E7" t="s">
        <v>1115</v>
      </c>
      <c r="F7">
        <v>1</v>
      </c>
      <c r="G7">
        <v>4.5</v>
      </c>
      <c r="H7">
        <v>20</v>
      </c>
    </row>
    <row r="8" spans="1:8">
      <c r="A8">
        <v>12</v>
      </c>
      <c r="B8" t="s">
        <v>1544</v>
      </c>
      <c r="C8" t="s">
        <v>93</v>
      </c>
      <c r="D8">
        <v>1</v>
      </c>
      <c r="E8" t="s">
        <v>1115</v>
      </c>
      <c r="F8">
        <v>1</v>
      </c>
      <c r="G8">
        <v>7.75</v>
      </c>
      <c r="H8">
        <v>125</v>
      </c>
    </row>
    <row r="9" spans="1:8">
      <c r="A9">
        <v>23</v>
      </c>
      <c r="B9" t="s">
        <v>171</v>
      </c>
      <c r="C9" t="s">
        <v>176</v>
      </c>
      <c r="D9">
        <v>1</v>
      </c>
      <c r="E9" t="s">
        <v>1115</v>
      </c>
      <c r="F9">
        <v>1</v>
      </c>
      <c r="G9">
        <v>18</v>
      </c>
      <c r="H9">
        <v>57</v>
      </c>
    </row>
    <row r="10" spans="1:8">
      <c r="A10">
        <v>2</v>
      </c>
      <c r="B10" t="s">
        <v>20</v>
      </c>
      <c r="C10" t="s">
        <v>26</v>
      </c>
      <c r="D10">
        <v>2</v>
      </c>
      <c r="E10" t="s">
        <v>1117</v>
      </c>
      <c r="F10">
        <v>4</v>
      </c>
      <c r="G10">
        <v>20.350000000000001</v>
      </c>
      <c r="H10">
        <v>133</v>
      </c>
    </row>
    <row r="11" spans="1:8">
      <c r="A11">
        <v>3</v>
      </c>
      <c r="B11" t="s">
        <v>29</v>
      </c>
      <c r="C11" t="s">
        <v>26</v>
      </c>
      <c r="D11">
        <v>2</v>
      </c>
      <c r="E11" t="s">
        <v>1117</v>
      </c>
      <c r="F11">
        <v>2</v>
      </c>
      <c r="G11">
        <v>32.5</v>
      </c>
      <c r="H11">
        <v>126</v>
      </c>
    </row>
    <row r="12" spans="1:8">
      <c r="A12">
        <v>1</v>
      </c>
      <c r="B12" t="s">
        <v>12</v>
      </c>
      <c r="C12" t="s">
        <v>18</v>
      </c>
      <c r="D12">
        <v>2</v>
      </c>
      <c r="E12" t="s">
        <v>1117</v>
      </c>
      <c r="F12">
        <v>1</v>
      </c>
      <c r="G12">
        <v>10</v>
      </c>
      <c r="H12">
        <v>13</v>
      </c>
    </row>
    <row r="13" spans="1:8">
      <c r="A13">
        <v>20</v>
      </c>
      <c r="B13" t="s">
        <v>151</v>
      </c>
      <c r="C13" t="s">
        <v>155</v>
      </c>
      <c r="D13">
        <v>2</v>
      </c>
      <c r="E13" t="s">
        <v>1117</v>
      </c>
      <c r="F13">
        <v>1</v>
      </c>
      <c r="G13">
        <v>19.45</v>
      </c>
      <c r="H13">
        <v>27</v>
      </c>
    </row>
    <row r="14" spans="1:8">
      <c r="A14">
        <v>12</v>
      </c>
      <c r="B14" t="s">
        <v>1544</v>
      </c>
      <c r="C14" t="s">
        <v>93</v>
      </c>
      <c r="D14">
        <v>2</v>
      </c>
      <c r="E14" t="s">
        <v>1117</v>
      </c>
      <c r="F14">
        <v>1</v>
      </c>
      <c r="G14">
        <v>13</v>
      </c>
      <c r="H14">
        <v>32</v>
      </c>
    </row>
    <row r="15" spans="1:8">
      <c r="A15">
        <v>6</v>
      </c>
      <c r="B15" t="s">
        <v>52</v>
      </c>
      <c r="C15" t="s">
        <v>42</v>
      </c>
      <c r="D15">
        <v>2</v>
      </c>
      <c r="E15" t="s">
        <v>1117</v>
      </c>
      <c r="F15">
        <v>1</v>
      </c>
      <c r="G15">
        <v>15.5</v>
      </c>
      <c r="H15">
        <v>39</v>
      </c>
    </row>
    <row r="16" spans="1:8">
      <c r="A16">
        <v>7</v>
      </c>
      <c r="B16" t="s">
        <v>59</v>
      </c>
      <c r="C16" t="s">
        <v>64</v>
      </c>
      <c r="D16">
        <v>2</v>
      </c>
      <c r="E16" t="s">
        <v>1117</v>
      </c>
      <c r="F16">
        <v>1</v>
      </c>
      <c r="G16">
        <v>43.9</v>
      </c>
      <c r="H16">
        <v>24</v>
      </c>
    </row>
    <row r="17" spans="1:8">
      <c r="A17">
        <v>29</v>
      </c>
      <c r="B17" t="s">
        <v>1540</v>
      </c>
      <c r="C17" t="s">
        <v>192</v>
      </c>
      <c r="D17">
        <v>2</v>
      </c>
      <c r="E17" t="s">
        <v>1117</v>
      </c>
      <c r="F17">
        <v>1</v>
      </c>
      <c r="G17">
        <v>28.5</v>
      </c>
      <c r="H17">
        <v>113</v>
      </c>
    </row>
    <row r="18" spans="1:8">
      <c r="A18">
        <v>8</v>
      </c>
      <c r="B18" t="s">
        <v>67</v>
      </c>
      <c r="C18" t="s">
        <v>18</v>
      </c>
      <c r="D18">
        <v>3</v>
      </c>
      <c r="E18" t="s">
        <v>1119</v>
      </c>
      <c r="F18">
        <v>4</v>
      </c>
      <c r="G18">
        <v>28.18</v>
      </c>
      <c r="H18">
        <v>74</v>
      </c>
    </row>
    <row r="19" spans="1:8">
      <c r="A19">
        <v>11</v>
      </c>
      <c r="B19" t="s">
        <v>1545</v>
      </c>
      <c r="C19" t="s">
        <v>93</v>
      </c>
      <c r="D19">
        <v>3</v>
      </c>
      <c r="E19" t="s">
        <v>1119</v>
      </c>
      <c r="F19">
        <v>3</v>
      </c>
      <c r="G19">
        <v>29.71</v>
      </c>
      <c r="H19">
        <v>140</v>
      </c>
    </row>
    <row r="20" spans="1:8">
      <c r="A20">
        <v>22</v>
      </c>
      <c r="B20" t="s">
        <v>162</v>
      </c>
      <c r="C20" t="s">
        <v>168</v>
      </c>
      <c r="D20">
        <v>3</v>
      </c>
      <c r="E20" t="s">
        <v>1119</v>
      </c>
      <c r="F20">
        <v>2</v>
      </c>
      <c r="G20">
        <v>11.12</v>
      </c>
      <c r="H20">
        <v>51</v>
      </c>
    </row>
    <row r="21" spans="1:8">
      <c r="A21">
        <v>23</v>
      </c>
      <c r="B21" t="s">
        <v>171</v>
      </c>
      <c r="C21" t="s">
        <v>176</v>
      </c>
      <c r="D21">
        <v>3</v>
      </c>
      <c r="E21" t="s">
        <v>1119</v>
      </c>
      <c r="F21">
        <v>2</v>
      </c>
      <c r="G21">
        <v>18.12</v>
      </c>
      <c r="H21">
        <v>75</v>
      </c>
    </row>
    <row r="22" spans="1:8">
      <c r="A22">
        <v>7</v>
      </c>
      <c r="B22" t="s">
        <v>59</v>
      </c>
      <c r="C22" t="s">
        <v>64</v>
      </c>
      <c r="D22">
        <v>3</v>
      </c>
      <c r="E22" t="s">
        <v>1119</v>
      </c>
      <c r="F22">
        <v>1</v>
      </c>
      <c r="G22">
        <v>17.45</v>
      </c>
      <c r="H22">
        <v>29</v>
      </c>
    </row>
    <row r="23" spans="1:8">
      <c r="A23">
        <v>29</v>
      </c>
      <c r="B23" t="s">
        <v>1540</v>
      </c>
      <c r="C23" t="s">
        <v>192</v>
      </c>
      <c r="D23">
        <v>3</v>
      </c>
      <c r="E23" t="s">
        <v>1119</v>
      </c>
      <c r="F23">
        <v>1</v>
      </c>
      <c r="G23">
        <v>49.3</v>
      </c>
      <c r="H23">
        <v>17</v>
      </c>
    </row>
    <row r="24" spans="1:8">
      <c r="A24">
        <v>15</v>
      </c>
      <c r="B24" t="s">
        <v>117</v>
      </c>
      <c r="C24" t="s">
        <v>121</v>
      </c>
      <c r="D24">
        <v>4</v>
      </c>
      <c r="E24" t="s">
        <v>1121</v>
      </c>
      <c r="F24">
        <v>3</v>
      </c>
      <c r="G24">
        <v>20</v>
      </c>
      <c r="H24">
        <v>164</v>
      </c>
    </row>
    <row r="25" spans="1:8">
      <c r="A25">
        <v>14</v>
      </c>
      <c r="B25" t="s">
        <v>109</v>
      </c>
      <c r="C25" t="s">
        <v>113</v>
      </c>
      <c r="D25">
        <v>4</v>
      </c>
      <c r="E25" t="s">
        <v>1121</v>
      </c>
      <c r="F25">
        <v>3</v>
      </c>
      <c r="G25">
        <v>26.43</v>
      </c>
      <c r="H25">
        <v>23</v>
      </c>
    </row>
    <row r="26" spans="1:8">
      <c r="A26">
        <v>5</v>
      </c>
      <c r="B26" t="s">
        <v>44</v>
      </c>
      <c r="C26" t="s">
        <v>50</v>
      </c>
      <c r="D26">
        <v>4</v>
      </c>
      <c r="E26" t="s">
        <v>1121</v>
      </c>
      <c r="F26">
        <v>2</v>
      </c>
      <c r="G26">
        <v>29.5</v>
      </c>
      <c r="H26">
        <v>108</v>
      </c>
    </row>
    <row r="27" spans="1:8">
      <c r="A27">
        <v>28</v>
      </c>
      <c r="B27" t="s">
        <v>1543</v>
      </c>
      <c r="C27" t="s">
        <v>140</v>
      </c>
      <c r="D27">
        <v>4</v>
      </c>
      <c r="E27" t="s">
        <v>1121</v>
      </c>
      <c r="F27">
        <v>2</v>
      </c>
      <c r="G27">
        <v>44.5</v>
      </c>
      <c r="H27">
        <v>98</v>
      </c>
    </row>
    <row r="28" spans="1:8">
      <c r="A28">
        <v>9</v>
      </c>
      <c r="B28" t="s">
        <v>1547</v>
      </c>
      <c r="C28" t="s">
        <v>79</v>
      </c>
      <c r="D28">
        <v>5</v>
      </c>
      <c r="E28" t="s">
        <v>1123</v>
      </c>
      <c r="F28">
        <v>2</v>
      </c>
      <c r="G28">
        <v>15</v>
      </c>
      <c r="H28">
        <v>165</v>
      </c>
    </row>
    <row r="29" spans="1:8">
      <c r="A29">
        <v>26</v>
      </c>
      <c r="B29" t="s">
        <v>194</v>
      </c>
      <c r="C29" t="s">
        <v>113</v>
      </c>
      <c r="D29">
        <v>5</v>
      </c>
      <c r="E29" t="s">
        <v>1123</v>
      </c>
      <c r="F29">
        <v>2</v>
      </c>
      <c r="G29">
        <v>28.75</v>
      </c>
      <c r="H29">
        <v>57</v>
      </c>
    </row>
    <row r="30" spans="1:8">
      <c r="A30">
        <v>12</v>
      </c>
      <c r="B30" t="s">
        <v>1544</v>
      </c>
      <c r="C30" t="s">
        <v>93</v>
      </c>
      <c r="D30">
        <v>5</v>
      </c>
      <c r="E30" t="s">
        <v>1123</v>
      </c>
      <c r="F30">
        <v>1</v>
      </c>
      <c r="G30">
        <v>33.25</v>
      </c>
      <c r="H30">
        <v>22</v>
      </c>
    </row>
    <row r="31" spans="1:8">
      <c r="A31">
        <v>20</v>
      </c>
      <c r="B31" t="s">
        <v>151</v>
      </c>
      <c r="C31" t="s">
        <v>155</v>
      </c>
      <c r="D31">
        <v>5</v>
      </c>
      <c r="E31" t="s">
        <v>1123</v>
      </c>
      <c r="F31">
        <v>1</v>
      </c>
      <c r="G31">
        <v>14</v>
      </c>
      <c r="H31">
        <v>26</v>
      </c>
    </row>
    <row r="32" spans="1:8">
      <c r="A32">
        <v>24</v>
      </c>
      <c r="B32" t="s">
        <v>178</v>
      </c>
      <c r="C32" t="s">
        <v>64</v>
      </c>
      <c r="D32">
        <v>5</v>
      </c>
      <c r="E32" t="s">
        <v>1123</v>
      </c>
      <c r="F32">
        <v>1</v>
      </c>
      <c r="G32">
        <v>7</v>
      </c>
      <c r="H32">
        <v>38</v>
      </c>
    </row>
    <row r="33" spans="1:8">
      <c r="A33">
        <v>25</v>
      </c>
      <c r="B33" t="s">
        <v>186</v>
      </c>
      <c r="C33" t="s">
        <v>192</v>
      </c>
      <c r="D33">
        <v>6</v>
      </c>
      <c r="E33" t="s">
        <v>1125</v>
      </c>
      <c r="F33">
        <v>2</v>
      </c>
      <c r="G33">
        <v>15.72</v>
      </c>
      <c r="H33">
        <v>136</v>
      </c>
    </row>
    <row r="34" spans="1:8">
      <c r="A34">
        <v>4</v>
      </c>
      <c r="B34" t="s">
        <v>37</v>
      </c>
      <c r="C34" t="s">
        <v>42</v>
      </c>
      <c r="D34">
        <v>6</v>
      </c>
      <c r="E34" t="s">
        <v>1125</v>
      </c>
      <c r="F34">
        <v>1</v>
      </c>
      <c r="G34">
        <v>97</v>
      </c>
      <c r="H34">
        <v>29</v>
      </c>
    </row>
    <row r="35" spans="1:8">
      <c r="A35">
        <v>7</v>
      </c>
      <c r="B35" t="s">
        <v>59</v>
      </c>
      <c r="C35" t="s">
        <v>64</v>
      </c>
      <c r="D35">
        <v>6</v>
      </c>
      <c r="E35" t="s">
        <v>1125</v>
      </c>
      <c r="F35">
        <v>1</v>
      </c>
      <c r="G35">
        <v>39</v>
      </c>
      <c r="H35">
        <v>0</v>
      </c>
    </row>
    <row r="36" spans="1:8">
      <c r="A36">
        <v>12</v>
      </c>
      <c r="B36" t="s">
        <v>1544</v>
      </c>
      <c r="C36" t="s">
        <v>93</v>
      </c>
      <c r="D36">
        <v>6</v>
      </c>
      <c r="E36" t="s">
        <v>1125</v>
      </c>
      <c r="F36">
        <v>1</v>
      </c>
      <c r="G36">
        <v>123.79</v>
      </c>
      <c r="H36">
        <v>0</v>
      </c>
    </row>
    <row r="37" spans="1:8">
      <c r="A37">
        <v>24</v>
      </c>
      <c r="B37" t="s">
        <v>178</v>
      </c>
      <c r="C37" t="s">
        <v>64</v>
      </c>
      <c r="D37">
        <v>6</v>
      </c>
      <c r="E37" t="s">
        <v>1125</v>
      </c>
      <c r="F37">
        <v>1</v>
      </c>
      <c r="G37">
        <v>32.799999999999997</v>
      </c>
      <c r="H37">
        <v>0</v>
      </c>
    </row>
    <row r="38" spans="1:8">
      <c r="A38">
        <v>4</v>
      </c>
      <c r="B38" t="s">
        <v>37</v>
      </c>
      <c r="C38" t="s">
        <v>42</v>
      </c>
      <c r="D38">
        <v>7</v>
      </c>
      <c r="E38" t="s">
        <v>1127</v>
      </c>
      <c r="F38">
        <v>1</v>
      </c>
      <c r="G38">
        <v>10</v>
      </c>
      <c r="H38">
        <v>4</v>
      </c>
    </row>
    <row r="39" spans="1:8">
      <c r="A39">
        <v>6</v>
      </c>
      <c r="B39" t="s">
        <v>52</v>
      </c>
      <c r="C39" t="s">
        <v>42</v>
      </c>
      <c r="D39">
        <v>7</v>
      </c>
      <c r="E39" t="s">
        <v>1127</v>
      </c>
      <c r="F39">
        <v>1</v>
      </c>
      <c r="G39">
        <v>23.25</v>
      </c>
      <c r="H39">
        <v>35</v>
      </c>
    </row>
    <row r="40" spans="1:8">
      <c r="A40">
        <v>24</v>
      </c>
      <c r="B40" t="s">
        <v>178</v>
      </c>
      <c r="C40" t="s">
        <v>64</v>
      </c>
      <c r="D40">
        <v>7</v>
      </c>
      <c r="E40" t="s">
        <v>1127</v>
      </c>
      <c r="F40">
        <v>1</v>
      </c>
      <c r="G40">
        <v>53</v>
      </c>
      <c r="H40">
        <v>20</v>
      </c>
    </row>
    <row r="41" spans="1:8">
      <c r="A41">
        <v>3</v>
      </c>
      <c r="B41" t="s">
        <v>29</v>
      </c>
      <c r="C41" t="s">
        <v>26</v>
      </c>
      <c r="D41">
        <v>7</v>
      </c>
      <c r="E41" t="s">
        <v>1127</v>
      </c>
      <c r="F41">
        <v>1</v>
      </c>
      <c r="G41">
        <v>30</v>
      </c>
      <c r="H41">
        <v>15</v>
      </c>
    </row>
    <row r="42" spans="1:8">
      <c r="A42">
        <v>12</v>
      </c>
      <c r="B42" t="s">
        <v>1544</v>
      </c>
      <c r="C42" t="s">
        <v>93</v>
      </c>
      <c r="D42">
        <v>7</v>
      </c>
      <c r="E42" t="s">
        <v>1127</v>
      </c>
      <c r="F42">
        <v>1</v>
      </c>
      <c r="G42">
        <v>45.6</v>
      </c>
      <c r="H42">
        <v>26</v>
      </c>
    </row>
    <row r="43" spans="1:8">
      <c r="A43">
        <v>17</v>
      </c>
      <c r="B43" t="s">
        <v>1546</v>
      </c>
      <c r="C43" t="s">
        <v>79</v>
      </c>
      <c r="D43">
        <v>8</v>
      </c>
      <c r="E43" t="s">
        <v>1129</v>
      </c>
      <c r="F43">
        <v>3</v>
      </c>
      <c r="G43">
        <v>20</v>
      </c>
      <c r="H43">
        <v>224</v>
      </c>
    </row>
    <row r="44" spans="1:8">
      <c r="A44">
        <v>19</v>
      </c>
      <c r="B44" t="s">
        <v>143</v>
      </c>
      <c r="C44" t="s">
        <v>26</v>
      </c>
      <c r="D44">
        <v>8</v>
      </c>
      <c r="E44" t="s">
        <v>1129</v>
      </c>
      <c r="F44">
        <v>2</v>
      </c>
      <c r="G44">
        <v>14.02</v>
      </c>
      <c r="H44">
        <v>208</v>
      </c>
    </row>
    <row r="45" spans="1:8">
      <c r="A45">
        <v>21</v>
      </c>
      <c r="B45" t="s">
        <v>157</v>
      </c>
      <c r="C45" t="s">
        <v>161</v>
      </c>
      <c r="D45">
        <v>8</v>
      </c>
      <c r="E45" t="s">
        <v>1129</v>
      </c>
      <c r="F45">
        <v>2</v>
      </c>
      <c r="G45">
        <v>10.75</v>
      </c>
      <c r="H45">
        <v>100</v>
      </c>
    </row>
    <row r="46" spans="1:8">
      <c r="A46">
        <v>13</v>
      </c>
      <c r="B46" t="s">
        <v>102</v>
      </c>
      <c r="C46" t="s">
        <v>93</v>
      </c>
      <c r="D46">
        <v>8</v>
      </c>
      <c r="E46" t="s">
        <v>1129</v>
      </c>
      <c r="F46">
        <v>1</v>
      </c>
      <c r="G46">
        <v>25.89</v>
      </c>
      <c r="H46">
        <v>10</v>
      </c>
    </row>
    <row r="47" spans="1:8">
      <c r="A47">
        <v>7</v>
      </c>
      <c r="B47" t="s">
        <v>59</v>
      </c>
      <c r="C47" t="s">
        <v>64</v>
      </c>
      <c r="D47">
        <v>8</v>
      </c>
      <c r="E47" t="s">
        <v>1129</v>
      </c>
      <c r="F47">
        <v>1</v>
      </c>
      <c r="G47">
        <v>62.5</v>
      </c>
      <c r="H47">
        <v>42</v>
      </c>
    </row>
    <row r="48" spans="1:8">
      <c r="A48">
        <v>6</v>
      </c>
      <c r="B48" t="s">
        <v>52</v>
      </c>
      <c r="C48" t="s">
        <v>42</v>
      </c>
      <c r="D48">
        <v>8</v>
      </c>
      <c r="E48" t="s">
        <v>1129</v>
      </c>
      <c r="F48">
        <v>1</v>
      </c>
      <c r="G48">
        <v>6</v>
      </c>
      <c r="H48">
        <v>24</v>
      </c>
    </row>
    <row r="49" spans="1:8">
      <c r="A49">
        <v>4</v>
      </c>
      <c r="B49" t="s">
        <v>37</v>
      </c>
      <c r="C49" t="s">
        <v>42</v>
      </c>
      <c r="D49">
        <v>8</v>
      </c>
      <c r="E49" t="s">
        <v>1129</v>
      </c>
      <c r="F49">
        <v>1</v>
      </c>
      <c r="G49">
        <v>31</v>
      </c>
      <c r="H49">
        <v>31</v>
      </c>
    </row>
    <row r="50" spans="1:8">
      <c r="A50">
        <v>27</v>
      </c>
      <c r="B50" t="s">
        <v>200</v>
      </c>
      <c r="C50" t="s">
        <v>140</v>
      </c>
      <c r="D50">
        <v>8</v>
      </c>
      <c r="E50" t="s">
        <v>1129</v>
      </c>
      <c r="F50">
        <v>1</v>
      </c>
      <c r="G50">
        <v>13.25</v>
      </c>
      <c r="H50">
        <v>62</v>
      </c>
    </row>
  </sheetData>
  <pageMargins left="0.7" right="0.7" top="0.75" bottom="0.75" header="0.3" footer="0.3"/>
  <tableParts count="1">
    <tablePart r:id="rId1"/>
  </tableParts>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194E7-ADB8-4F97-94E8-F39886FE3A5B}">
  <dimension ref="A1:E9"/>
  <sheetViews>
    <sheetView workbookViewId="0">
      <selection activeCell="D16" sqref="D16"/>
    </sheetView>
  </sheetViews>
  <sheetFormatPr baseColWidth="10" defaultColWidth="8.83203125" defaultRowHeight="13"/>
  <cols>
    <col min="1" max="1" width="16.83203125" bestFit="1" customWidth="1"/>
    <col min="2" max="2" width="16.6640625" bestFit="1" customWidth="1"/>
    <col min="3" max="3" width="16.33203125" bestFit="1" customWidth="1"/>
    <col min="4" max="4" width="12.1640625" bestFit="1" customWidth="1"/>
    <col min="5" max="5" width="81.1640625" bestFit="1" customWidth="1"/>
  </cols>
  <sheetData>
    <row r="1" spans="1:5">
      <c r="A1" t="s">
        <v>1113</v>
      </c>
      <c r="B1" t="s">
        <v>1549</v>
      </c>
      <c r="C1" t="s">
        <v>1562</v>
      </c>
      <c r="D1" t="s">
        <v>1551</v>
      </c>
      <c r="E1" t="s">
        <v>1563</v>
      </c>
    </row>
    <row r="2" spans="1:5">
      <c r="A2" t="s">
        <v>1121</v>
      </c>
      <c r="B2">
        <v>4</v>
      </c>
      <c r="C2">
        <v>10</v>
      </c>
      <c r="D2">
        <v>28.73</v>
      </c>
      <c r="E2" t="s">
        <v>1564</v>
      </c>
    </row>
    <row r="3" spans="1:5">
      <c r="A3" t="s">
        <v>1123</v>
      </c>
      <c r="B3">
        <v>5</v>
      </c>
      <c r="C3">
        <v>7</v>
      </c>
      <c r="D3">
        <v>20.25</v>
      </c>
      <c r="E3" t="s">
        <v>1565</v>
      </c>
    </row>
    <row r="4" spans="1:5">
      <c r="A4" t="s">
        <v>1125</v>
      </c>
      <c r="B4">
        <v>5</v>
      </c>
      <c r="C4">
        <v>6</v>
      </c>
      <c r="D4">
        <v>54.01</v>
      </c>
      <c r="E4" t="s">
        <v>1566</v>
      </c>
    </row>
    <row r="5" spans="1:5">
      <c r="A5" t="s">
        <v>1127</v>
      </c>
      <c r="B5">
        <v>5</v>
      </c>
      <c r="C5">
        <v>5</v>
      </c>
      <c r="D5">
        <v>32.369999999999997</v>
      </c>
      <c r="E5" t="s">
        <v>1567</v>
      </c>
    </row>
    <row r="6" spans="1:5">
      <c r="A6" t="s">
        <v>1119</v>
      </c>
      <c r="B6">
        <v>6</v>
      </c>
      <c r="C6">
        <v>13</v>
      </c>
      <c r="D6">
        <v>25.16</v>
      </c>
      <c r="E6" t="s">
        <v>1568</v>
      </c>
    </row>
    <row r="7" spans="1:5">
      <c r="A7" t="s">
        <v>1115</v>
      </c>
      <c r="B7">
        <v>8</v>
      </c>
      <c r="C7">
        <v>12</v>
      </c>
      <c r="D7">
        <v>37.979999999999997</v>
      </c>
      <c r="E7" t="s">
        <v>1569</v>
      </c>
    </row>
    <row r="8" spans="1:5">
      <c r="A8" t="s">
        <v>1117</v>
      </c>
      <c r="B8">
        <v>8</v>
      </c>
      <c r="C8">
        <v>12</v>
      </c>
      <c r="D8">
        <v>23.06</v>
      </c>
      <c r="E8" t="s">
        <v>1570</v>
      </c>
    </row>
    <row r="9" spans="1:5">
      <c r="A9" t="s">
        <v>1129</v>
      </c>
      <c r="B9">
        <v>8</v>
      </c>
      <c r="C9">
        <v>12</v>
      </c>
      <c r="D9">
        <v>20.68</v>
      </c>
      <c r="E9" t="s">
        <v>1571</v>
      </c>
    </row>
  </sheetData>
  <pageMargins left="0.7" right="0.7" top="0.75" bottom="0.75" header="0.3" footer="0.3"/>
  <tableParts count="1">
    <tablePart r:id="rId1"/>
  </tableParts>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EE81B6-8A97-6441-81D5-30624534F4D0}">
  <dimension ref="A1:G95"/>
  <sheetViews>
    <sheetView showGridLines="0" zoomScale="81" workbookViewId="0">
      <selection activeCell="B97" sqref="B97"/>
    </sheetView>
  </sheetViews>
  <sheetFormatPr baseColWidth="10" defaultRowHeight="13"/>
  <cols>
    <col min="2" max="2" width="10.5" bestFit="1" customWidth="1"/>
    <col min="3" max="3" width="17.1640625" bestFit="1" customWidth="1"/>
    <col min="4" max="4" width="16.83203125" bestFit="1" customWidth="1"/>
    <col min="5" max="5" width="17.83203125" bestFit="1" customWidth="1"/>
    <col min="6" max="6" width="18.33203125" bestFit="1" customWidth="1"/>
    <col min="7" max="7" width="12.83203125" bestFit="1" customWidth="1"/>
    <col min="8" max="8" width="16.5" bestFit="1" customWidth="1"/>
    <col min="9" max="9" width="18.83203125" bestFit="1" customWidth="1"/>
    <col min="10" max="10" width="10.6640625" bestFit="1" customWidth="1"/>
    <col min="11" max="11" width="12.5" bestFit="1" customWidth="1"/>
    <col min="12" max="12" width="24.6640625" bestFit="1" customWidth="1"/>
    <col min="13" max="13" width="29.33203125" bestFit="1" customWidth="1"/>
    <col min="14" max="14" width="9.33203125" bestFit="1" customWidth="1"/>
    <col min="15" max="15" width="11.83203125" bestFit="1" customWidth="1"/>
    <col min="16" max="16" width="10.1640625" bestFit="1" customWidth="1"/>
    <col min="17" max="17" width="9.83203125" bestFit="1" customWidth="1"/>
    <col min="18" max="18" width="8.83203125" bestFit="1" customWidth="1"/>
    <col min="19" max="19" width="26.83203125" bestFit="1" customWidth="1"/>
    <col min="20" max="20" width="24.33203125" bestFit="1" customWidth="1"/>
    <col min="21" max="21" width="35.33203125" bestFit="1" customWidth="1"/>
    <col min="22" max="22" width="14.1640625" bestFit="1" customWidth="1"/>
    <col min="23" max="23" width="15.6640625" bestFit="1" customWidth="1"/>
    <col min="24" max="24" width="11.83203125" bestFit="1" customWidth="1"/>
    <col min="25" max="25" width="19" bestFit="1" customWidth="1"/>
    <col min="26" max="26" width="32.83203125" bestFit="1" customWidth="1"/>
    <col min="27" max="27" width="25" bestFit="1" customWidth="1"/>
    <col min="28" max="28" width="20.1640625" bestFit="1" customWidth="1"/>
    <col min="29" max="29" width="18.83203125" bestFit="1" customWidth="1"/>
    <col min="30" max="30" width="13" bestFit="1" customWidth="1"/>
    <col min="31" max="31" width="18.6640625" bestFit="1" customWidth="1"/>
    <col min="32" max="32" width="10.6640625" bestFit="1" customWidth="1"/>
  </cols>
  <sheetData>
    <row r="1" spans="1:7" ht="22" thickBot="1">
      <c r="A1" s="19" t="s">
        <v>1615</v>
      </c>
      <c r="B1" s="20" t="s">
        <v>1600</v>
      </c>
      <c r="C1" s="21"/>
      <c r="D1" s="21"/>
      <c r="E1" s="21"/>
      <c r="F1" s="27"/>
      <c r="G1" s="22"/>
    </row>
    <row r="3" spans="1:7">
      <c r="B3" s="12" t="s">
        <v>5</v>
      </c>
      <c r="C3" t="s">
        <v>1638</v>
      </c>
    </row>
    <row r="4" spans="1:7">
      <c r="B4" s="13" t="s">
        <v>33</v>
      </c>
      <c r="C4">
        <v>31.67</v>
      </c>
    </row>
    <row r="5" spans="1:7">
      <c r="B5" s="13" t="s">
        <v>208</v>
      </c>
      <c r="C5">
        <v>44.5</v>
      </c>
    </row>
    <row r="6" spans="1:7">
      <c r="B6" s="13" t="s">
        <v>127</v>
      </c>
      <c r="C6">
        <v>15.33</v>
      </c>
    </row>
    <row r="7" spans="1:7">
      <c r="B7" s="13" t="s">
        <v>92</v>
      </c>
      <c r="C7">
        <v>29.71</v>
      </c>
    </row>
    <row r="8" spans="1:7">
      <c r="B8" s="13" t="s">
        <v>147</v>
      </c>
      <c r="C8">
        <v>14.02</v>
      </c>
    </row>
    <row r="9" spans="1:7">
      <c r="B9" s="13" t="s">
        <v>106</v>
      </c>
      <c r="C9">
        <v>25.89</v>
      </c>
    </row>
    <row r="10" spans="1:7">
      <c r="B10" s="13" t="s">
        <v>99</v>
      </c>
      <c r="C10">
        <v>44.68</v>
      </c>
    </row>
    <row r="11" spans="1:7">
      <c r="B11" s="13" t="s">
        <v>1548</v>
      </c>
      <c r="C11">
        <v>15</v>
      </c>
    </row>
    <row r="12" spans="1:7">
      <c r="B12" s="13" t="s">
        <v>175</v>
      </c>
      <c r="C12">
        <v>18.079999999999998</v>
      </c>
    </row>
    <row r="13" spans="1:7">
      <c r="B13" s="13" t="s">
        <v>16</v>
      </c>
      <c r="C13">
        <v>15.67</v>
      </c>
    </row>
    <row r="14" spans="1:7">
      <c r="B14" s="13" t="s">
        <v>160</v>
      </c>
      <c r="C14">
        <v>10.75</v>
      </c>
    </row>
    <row r="15" spans="1:7">
      <c r="B15" s="13" t="s">
        <v>70</v>
      </c>
      <c r="C15">
        <v>28.18</v>
      </c>
    </row>
    <row r="16" spans="1:7">
      <c r="B16" s="13" t="s">
        <v>62</v>
      </c>
      <c r="C16">
        <v>35.57</v>
      </c>
    </row>
    <row r="17" spans="2:3">
      <c r="B17" s="13" t="s">
        <v>203</v>
      </c>
      <c r="C17">
        <v>13.25</v>
      </c>
    </row>
    <row r="18" spans="2:3">
      <c r="B18" s="13" t="s">
        <v>1143</v>
      </c>
      <c r="C18">
        <v>15.72</v>
      </c>
    </row>
    <row r="19" spans="2:3">
      <c r="B19" s="13" t="s">
        <v>24</v>
      </c>
      <c r="C19">
        <v>20.350000000000001</v>
      </c>
    </row>
    <row r="20" spans="2:3">
      <c r="B20" s="13" t="s">
        <v>56</v>
      </c>
      <c r="C20">
        <v>14.92</v>
      </c>
    </row>
    <row r="21" spans="2:3">
      <c r="B21" s="13" t="s">
        <v>48</v>
      </c>
      <c r="C21">
        <v>29.5</v>
      </c>
    </row>
    <row r="22" spans="2:3">
      <c r="B22" s="13" t="s">
        <v>139</v>
      </c>
      <c r="C22">
        <v>140.75</v>
      </c>
    </row>
    <row r="23" spans="2:3">
      <c r="B23" s="13" t="s">
        <v>112</v>
      </c>
      <c r="C23">
        <v>26.43</v>
      </c>
    </row>
    <row r="24" spans="2:3">
      <c r="B24" s="13" t="s">
        <v>1150</v>
      </c>
      <c r="C24">
        <v>4.5</v>
      </c>
    </row>
    <row r="25" spans="2:3">
      <c r="B25" s="13" t="s">
        <v>197</v>
      </c>
      <c r="C25">
        <v>28.75</v>
      </c>
    </row>
    <row r="26" spans="2:3">
      <c r="B26" s="13" t="s">
        <v>120</v>
      </c>
      <c r="C26">
        <v>20</v>
      </c>
    </row>
    <row r="27" spans="2:3">
      <c r="B27" s="13" t="s">
        <v>155</v>
      </c>
      <c r="C27">
        <v>26.48</v>
      </c>
    </row>
    <row r="28" spans="2:3">
      <c r="B28" s="13" t="s">
        <v>214</v>
      </c>
      <c r="C28">
        <v>38.9</v>
      </c>
    </row>
    <row r="29" spans="2:3">
      <c r="B29" s="13" t="s">
        <v>133</v>
      </c>
      <c r="C29">
        <v>20</v>
      </c>
    </row>
    <row r="30" spans="2:3">
      <c r="B30" s="13" t="s">
        <v>181</v>
      </c>
      <c r="C30">
        <v>30.93</v>
      </c>
    </row>
    <row r="31" spans="2:3">
      <c r="B31" s="13" t="s">
        <v>41</v>
      </c>
      <c r="C31">
        <v>46</v>
      </c>
    </row>
    <row r="32" spans="2:3">
      <c r="B32" s="13" t="s">
        <v>166</v>
      </c>
      <c r="C32">
        <v>11.12</v>
      </c>
    </row>
    <row r="33" spans="2:5">
      <c r="B33" s="13" t="s">
        <v>1184</v>
      </c>
      <c r="C33">
        <v>28.160344827586201</v>
      </c>
    </row>
    <row r="40" spans="2:5">
      <c r="B40" s="12" t="s">
        <v>8</v>
      </c>
      <c r="C40" t="s">
        <v>1660</v>
      </c>
      <c r="D40" t="s">
        <v>1659</v>
      </c>
      <c r="E40" t="s">
        <v>1661</v>
      </c>
    </row>
    <row r="41" spans="2:5">
      <c r="B41" s="13" t="s">
        <v>64</v>
      </c>
      <c r="C41">
        <v>2</v>
      </c>
      <c r="D41">
        <v>8</v>
      </c>
      <c r="E41">
        <v>5735.65</v>
      </c>
    </row>
    <row r="42" spans="2:5">
      <c r="B42" s="13" t="s">
        <v>86</v>
      </c>
      <c r="C42">
        <v>1</v>
      </c>
      <c r="D42">
        <v>1</v>
      </c>
      <c r="E42">
        <v>90</v>
      </c>
    </row>
    <row r="43" spans="2:5">
      <c r="B43" s="13" t="s">
        <v>192</v>
      </c>
      <c r="C43">
        <v>2</v>
      </c>
      <c r="D43">
        <v>4</v>
      </c>
      <c r="E43">
        <v>6975.05</v>
      </c>
    </row>
    <row r="44" spans="2:5">
      <c r="B44" s="13" t="s">
        <v>161</v>
      </c>
      <c r="C44">
        <v>1</v>
      </c>
      <c r="D44">
        <v>2</v>
      </c>
      <c r="E44">
        <v>1187.5</v>
      </c>
    </row>
    <row r="45" spans="2:5">
      <c r="B45" s="13" t="s">
        <v>176</v>
      </c>
      <c r="C45">
        <v>1</v>
      </c>
      <c r="D45">
        <v>3</v>
      </c>
      <c r="E45">
        <v>2282.25</v>
      </c>
    </row>
    <row r="46" spans="2:5">
      <c r="B46" s="13" t="s">
        <v>140</v>
      </c>
      <c r="C46">
        <v>3</v>
      </c>
      <c r="D46">
        <v>5</v>
      </c>
      <c r="E46">
        <v>11534</v>
      </c>
    </row>
    <row r="47" spans="2:5">
      <c r="B47" s="13" t="s">
        <v>93</v>
      </c>
      <c r="C47">
        <v>3</v>
      </c>
      <c r="D47">
        <v>9</v>
      </c>
      <c r="E47">
        <v>7244.3</v>
      </c>
    </row>
    <row r="48" spans="2:5">
      <c r="B48" s="13" t="s">
        <v>113</v>
      </c>
      <c r="C48">
        <v>2</v>
      </c>
      <c r="D48">
        <v>5</v>
      </c>
      <c r="E48">
        <v>2275.1999999999998</v>
      </c>
    </row>
    <row r="49" spans="2:5">
      <c r="B49" s="13" t="s">
        <v>42</v>
      </c>
      <c r="C49">
        <v>2</v>
      </c>
      <c r="D49">
        <v>6</v>
      </c>
      <c r="E49">
        <v>5376.25</v>
      </c>
    </row>
    <row r="50" spans="2:5">
      <c r="B50" s="13" t="s">
        <v>168</v>
      </c>
      <c r="C50">
        <v>1</v>
      </c>
      <c r="D50">
        <v>2</v>
      </c>
      <c r="E50">
        <v>533.25</v>
      </c>
    </row>
    <row r="51" spans="2:5">
      <c r="B51" s="13" t="s">
        <v>121</v>
      </c>
      <c r="C51">
        <v>1</v>
      </c>
      <c r="D51">
        <v>3</v>
      </c>
      <c r="E51">
        <v>1775</v>
      </c>
    </row>
    <row r="52" spans="2:5">
      <c r="B52" s="13" t="s">
        <v>155</v>
      </c>
      <c r="C52">
        <v>1</v>
      </c>
      <c r="D52">
        <v>3</v>
      </c>
      <c r="E52">
        <v>1671.15</v>
      </c>
    </row>
    <row r="53" spans="2:5">
      <c r="B53" s="13" t="s">
        <v>50</v>
      </c>
      <c r="C53">
        <v>1</v>
      </c>
      <c r="D53">
        <v>2</v>
      </c>
      <c r="E53">
        <v>3730</v>
      </c>
    </row>
    <row r="54" spans="2:5">
      <c r="B54" s="13" t="s">
        <v>79</v>
      </c>
      <c r="C54">
        <v>2</v>
      </c>
      <c r="D54">
        <v>5</v>
      </c>
      <c r="E54">
        <v>6662</v>
      </c>
    </row>
    <row r="55" spans="2:5">
      <c r="B55" s="13" t="s">
        <v>18</v>
      </c>
      <c r="C55">
        <v>2</v>
      </c>
      <c r="D55">
        <v>7</v>
      </c>
      <c r="E55">
        <v>4730</v>
      </c>
    </row>
    <row r="56" spans="2:5">
      <c r="B56" s="13" t="s">
        <v>26</v>
      </c>
      <c r="C56">
        <v>4</v>
      </c>
      <c r="D56">
        <v>12</v>
      </c>
      <c r="E56">
        <v>12249.25</v>
      </c>
    </row>
    <row r="57" spans="2:5">
      <c r="B57" s="13" t="s">
        <v>1184</v>
      </c>
      <c r="C57">
        <v>29</v>
      </c>
      <c r="D57">
        <v>77</v>
      </c>
      <c r="E57">
        <v>74050.850000000006</v>
      </c>
    </row>
    <row r="65" spans="2:3">
      <c r="B65" s="12" t="s">
        <v>5</v>
      </c>
      <c r="C65" t="s">
        <v>1639</v>
      </c>
    </row>
    <row r="66" spans="2:3">
      <c r="B66" s="13" t="s">
        <v>33</v>
      </c>
      <c r="C66">
        <v>31.67</v>
      </c>
    </row>
    <row r="67" spans="2:3">
      <c r="B67" s="13" t="s">
        <v>208</v>
      </c>
      <c r="C67">
        <v>44.5</v>
      </c>
    </row>
    <row r="68" spans="2:3">
      <c r="B68" s="13" t="s">
        <v>127</v>
      </c>
      <c r="C68">
        <v>15.33</v>
      </c>
    </row>
    <row r="69" spans="2:3">
      <c r="B69" s="13" t="s">
        <v>92</v>
      </c>
      <c r="C69">
        <v>29.71</v>
      </c>
    </row>
    <row r="70" spans="2:3">
      <c r="B70" s="13" t="s">
        <v>147</v>
      </c>
      <c r="C70">
        <v>14.02</v>
      </c>
    </row>
    <row r="71" spans="2:3">
      <c r="B71" s="13" t="s">
        <v>106</v>
      </c>
      <c r="C71">
        <v>25.89</v>
      </c>
    </row>
    <row r="72" spans="2:3">
      <c r="B72" s="13" t="s">
        <v>99</v>
      </c>
      <c r="C72">
        <v>44.68</v>
      </c>
    </row>
    <row r="73" spans="2:3">
      <c r="B73" s="13" t="s">
        <v>1548</v>
      </c>
      <c r="C73">
        <v>15</v>
      </c>
    </row>
    <row r="74" spans="2:3">
      <c r="B74" s="13" t="s">
        <v>175</v>
      </c>
      <c r="C74">
        <v>18.079999999999998</v>
      </c>
    </row>
    <row r="75" spans="2:3">
      <c r="B75" s="13" t="s">
        <v>16</v>
      </c>
      <c r="C75">
        <v>15.67</v>
      </c>
    </row>
    <row r="76" spans="2:3">
      <c r="B76" s="13" t="s">
        <v>160</v>
      </c>
      <c r="C76">
        <v>10.75</v>
      </c>
    </row>
    <row r="77" spans="2:3">
      <c r="B77" s="13" t="s">
        <v>70</v>
      </c>
      <c r="C77">
        <v>28.18</v>
      </c>
    </row>
    <row r="78" spans="2:3">
      <c r="B78" s="13" t="s">
        <v>62</v>
      </c>
      <c r="C78">
        <v>35.57</v>
      </c>
    </row>
    <row r="79" spans="2:3">
      <c r="B79" s="13" t="s">
        <v>203</v>
      </c>
      <c r="C79">
        <v>13.25</v>
      </c>
    </row>
    <row r="80" spans="2:3">
      <c r="B80" s="13" t="s">
        <v>1143</v>
      </c>
      <c r="C80">
        <v>15.72</v>
      </c>
    </row>
    <row r="81" spans="2:3">
      <c r="B81" s="13" t="s">
        <v>24</v>
      </c>
      <c r="C81">
        <v>20.350000000000001</v>
      </c>
    </row>
    <row r="82" spans="2:3">
      <c r="B82" s="13" t="s">
        <v>56</v>
      </c>
      <c r="C82">
        <v>14.92</v>
      </c>
    </row>
    <row r="83" spans="2:3">
      <c r="B83" s="13" t="s">
        <v>48</v>
      </c>
      <c r="C83">
        <v>29.5</v>
      </c>
    </row>
    <row r="84" spans="2:3">
      <c r="B84" s="13" t="s">
        <v>139</v>
      </c>
      <c r="C84">
        <v>140.75</v>
      </c>
    </row>
    <row r="85" spans="2:3">
      <c r="B85" s="13" t="s">
        <v>112</v>
      </c>
      <c r="C85">
        <v>26.43</v>
      </c>
    </row>
    <row r="86" spans="2:3">
      <c r="B86" s="13" t="s">
        <v>1150</v>
      </c>
      <c r="C86">
        <v>4.5</v>
      </c>
    </row>
    <row r="87" spans="2:3">
      <c r="B87" s="13" t="s">
        <v>197</v>
      </c>
      <c r="C87">
        <v>28.75</v>
      </c>
    </row>
    <row r="88" spans="2:3">
      <c r="B88" s="13" t="s">
        <v>120</v>
      </c>
      <c r="C88">
        <v>20</v>
      </c>
    </row>
    <row r="89" spans="2:3">
      <c r="B89" s="13" t="s">
        <v>155</v>
      </c>
      <c r="C89">
        <v>26.48</v>
      </c>
    </row>
    <row r="90" spans="2:3">
      <c r="B90" s="13" t="s">
        <v>214</v>
      </c>
      <c r="C90">
        <v>38.9</v>
      </c>
    </row>
    <row r="91" spans="2:3">
      <c r="B91" s="13" t="s">
        <v>133</v>
      </c>
      <c r="C91">
        <v>20</v>
      </c>
    </row>
    <row r="92" spans="2:3">
      <c r="B92" s="13" t="s">
        <v>181</v>
      </c>
      <c r="C92">
        <v>30.93</v>
      </c>
    </row>
    <row r="93" spans="2:3">
      <c r="B93" s="13" t="s">
        <v>41</v>
      </c>
      <c r="C93">
        <v>46</v>
      </c>
    </row>
    <row r="94" spans="2:3">
      <c r="B94" s="13" t="s">
        <v>166</v>
      </c>
      <c r="C94">
        <v>11.12</v>
      </c>
    </row>
    <row r="95" spans="2:3">
      <c r="B95" s="13" t="s">
        <v>1184</v>
      </c>
      <c r="C95">
        <v>28.160344827586201</v>
      </c>
    </row>
  </sheetData>
  <pageMargins left="0.7" right="0.7" top="0.75" bottom="0.75" header="0.3" footer="0.3"/>
  <drawing r:id="rId4"/>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CBD01-3A95-40B1-8CEB-DD7432F6D708}">
  <dimension ref="A1:Q68"/>
  <sheetViews>
    <sheetView showGridLines="0" workbookViewId="0">
      <selection activeCell="A70" sqref="A70"/>
    </sheetView>
  </sheetViews>
  <sheetFormatPr baseColWidth="10" defaultColWidth="8.83203125" defaultRowHeight="13"/>
  <cols>
    <col min="9" max="9" width="16.83203125" bestFit="1" customWidth="1"/>
    <col min="10" max="10" width="16.6640625" bestFit="1" customWidth="1"/>
    <col min="11" max="11" width="36" bestFit="1" customWidth="1"/>
    <col min="12" max="12" width="12.1640625" bestFit="1" customWidth="1"/>
    <col min="13" max="13" width="153" bestFit="1" customWidth="1"/>
    <col min="14" max="14" width="16.83203125" bestFit="1" customWidth="1"/>
    <col min="15" max="15" width="22.83203125" bestFit="1" customWidth="1"/>
    <col min="16" max="16" width="24.1640625" bestFit="1" customWidth="1"/>
    <col min="17" max="17" width="19.6640625" bestFit="1" customWidth="1"/>
  </cols>
  <sheetData>
    <row r="1" spans="1:17" ht="14" thickBot="1">
      <c r="A1" s="43" t="s">
        <v>1572</v>
      </c>
      <c r="B1" s="44"/>
      <c r="C1" s="44"/>
      <c r="D1" s="44"/>
      <c r="E1" s="44"/>
      <c r="F1" s="44"/>
      <c r="G1" s="44"/>
      <c r="H1" s="45"/>
    </row>
    <row r="2" spans="1:17" ht="15" customHeight="1">
      <c r="A2" s="46" t="s">
        <v>1573</v>
      </c>
      <c r="B2" s="47"/>
      <c r="C2" s="47"/>
      <c r="D2" s="47"/>
      <c r="E2" s="47"/>
      <c r="F2" s="47"/>
      <c r="G2" s="47"/>
      <c r="H2" s="48"/>
      <c r="J2" t="s">
        <v>0</v>
      </c>
      <c r="K2" t="s">
        <v>1528</v>
      </c>
      <c r="L2" t="s">
        <v>8</v>
      </c>
      <c r="M2" t="s">
        <v>226</v>
      </c>
      <c r="N2" t="s">
        <v>1113</v>
      </c>
      <c r="O2" t="s">
        <v>1559</v>
      </c>
      <c r="P2" t="s">
        <v>1560</v>
      </c>
      <c r="Q2" t="s">
        <v>1561</v>
      </c>
    </row>
    <row r="3" spans="1:17">
      <c r="A3" s="46"/>
      <c r="B3" s="47"/>
      <c r="C3" s="47"/>
      <c r="D3" s="47"/>
      <c r="E3" s="47"/>
      <c r="F3" s="47"/>
      <c r="G3" s="47"/>
      <c r="H3" s="48"/>
      <c r="J3">
        <v>16</v>
      </c>
      <c r="K3" t="s">
        <v>123</v>
      </c>
      <c r="L3" t="s">
        <v>26</v>
      </c>
      <c r="M3">
        <v>1</v>
      </c>
      <c r="N3" t="s">
        <v>1115</v>
      </c>
      <c r="O3">
        <v>3</v>
      </c>
      <c r="P3">
        <v>15.33</v>
      </c>
      <c r="Q3">
        <v>183</v>
      </c>
    </row>
    <row r="4" spans="1:17">
      <c r="A4" s="46"/>
      <c r="B4" s="47"/>
      <c r="C4" s="47"/>
      <c r="D4" s="47"/>
      <c r="E4" s="47"/>
      <c r="F4" s="47"/>
      <c r="G4" s="47"/>
      <c r="H4" s="48"/>
      <c r="J4">
        <v>1</v>
      </c>
      <c r="K4" t="s">
        <v>12</v>
      </c>
      <c r="L4" t="s">
        <v>18</v>
      </c>
      <c r="M4">
        <v>1</v>
      </c>
      <c r="N4" t="s">
        <v>1115</v>
      </c>
      <c r="O4">
        <v>2</v>
      </c>
      <c r="P4">
        <v>18.5</v>
      </c>
      <c r="Q4">
        <v>56</v>
      </c>
    </row>
    <row r="5" spans="1:17">
      <c r="A5" s="46"/>
      <c r="B5" s="47"/>
      <c r="C5" s="47"/>
      <c r="D5" s="47"/>
      <c r="E5" s="47"/>
      <c r="F5" s="47"/>
      <c r="G5" s="47"/>
      <c r="H5" s="48"/>
      <c r="J5">
        <v>18</v>
      </c>
      <c r="K5" t="s">
        <v>1542</v>
      </c>
      <c r="L5" t="s">
        <v>140</v>
      </c>
      <c r="M5">
        <v>1</v>
      </c>
      <c r="N5" t="s">
        <v>1115</v>
      </c>
      <c r="O5">
        <v>2</v>
      </c>
      <c r="P5">
        <v>140.75</v>
      </c>
      <c r="Q5">
        <v>86</v>
      </c>
    </row>
    <row r="6" spans="1:17">
      <c r="A6" s="46"/>
      <c r="B6" s="47"/>
      <c r="C6" s="47"/>
      <c r="D6" s="47"/>
      <c r="E6" s="47"/>
      <c r="F6" s="47"/>
      <c r="G6" s="47"/>
      <c r="H6" s="48"/>
      <c r="J6">
        <v>7</v>
      </c>
      <c r="K6" t="s">
        <v>59</v>
      </c>
      <c r="L6" t="s">
        <v>64</v>
      </c>
      <c r="M6">
        <v>1</v>
      </c>
      <c r="N6" t="s">
        <v>1115</v>
      </c>
      <c r="O6">
        <v>1</v>
      </c>
      <c r="P6">
        <v>15</v>
      </c>
      <c r="Q6">
        <v>15</v>
      </c>
    </row>
    <row r="7" spans="1:17">
      <c r="A7" s="46"/>
      <c r="B7" s="47"/>
      <c r="C7" s="47"/>
      <c r="D7" s="47"/>
      <c r="E7" s="47"/>
      <c r="F7" s="47"/>
      <c r="G7" s="47"/>
      <c r="H7" s="48"/>
      <c r="J7">
        <v>20</v>
      </c>
      <c r="K7" t="s">
        <v>151</v>
      </c>
      <c r="L7" t="s">
        <v>155</v>
      </c>
      <c r="M7">
        <v>1</v>
      </c>
      <c r="N7" t="s">
        <v>1115</v>
      </c>
      <c r="O7">
        <v>1</v>
      </c>
      <c r="P7">
        <v>46</v>
      </c>
      <c r="Q7">
        <v>17</v>
      </c>
    </row>
    <row r="8" spans="1:17">
      <c r="A8" s="46"/>
      <c r="B8" s="47"/>
      <c r="C8" s="47"/>
      <c r="D8" s="47"/>
      <c r="E8" s="47"/>
      <c r="F8" s="47"/>
      <c r="G8" s="47"/>
      <c r="H8" s="48"/>
      <c r="J8">
        <v>10</v>
      </c>
      <c r="K8" t="s">
        <v>82</v>
      </c>
      <c r="L8" t="s">
        <v>86</v>
      </c>
      <c r="M8">
        <v>1</v>
      </c>
      <c r="N8" t="s">
        <v>1115</v>
      </c>
      <c r="O8">
        <v>1</v>
      </c>
      <c r="P8">
        <v>4.5</v>
      </c>
      <c r="Q8">
        <v>20</v>
      </c>
    </row>
    <row r="9" spans="1:17">
      <c r="A9" s="46"/>
      <c r="B9" s="47"/>
      <c r="C9" s="47"/>
      <c r="D9" s="47"/>
      <c r="E9" s="47"/>
      <c r="F9" s="47"/>
      <c r="G9" s="47"/>
      <c r="H9" s="48"/>
      <c r="J9">
        <v>12</v>
      </c>
      <c r="K9" t="s">
        <v>1544</v>
      </c>
      <c r="L9" t="s">
        <v>93</v>
      </c>
      <c r="M9">
        <v>1</v>
      </c>
      <c r="N9" t="s">
        <v>1115</v>
      </c>
      <c r="O9">
        <v>1</v>
      </c>
      <c r="P9">
        <v>7.75</v>
      </c>
      <c r="Q9">
        <v>125</v>
      </c>
    </row>
    <row r="10" spans="1:17">
      <c r="A10" s="46"/>
      <c r="B10" s="47"/>
      <c r="C10" s="47"/>
      <c r="D10" s="47"/>
      <c r="E10" s="47"/>
      <c r="F10" s="47"/>
      <c r="G10" s="47"/>
      <c r="H10" s="48"/>
      <c r="J10">
        <v>23</v>
      </c>
      <c r="K10" t="s">
        <v>171</v>
      </c>
      <c r="L10" t="s">
        <v>176</v>
      </c>
      <c r="M10">
        <v>1</v>
      </c>
      <c r="N10" t="s">
        <v>1115</v>
      </c>
      <c r="O10">
        <v>1</v>
      </c>
      <c r="P10">
        <v>18</v>
      </c>
      <c r="Q10">
        <v>57</v>
      </c>
    </row>
    <row r="11" spans="1:17">
      <c r="A11" s="46"/>
      <c r="B11" s="47"/>
      <c r="C11" s="47"/>
      <c r="D11" s="47"/>
      <c r="E11" s="47"/>
      <c r="F11" s="47"/>
      <c r="G11" s="47"/>
      <c r="H11" s="48"/>
      <c r="J11">
        <v>2</v>
      </c>
      <c r="K11" t="s">
        <v>20</v>
      </c>
      <c r="L11" t="s">
        <v>26</v>
      </c>
      <c r="M11">
        <v>2</v>
      </c>
      <c r="N11" t="s">
        <v>1117</v>
      </c>
      <c r="O11">
        <v>4</v>
      </c>
      <c r="P11">
        <v>20.350000000000001</v>
      </c>
      <c r="Q11">
        <v>133</v>
      </c>
    </row>
    <row r="12" spans="1:17">
      <c r="A12" s="46"/>
      <c r="B12" s="47"/>
      <c r="C12" s="47"/>
      <c r="D12" s="47"/>
      <c r="E12" s="47"/>
      <c r="F12" s="47"/>
      <c r="G12" s="47"/>
      <c r="H12" s="48"/>
      <c r="J12">
        <v>3</v>
      </c>
      <c r="K12" t="s">
        <v>29</v>
      </c>
      <c r="L12" t="s">
        <v>26</v>
      </c>
      <c r="M12">
        <v>2</v>
      </c>
      <c r="N12" t="s">
        <v>1117</v>
      </c>
      <c r="O12">
        <v>2</v>
      </c>
      <c r="P12">
        <v>32.5</v>
      </c>
      <c r="Q12">
        <v>126</v>
      </c>
    </row>
    <row r="13" spans="1:17">
      <c r="A13" s="46"/>
      <c r="B13" s="47"/>
      <c r="C13" s="47"/>
      <c r="D13" s="47"/>
      <c r="E13" s="47"/>
      <c r="F13" s="47"/>
      <c r="G13" s="47"/>
      <c r="H13" s="48"/>
      <c r="J13">
        <v>1</v>
      </c>
      <c r="K13" t="s">
        <v>12</v>
      </c>
      <c r="L13" t="s">
        <v>18</v>
      </c>
      <c r="M13">
        <v>2</v>
      </c>
      <c r="N13" t="s">
        <v>1117</v>
      </c>
      <c r="O13">
        <v>1</v>
      </c>
      <c r="P13">
        <v>10</v>
      </c>
      <c r="Q13">
        <v>13</v>
      </c>
    </row>
    <row r="14" spans="1:17">
      <c r="A14" s="46"/>
      <c r="B14" s="47"/>
      <c r="C14" s="47"/>
      <c r="D14" s="47"/>
      <c r="E14" s="47"/>
      <c r="F14" s="47"/>
      <c r="G14" s="47"/>
      <c r="H14" s="48"/>
      <c r="J14">
        <v>20</v>
      </c>
      <c r="K14" t="s">
        <v>151</v>
      </c>
      <c r="L14" t="s">
        <v>155</v>
      </c>
      <c r="M14">
        <v>2</v>
      </c>
      <c r="N14" t="s">
        <v>1117</v>
      </c>
      <c r="O14">
        <v>1</v>
      </c>
      <c r="P14">
        <v>19.45</v>
      </c>
      <c r="Q14">
        <v>27</v>
      </c>
    </row>
    <row r="15" spans="1:17">
      <c r="A15" s="46"/>
      <c r="B15" s="47"/>
      <c r="C15" s="47"/>
      <c r="D15" s="47"/>
      <c r="E15" s="47"/>
      <c r="F15" s="47"/>
      <c r="G15" s="47"/>
      <c r="H15" s="48"/>
      <c r="J15">
        <v>12</v>
      </c>
      <c r="K15" t="s">
        <v>1544</v>
      </c>
      <c r="L15" t="s">
        <v>93</v>
      </c>
      <c r="M15">
        <v>2</v>
      </c>
      <c r="N15" t="s">
        <v>1117</v>
      </c>
      <c r="O15">
        <v>1</v>
      </c>
      <c r="P15">
        <v>13</v>
      </c>
      <c r="Q15">
        <v>32</v>
      </c>
    </row>
    <row r="16" spans="1:17">
      <c r="A16" s="46"/>
      <c r="B16" s="47"/>
      <c r="C16" s="47"/>
      <c r="D16" s="47"/>
      <c r="E16" s="47"/>
      <c r="F16" s="47"/>
      <c r="G16" s="47"/>
      <c r="H16" s="48"/>
      <c r="J16">
        <v>6</v>
      </c>
      <c r="K16" t="s">
        <v>52</v>
      </c>
      <c r="L16" t="s">
        <v>42</v>
      </c>
      <c r="M16">
        <v>2</v>
      </c>
      <c r="N16" t="s">
        <v>1117</v>
      </c>
      <c r="O16">
        <v>1</v>
      </c>
      <c r="P16">
        <v>15.5</v>
      </c>
      <c r="Q16">
        <v>39</v>
      </c>
    </row>
    <row r="17" spans="1:17">
      <c r="A17" s="46"/>
      <c r="B17" s="47"/>
      <c r="C17" s="47"/>
      <c r="D17" s="47"/>
      <c r="E17" s="47"/>
      <c r="F17" s="47"/>
      <c r="G17" s="47"/>
      <c r="H17" s="48"/>
      <c r="J17">
        <v>7</v>
      </c>
      <c r="K17" t="s">
        <v>59</v>
      </c>
      <c r="L17" t="s">
        <v>64</v>
      </c>
      <c r="M17">
        <v>2</v>
      </c>
      <c r="N17" t="s">
        <v>1117</v>
      </c>
      <c r="O17">
        <v>1</v>
      </c>
      <c r="P17">
        <v>43.9</v>
      </c>
      <c r="Q17">
        <v>24</v>
      </c>
    </row>
    <row r="18" spans="1:17">
      <c r="A18" s="46"/>
      <c r="B18" s="47"/>
      <c r="C18" s="47"/>
      <c r="D18" s="47"/>
      <c r="E18" s="47"/>
      <c r="F18" s="47"/>
      <c r="G18" s="47"/>
      <c r="H18" s="48"/>
      <c r="J18">
        <v>29</v>
      </c>
      <c r="K18" t="s">
        <v>1540</v>
      </c>
      <c r="L18" t="s">
        <v>192</v>
      </c>
      <c r="M18">
        <v>2</v>
      </c>
      <c r="N18" t="s">
        <v>1117</v>
      </c>
      <c r="O18">
        <v>1</v>
      </c>
      <c r="P18">
        <v>28.5</v>
      </c>
      <c r="Q18">
        <v>113</v>
      </c>
    </row>
    <row r="19" spans="1:17">
      <c r="A19" s="46"/>
      <c r="B19" s="47"/>
      <c r="C19" s="47"/>
      <c r="D19" s="47"/>
      <c r="E19" s="47"/>
      <c r="F19" s="47"/>
      <c r="G19" s="47"/>
      <c r="H19" s="48"/>
      <c r="J19">
        <v>8</v>
      </c>
      <c r="K19" t="s">
        <v>67</v>
      </c>
      <c r="L19" t="s">
        <v>18</v>
      </c>
      <c r="M19">
        <v>3</v>
      </c>
      <c r="N19" t="s">
        <v>1119</v>
      </c>
      <c r="O19">
        <v>4</v>
      </c>
      <c r="P19">
        <v>28.18</v>
      </c>
      <c r="Q19">
        <v>74</v>
      </c>
    </row>
    <row r="20" spans="1:17">
      <c r="A20" s="46"/>
      <c r="B20" s="47"/>
      <c r="C20" s="47"/>
      <c r="D20" s="47"/>
      <c r="E20" s="47"/>
      <c r="F20" s="47"/>
      <c r="G20" s="47"/>
      <c r="H20" s="48"/>
      <c r="J20">
        <v>11</v>
      </c>
      <c r="K20" t="s">
        <v>1545</v>
      </c>
      <c r="L20" t="s">
        <v>93</v>
      </c>
      <c r="M20">
        <v>3</v>
      </c>
      <c r="N20" t="s">
        <v>1119</v>
      </c>
      <c r="O20">
        <v>3</v>
      </c>
      <c r="P20">
        <v>29.71</v>
      </c>
      <c r="Q20">
        <v>140</v>
      </c>
    </row>
    <row r="21" spans="1:17" ht="14" thickBot="1">
      <c r="A21" s="49"/>
      <c r="B21" s="50"/>
      <c r="C21" s="50"/>
      <c r="D21" s="50"/>
      <c r="E21" s="50"/>
      <c r="F21" s="50"/>
      <c r="G21" s="50"/>
      <c r="H21" s="51"/>
      <c r="J21">
        <v>22</v>
      </c>
      <c r="K21" t="s">
        <v>162</v>
      </c>
      <c r="L21" t="s">
        <v>168</v>
      </c>
      <c r="M21">
        <v>3</v>
      </c>
      <c r="N21" t="s">
        <v>1119</v>
      </c>
      <c r="O21">
        <v>2</v>
      </c>
      <c r="P21">
        <v>11.12</v>
      </c>
      <c r="Q21">
        <v>51</v>
      </c>
    </row>
    <row r="22" spans="1:17">
      <c r="A22" s="11"/>
      <c r="B22" s="11"/>
      <c r="C22" s="11"/>
      <c r="D22" s="11"/>
      <c r="E22" s="11"/>
      <c r="F22" s="11"/>
      <c r="G22" s="11"/>
      <c r="H22" s="11"/>
      <c r="J22">
        <v>23</v>
      </c>
      <c r="K22" t="s">
        <v>171</v>
      </c>
      <c r="L22" t="s">
        <v>176</v>
      </c>
      <c r="M22">
        <v>3</v>
      </c>
      <c r="N22" t="s">
        <v>1119</v>
      </c>
      <c r="O22">
        <v>2</v>
      </c>
      <c r="P22">
        <v>18.12</v>
      </c>
      <c r="Q22">
        <v>75</v>
      </c>
    </row>
    <row r="23" spans="1:17">
      <c r="A23" s="11"/>
      <c r="B23" s="11"/>
      <c r="C23" s="11"/>
      <c r="D23" s="11"/>
      <c r="E23" s="11"/>
      <c r="F23" s="11"/>
      <c r="G23" s="11"/>
      <c r="H23" s="11"/>
      <c r="J23">
        <v>7</v>
      </c>
      <c r="K23" t="s">
        <v>59</v>
      </c>
      <c r="L23" t="s">
        <v>64</v>
      </c>
      <c r="M23">
        <v>3</v>
      </c>
      <c r="N23" t="s">
        <v>1119</v>
      </c>
      <c r="O23">
        <v>1</v>
      </c>
      <c r="P23">
        <v>17.45</v>
      </c>
      <c r="Q23">
        <v>29</v>
      </c>
    </row>
    <row r="24" spans="1:17">
      <c r="A24" s="11"/>
      <c r="B24" s="11"/>
      <c r="C24" s="11"/>
      <c r="D24" s="11"/>
      <c r="E24" s="11"/>
      <c r="F24" s="11"/>
      <c r="G24" s="11"/>
      <c r="H24" s="11"/>
      <c r="J24">
        <v>29</v>
      </c>
      <c r="K24" t="s">
        <v>1540</v>
      </c>
      <c r="L24" t="s">
        <v>192</v>
      </c>
      <c r="M24">
        <v>3</v>
      </c>
      <c r="N24" t="s">
        <v>1119</v>
      </c>
      <c r="O24">
        <v>1</v>
      </c>
      <c r="P24">
        <v>49.3</v>
      </c>
      <c r="Q24">
        <v>17</v>
      </c>
    </row>
    <row r="25" spans="1:17">
      <c r="A25" s="11"/>
      <c r="B25" s="11"/>
      <c r="C25" s="11"/>
      <c r="D25" s="11"/>
      <c r="E25" s="11"/>
      <c r="F25" s="11"/>
      <c r="G25" s="11"/>
      <c r="H25" s="11"/>
      <c r="J25">
        <v>15</v>
      </c>
      <c r="K25" t="s">
        <v>117</v>
      </c>
      <c r="L25" t="s">
        <v>121</v>
      </c>
      <c r="M25">
        <v>4</v>
      </c>
      <c r="N25" t="s">
        <v>1121</v>
      </c>
      <c r="O25">
        <v>3</v>
      </c>
      <c r="P25">
        <v>20</v>
      </c>
      <c r="Q25">
        <v>164</v>
      </c>
    </row>
    <row r="26" spans="1:17">
      <c r="A26" s="11"/>
      <c r="B26" s="11"/>
      <c r="C26" s="11"/>
      <c r="D26" s="11"/>
      <c r="E26" s="11"/>
      <c r="F26" s="11"/>
      <c r="G26" s="11"/>
      <c r="H26" s="11"/>
      <c r="J26">
        <v>14</v>
      </c>
      <c r="K26" t="s">
        <v>109</v>
      </c>
      <c r="L26" t="s">
        <v>113</v>
      </c>
      <c r="M26">
        <v>4</v>
      </c>
      <c r="N26" t="s">
        <v>1121</v>
      </c>
      <c r="O26">
        <v>3</v>
      </c>
      <c r="P26">
        <v>26.43</v>
      </c>
      <c r="Q26">
        <v>23</v>
      </c>
    </row>
    <row r="27" spans="1:17">
      <c r="A27" s="11"/>
      <c r="B27" s="11"/>
      <c r="C27" s="11"/>
      <c r="D27" s="11"/>
      <c r="E27" s="11"/>
      <c r="F27" s="11"/>
      <c r="G27" s="11"/>
      <c r="H27" s="11"/>
      <c r="J27">
        <v>5</v>
      </c>
      <c r="K27" t="s">
        <v>44</v>
      </c>
      <c r="L27" t="s">
        <v>50</v>
      </c>
      <c r="M27">
        <v>4</v>
      </c>
      <c r="N27" t="s">
        <v>1121</v>
      </c>
      <c r="O27">
        <v>2</v>
      </c>
      <c r="P27">
        <v>29.5</v>
      </c>
      <c r="Q27">
        <v>108</v>
      </c>
    </row>
    <row r="28" spans="1:17">
      <c r="A28" s="11"/>
      <c r="B28" s="11"/>
      <c r="C28" s="11"/>
      <c r="D28" s="11"/>
      <c r="E28" s="11"/>
      <c r="F28" s="11"/>
      <c r="G28" s="11"/>
      <c r="H28" s="11"/>
      <c r="J28">
        <v>28</v>
      </c>
      <c r="K28" t="s">
        <v>1543</v>
      </c>
      <c r="L28" t="s">
        <v>140</v>
      </c>
      <c r="M28">
        <v>4</v>
      </c>
      <c r="N28" t="s">
        <v>1121</v>
      </c>
      <c r="O28">
        <v>2</v>
      </c>
      <c r="P28">
        <v>44.5</v>
      </c>
      <c r="Q28">
        <v>98</v>
      </c>
    </row>
    <row r="29" spans="1:17">
      <c r="A29" s="11"/>
      <c r="B29" s="11"/>
      <c r="C29" s="11"/>
      <c r="D29" s="11"/>
      <c r="E29" s="11"/>
      <c r="F29" s="11"/>
      <c r="G29" s="11"/>
      <c r="H29" s="11"/>
      <c r="J29">
        <v>9</v>
      </c>
      <c r="K29" t="s">
        <v>1547</v>
      </c>
      <c r="L29" t="s">
        <v>79</v>
      </c>
      <c r="M29">
        <v>5</v>
      </c>
      <c r="N29" t="s">
        <v>1123</v>
      </c>
      <c r="O29">
        <v>2</v>
      </c>
      <c r="P29">
        <v>15</v>
      </c>
      <c r="Q29">
        <v>165</v>
      </c>
    </row>
    <row r="30" spans="1:17">
      <c r="A30" s="11"/>
      <c r="B30" s="11"/>
      <c r="C30" s="11"/>
      <c r="D30" s="11"/>
      <c r="E30" s="11"/>
      <c r="F30" s="11"/>
      <c r="G30" s="11"/>
      <c r="H30" s="11"/>
      <c r="J30">
        <v>26</v>
      </c>
      <c r="K30" t="s">
        <v>194</v>
      </c>
      <c r="L30" t="s">
        <v>113</v>
      </c>
      <c r="M30">
        <v>5</v>
      </c>
      <c r="N30" t="s">
        <v>1123</v>
      </c>
      <c r="O30">
        <v>2</v>
      </c>
      <c r="P30">
        <v>28.75</v>
      </c>
      <c r="Q30">
        <v>57</v>
      </c>
    </row>
    <row r="31" spans="1:17">
      <c r="A31" s="11"/>
      <c r="B31" s="11"/>
      <c r="C31" s="11"/>
      <c r="D31" s="11"/>
      <c r="E31" s="11"/>
      <c r="F31" s="11"/>
      <c r="G31" s="11"/>
      <c r="H31" s="11"/>
      <c r="J31">
        <v>12</v>
      </c>
      <c r="K31" t="s">
        <v>1544</v>
      </c>
      <c r="L31" t="s">
        <v>93</v>
      </c>
      <c r="M31">
        <v>5</v>
      </c>
      <c r="N31" t="s">
        <v>1123</v>
      </c>
      <c r="O31">
        <v>1</v>
      </c>
      <c r="P31">
        <v>33.25</v>
      </c>
      <c r="Q31">
        <v>22</v>
      </c>
    </row>
    <row r="32" spans="1:17">
      <c r="A32" s="11"/>
      <c r="B32" s="11"/>
      <c r="C32" s="11"/>
      <c r="D32" s="11"/>
      <c r="E32" s="11"/>
      <c r="F32" s="11"/>
      <c r="G32" s="11"/>
      <c r="H32" s="11"/>
      <c r="J32">
        <v>20</v>
      </c>
      <c r="K32" t="s">
        <v>151</v>
      </c>
      <c r="L32" t="s">
        <v>155</v>
      </c>
      <c r="M32">
        <v>5</v>
      </c>
      <c r="N32" t="s">
        <v>1123</v>
      </c>
      <c r="O32">
        <v>1</v>
      </c>
      <c r="P32">
        <v>14</v>
      </c>
      <c r="Q32">
        <v>26</v>
      </c>
    </row>
    <row r="33" spans="1:17">
      <c r="A33" s="11"/>
      <c r="B33" s="11"/>
      <c r="C33" s="11"/>
      <c r="D33" s="11"/>
      <c r="E33" s="11"/>
      <c r="F33" s="11"/>
      <c r="G33" s="11"/>
      <c r="H33" s="11"/>
      <c r="J33">
        <v>24</v>
      </c>
      <c r="K33" t="s">
        <v>178</v>
      </c>
      <c r="L33" t="s">
        <v>64</v>
      </c>
      <c r="M33">
        <v>5</v>
      </c>
      <c r="N33" t="s">
        <v>1123</v>
      </c>
      <c r="O33">
        <v>1</v>
      </c>
      <c r="P33">
        <v>7</v>
      </c>
      <c r="Q33">
        <v>38</v>
      </c>
    </row>
    <row r="34" spans="1:17">
      <c r="A34" s="11"/>
      <c r="B34" s="11"/>
      <c r="C34" s="11"/>
      <c r="D34" s="11"/>
      <c r="E34" s="11"/>
      <c r="F34" s="11"/>
      <c r="G34" s="11"/>
      <c r="H34" s="11"/>
      <c r="J34">
        <v>25</v>
      </c>
      <c r="K34" t="s">
        <v>186</v>
      </c>
      <c r="L34" t="s">
        <v>192</v>
      </c>
      <c r="M34">
        <v>6</v>
      </c>
      <c r="N34" t="s">
        <v>1125</v>
      </c>
      <c r="O34">
        <v>2</v>
      </c>
      <c r="P34">
        <v>15.72</v>
      </c>
      <c r="Q34">
        <v>136</v>
      </c>
    </row>
    <row r="35" spans="1:17">
      <c r="A35" s="11"/>
      <c r="B35" s="11"/>
      <c r="C35" s="11"/>
      <c r="D35" s="11"/>
      <c r="E35" s="11"/>
      <c r="F35" s="11"/>
      <c r="G35" s="11"/>
      <c r="H35" s="11"/>
      <c r="J35">
        <v>4</v>
      </c>
      <c r="K35" t="s">
        <v>37</v>
      </c>
      <c r="L35" t="s">
        <v>42</v>
      </c>
      <c r="M35">
        <v>6</v>
      </c>
      <c r="N35" t="s">
        <v>1125</v>
      </c>
      <c r="O35">
        <v>1</v>
      </c>
      <c r="P35">
        <v>97</v>
      </c>
      <c r="Q35">
        <v>29</v>
      </c>
    </row>
    <row r="36" spans="1:17">
      <c r="A36" s="11"/>
      <c r="B36" s="11"/>
      <c r="C36" s="11"/>
      <c r="D36" s="11"/>
      <c r="E36" s="11"/>
      <c r="F36" s="11"/>
      <c r="G36" s="11"/>
      <c r="H36" s="11"/>
      <c r="J36">
        <v>7</v>
      </c>
      <c r="K36" t="s">
        <v>59</v>
      </c>
      <c r="L36" t="s">
        <v>64</v>
      </c>
      <c r="M36">
        <v>6</v>
      </c>
      <c r="N36" t="s">
        <v>1125</v>
      </c>
      <c r="O36">
        <v>1</v>
      </c>
      <c r="P36">
        <v>39</v>
      </c>
      <c r="Q36">
        <v>0</v>
      </c>
    </row>
    <row r="37" spans="1:17">
      <c r="A37" s="11"/>
      <c r="B37" s="11"/>
      <c r="C37" s="11"/>
      <c r="D37" s="11"/>
      <c r="E37" s="11"/>
      <c r="F37" s="11"/>
      <c r="G37" s="11"/>
      <c r="H37" s="11"/>
      <c r="J37">
        <v>12</v>
      </c>
      <c r="K37" t="s">
        <v>1544</v>
      </c>
      <c r="L37" t="s">
        <v>93</v>
      </c>
      <c r="M37">
        <v>6</v>
      </c>
      <c r="N37" t="s">
        <v>1125</v>
      </c>
      <c r="O37">
        <v>1</v>
      </c>
      <c r="P37">
        <v>123.79</v>
      </c>
      <c r="Q37">
        <v>0</v>
      </c>
    </row>
    <row r="38" spans="1:17">
      <c r="A38" s="11"/>
      <c r="B38" s="11"/>
      <c r="C38" s="11"/>
      <c r="D38" s="11"/>
      <c r="E38" s="11"/>
      <c r="F38" s="11"/>
      <c r="G38" s="11"/>
      <c r="H38" s="11"/>
      <c r="J38">
        <v>24</v>
      </c>
      <c r="K38" t="s">
        <v>178</v>
      </c>
      <c r="L38" t="s">
        <v>64</v>
      </c>
      <c r="M38">
        <v>6</v>
      </c>
      <c r="N38" t="s">
        <v>1125</v>
      </c>
      <c r="O38">
        <v>1</v>
      </c>
      <c r="P38">
        <v>32.799999999999997</v>
      </c>
      <c r="Q38">
        <v>0</v>
      </c>
    </row>
    <row r="39" spans="1:17">
      <c r="A39" s="11"/>
      <c r="B39" s="11"/>
      <c r="C39" s="11"/>
      <c r="D39" s="11"/>
      <c r="E39" s="11"/>
      <c r="F39" s="11"/>
      <c r="G39" s="11"/>
      <c r="H39" s="11"/>
      <c r="J39">
        <v>4</v>
      </c>
      <c r="K39" t="s">
        <v>37</v>
      </c>
      <c r="L39" t="s">
        <v>42</v>
      </c>
      <c r="M39">
        <v>7</v>
      </c>
      <c r="N39" t="s">
        <v>1127</v>
      </c>
      <c r="O39">
        <v>1</v>
      </c>
      <c r="P39">
        <v>10</v>
      </c>
      <c r="Q39">
        <v>4</v>
      </c>
    </row>
    <row r="40" spans="1:17">
      <c r="A40" s="11"/>
      <c r="B40" s="11"/>
      <c r="C40" s="11"/>
      <c r="D40" s="11"/>
      <c r="E40" s="11"/>
      <c r="F40" s="11"/>
      <c r="G40" s="11"/>
      <c r="H40" s="11"/>
      <c r="J40">
        <v>6</v>
      </c>
      <c r="K40" t="s">
        <v>52</v>
      </c>
      <c r="L40" t="s">
        <v>42</v>
      </c>
      <c r="M40">
        <v>7</v>
      </c>
      <c r="N40" t="s">
        <v>1127</v>
      </c>
      <c r="O40">
        <v>1</v>
      </c>
      <c r="P40">
        <v>23.25</v>
      </c>
      <c r="Q40">
        <v>35</v>
      </c>
    </row>
    <row r="41" spans="1:17">
      <c r="A41" s="11"/>
      <c r="B41" s="11"/>
      <c r="C41" s="11"/>
      <c r="D41" s="11"/>
      <c r="E41" s="11"/>
      <c r="F41" s="11"/>
      <c r="G41" s="11"/>
      <c r="H41" s="11"/>
      <c r="J41">
        <v>24</v>
      </c>
      <c r="K41" t="s">
        <v>178</v>
      </c>
      <c r="L41" t="s">
        <v>64</v>
      </c>
      <c r="M41">
        <v>7</v>
      </c>
      <c r="N41" t="s">
        <v>1127</v>
      </c>
      <c r="O41">
        <v>1</v>
      </c>
      <c r="P41">
        <v>53</v>
      </c>
      <c r="Q41">
        <v>20</v>
      </c>
    </row>
    <row r="42" spans="1:17">
      <c r="A42" s="11"/>
      <c r="B42" s="11"/>
      <c r="C42" s="11"/>
      <c r="D42" s="11"/>
      <c r="E42" s="11"/>
      <c r="F42" s="11"/>
      <c r="G42" s="11"/>
      <c r="H42" s="11"/>
      <c r="J42">
        <v>3</v>
      </c>
      <c r="K42" t="s">
        <v>29</v>
      </c>
      <c r="L42" t="s">
        <v>26</v>
      </c>
      <c r="M42">
        <v>7</v>
      </c>
      <c r="N42" t="s">
        <v>1127</v>
      </c>
      <c r="O42">
        <v>1</v>
      </c>
      <c r="P42">
        <v>30</v>
      </c>
      <c r="Q42">
        <v>15</v>
      </c>
    </row>
    <row r="43" spans="1:17">
      <c r="A43" s="11"/>
      <c r="B43" s="11"/>
      <c r="C43" s="11"/>
      <c r="D43" s="11"/>
      <c r="E43" s="11"/>
      <c r="F43" s="11"/>
      <c r="G43" s="11"/>
      <c r="H43" s="11"/>
      <c r="J43">
        <v>12</v>
      </c>
      <c r="K43" t="s">
        <v>1544</v>
      </c>
      <c r="L43" t="s">
        <v>93</v>
      </c>
      <c r="M43">
        <v>7</v>
      </c>
      <c r="N43" t="s">
        <v>1127</v>
      </c>
      <c r="O43">
        <v>1</v>
      </c>
      <c r="P43">
        <v>45.6</v>
      </c>
      <c r="Q43">
        <v>26</v>
      </c>
    </row>
    <row r="44" spans="1:17">
      <c r="A44" s="11"/>
      <c r="B44" s="11"/>
      <c r="C44" s="11"/>
      <c r="D44" s="11"/>
      <c r="E44" s="11"/>
      <c r="F44" s="11"/>
      <c r="G44" s="11"/>
      <c r="H44" s="11"/>
      <c r="J44">
        <v>17</v>
      </c>
      <c r="K44" t="s">
        <v>1546</v>
      </c>
      <c r="L44" t="s">
        <v>79</v>
      </c>
      <c r="M44">
        <v>8</v>
      </c>
      <c r="N44" t="s">
        <v>1129</v>
      </c>
      <c r="O44">
        <v>3</v>
      </c>
      <c r="P44">
        <v>20</v>
      </c>
      <c r="Q44">
        <v>224</v>
      </c>
    </row>
    <row r="45" spans="1:17">
      <c r="A45" s="11"/>
      <c r="B45" s="11"/>
      <c r="C45" s="11"/>
      <c r="D45" s="11"/>
      <c r="E45" s="11"/>
      <c r="F45" s="11"/>
      <c r="G45" s="11"/>
      <c r="H45" s="11"/>
      <c r="J45">
        <v>19</v>
      </c>
      <c r="K45" t="s">
        <v>143</v>
      </c>
      <c r="L45" t="s">
        <v>26</v>
      </c>
      <c r="M45">
        <v>8</v>
      </c>
      <c r="N45" t="s">
        <v>1129</v>
      </c>
      <c r="O45">
        <v>2</v>
      </c>
      <c r="P45">
        <v>14.02</v>
      </c>
      <c r="Q45">
        <v>208</v>
      </c>
    </row>
    <row r="46" spans="1:17">
      <c r="A46" s="11"/>
      <c r="B46" s="11"/>
      <c r="C46" s="11"/>
      <c r="D46" s="11"/>
      <c r="E46" s="11"/>
      <c r="F46" s="11"/>
      <c r="G46" s="11"/>
      <c r="H46" s="11"/>
      <c r="J46">
        <v>21</v>
      </c>
      <c r="K46" t="s">
        <v>157</v>
      </c>
      <c r="L46" t="s">
        <v>161</v>
      </c>
      <c r="M46">
        <v>8</v>
      </c>
      <c r="N46" t="s">
        <v>1129</v>
      </c>
      <c r="O46">
        <v>2</v>
      </c>
      <c r="P46">
        <v>10.75</v>
      </c>
      <c r="Q46">
        <v>100</v>
      </c>
    </row>
    <row r="47" spans="1:17">
      <c r="A47" s="11"/>
      <c r="B47" s="11"/>
      <c r="C47" s="11"/>
      <c r="D47" s="11"/>
      <c r="E47" s="11"/>
      <c r="F47" s="11"/>
      <c r="G47" s="11"/>
      <c r="H47" s="11"/>
      <c r="J47">
        <v>13</v>
      </c>
      <c r="K47" t="s">
        <v>102</v>
      </c>
      <c r="L47" t="s">
        <v>93</v>
      </c>
      <c r="M47">
        <v>8</v>
      </c>
      <c r="N47" t="s">
        <v>1129</v>
      </c>
      <c r="O47">
        <v>1</v>
      </c>
      <c r="P47">
        <v>25.89</v>
      </c>
      <c r="Q47">
        <v>10</v>
      </c>
    </row>
    <row r="48" spans="1:17">
      <c r="A48" s="11"/>
      <c r="B48" s="11"/>
      <c r="C48" s="11"/>
      <c r="D48" s="11"/>
      <c r="E48" s="11"/>
      <c r="F48" s="11"/>
      <c r="G48" s="11"/>
      <c r="H48" s="11"/>
      <c r="J48">
        <v>7</v>
      </c>
      <c r="K48" t="s">
        <v>59</v>
      </c>
      <c r="L48" t="s">
        <v>64</v>
      </c>
      <c r="M48">
        <v>8</v>
      </c>
      <c r="N48" t="s">
        <v>1129</v>
      </c>
      <c r="O48">
        <v>1</v>
      </c>
      <c r="P48">
        <v>62.5</v>
      </c>
      <c r="Q48">
        <v>42</v>
      </c>
    </row>
    <row r="49" spans="1:17">
      <c r="A49" s="11"/>
      <c r="B49" s="11"/>
      <c r="C49" s="11"/>
      <c r="D49" s="11"/>
      <c r="E49" s="11"/>
      <c r="F49" s="11"/>
      <c r="G49" s="11"/>
      <c r="H49" s="11"/>
      <c r="J49">
        <v>6</v>
      </c>
      <c r="K49" t="s">
        <v>52</v>
      </c>
      <c r="L49" t="s">
        <v>42</v>
      </c>
      <c r="M49">
        <v>8</v>
      </c>
      <c r="N49" t="s">
        <v>1129</v>
      </c>
      <c r="O49">
        <v>1</v>
      </c>
      <c r="P49">
        <v>6</v>
      </c>
      <c r="Q49">
        <v>24</v>
      </c>
    </row>
    <row r="50" spans="1:17">
      <c r="A50" s="11"/>
      <c r="B50" s="11"/>
      <c r="C50" s="11"/>
      <c r="D50" s="11"/>
      <c r="E50" s="11"/>
      <c r="F50" s="11"/>
      <c r="G50" s="11"/>
      <c r="H50" s="11"/>
      <c r="J50">
        <v>4</v>
      </c>
      <c r="K50" t="s">
        <v>37</v>
      </c>
      <c r="L50" t="s">
        <v>42</v>
      </c>
      <c r="M50">
        <v>8</v>
      </c>
      <c r="N50" t="s">
        <v>1129</v>
      </c>
      <c r="O50">
        <v>1</v>
      </c>
      <c r="P50">
        <v>31</v>
      </c>
      <c r="Q50">
        <v>31</v>
      </c>
    </row>
    <row r="51" spans="1:17">
      <c r="A51" s="11"/>
      <c r="B51" s="11"/>
      <c r="C51" s="11"/>
      <c r="D51" s="11"/>
      <c r="E51" s="11"/>
      <c r="F51" s="11"/>
      <c r="G51" s="11"/>
      <c r="H51" s="11"/>
      <c r="J51">
        <v>27</v>
      </c>
      <c r="K51" t="s">
        <v>200</v>
      </c>
      <c r="L51" t="s">
        <v>140</v>
      </c>
      <c r="M51">
        <v>8</v>
      </c>
      <c r="N51" t="s">
        <v>1129</v>
      </c>
      <c r="O51">
        <v>1</v>
      </c>
      <c r="P51">
        <v>13.25</v>
      </c>
      <c r="Q51">
        <v>62</v>
      </c>
    </row>
    <row r="52" spans="1:17">
      <c r="A52" s="11"/>
      <c r="B52" s="11"/>
      <c r="C52" s="11"/>
      <c r="D52" s="11"/>
      <c r="E52" s="11"/>
      <c r="F52" s="11"/>
      <c r="G52" s="11"/>
      <c r="H52" s="11"/>
    </row>
    <row r="53" spans="1:17" ht="14" thickBot="1">
      <c r="A53" s="11"/>
      <c r="B53" s="11"/>
      <c r="C53" s="11"/>
      <c r="D53" s="11"/>
      <c r="E53" s="11"/>
      <c r="F53" s="11"/>
      <c r="G53" s="11"/>
      <c r="H53" s="11"/>
    </row>
    <row r="54" spans="1:17" ht="14" thickBot="1">
      <c r="A54" s="43" t="s">
        <v>1574</v>
      </c>
      <c r="B54" s="44"/>
      <c r="C54" s="44"/>
      <c r="D54" s="44"/>
      <c r="E54" s="44"/>
      <c r="F54" s="44"/>
      <c r="G54" s="45"/>
    </row>
    <row r="55" spans="1:17" ht="12.75" customHeight="1">
      <c r="A55" s="46" t="s">
        <v>1575</v>
      </c>
      <c r="B55" s="47"/>
      <c r="C55" s="47"/>
      <c r="D55" s="47"/>
      <c r="E55" s="47"/>
      <c r="F55" s="47"/>
      <c r="G55" s="48"/>
      <c r="I55" t="s">
        <v>1113</v>
      </c>
      <c r="J55" t="s">
        <v>1549</v>
      </c>
      <c r="K55" t="s">
        <v>1562</v>
      </c>
      <c r="L55" t="s">
        <v>1551</v>
      </c>
      <c r="M55" t="s">
        <v>1563</v>
      </c>
    </row>
    <row r="56" spans="1:17">
      <c r="A56" s="46"/>
      <c r="B56" s="47"/>
      <c r="C56" s="47"/>
      <c r="D56" s="47"/>
      <c r="E56" s="47"/>
      <c r="F56" s="47"/>
      <c r="G56" s="48"/>
      <c r="I56" t="s">
        <v>1121</v>
      </c>
      <c r="J56">
        <v>4</v>
      </c>
      <c r="K56">
        <v>10</v>
      </c>
      <c r="L56">
        <v>28.73</v>
      </c>
      <c r="M56" t="s">
        <v>1564</v>
      </c>
    </row>
    <row r="57" spans="1:17">
      <c r="A57" s="46"/>
      <c r="B57" s="47"/>
      <c r="C57" s="47"/>
      <c r="D57" s="47"/>
      <c r="E57" s="47"/>
      <c r="F57" s="47"/>
      <c r="G57" s="48"/>
      <c r="I57" t="s">
        <v>1123</v>
      </c>
      <c r="J57">
        <v>5</v>
      </c>
      <c r="K57">
        <v>7</v>
      </c>
      <c r="L57">
        <v>20.25</v>
      </c>
      <c r="M57" t="s">
        <v>1565</v>
      </c>
    </row>
    <row r="58" spans="1:17">
      <c r="A58" s="46"/>
      <c r="B58" s="47"/>
      <c r="C58" s="47"/>
      <c r="D58" s="47"/>
      <c r="E58" s="47"/>
      <c r="F58" s="47"/>
      <c r="G58" s="48"/>
      <c r="I58" t="s">
        <v>1125</v>
      </c>
      <c r="J58">
        <v>5</v>
      </c>
      <c r="K58">
        <v>6</v>
      </c>
      <c r="L58">
        <v>54.01</v>
      </c>
      <c r="M58" t="s">
        <v>1566</v>
      </c>
    </row>
    <row r="59" spans="1:17">
      <c r="A59" s="46"/>
      <c r="B59" s="47"/>
      <c r="C59" s="47"/>
      <c r="D59" s="47"/>
      <c r="E59" s="47"/>
      <c r="F59" s="47"/>
      <c r="G59" s="48"/>
      <c r="I59" t="s">
        <v>1127</v>
      </c>
      <c r="J59">
        <v>5</v>
      </c>
      <c r="K59">
        <v>5</v>
      </c>
      <c r="L59">
        <v>32.369999999999997</v>
      </c>
      <c r="M59" t="s">
        <v>1567</v>
      </c>
    </row>
    <row r="60" spans="1:17">
      <c r="A60" s="46"/>
      <c r="B60" s="47"/>
      <c r="C60" s="47"/>
      <c r="D60" s="47"/>
      <c r="E60" s="47"/>
      <c r="F60" s="47"/>
      <c r="G60" s="48"/>
      <c r="I60" t="s">
        <v>1119</v>
      </c>
      <c r="J60">
        <v>6</v>
      </c>
      <c r="K60">
        <v>13</v>
      </c>
      <c r="L60">
        <v>25.16</v>
      </c>
      <c r="M60" t="s">
        <v>1568</v>
      </c>
    </row>
    <row r="61" spans="1:17">
      <c r="A61" s="46"/>
      <c r="B61" s="47"/>
      <c r="C61" s="47"/>
      <c r="D61" s="47"/>
      <c r="E61" s="47"/>
      <c r="F61" s="47"/>
      <c r="G61" s="48"/>
      <c r="I61" t="s">
        <v>1115</v>
      </c>
      <c r="J61">
        <v>8</v>
      </c>
      <c r="K61">
        <v>12</v>
      </c>
      <c r="L61">
        <v>37.979999999999997</v>
      </c>
      <c r="M61" t="s">
        <v>1569</v>
      </c>
    </row>
    <row r="62" spans="1:17">
      <c r="A62" s="46"/>
      <c r="B62" s="47"/>
      <c r="C62" s="47"/>
      <c r="D62" s="47"/>
      <c r="E62" s="47"/>
      <c r="F62" s="47"/>
      <c r="G62" s="48"/>
      <c r="I62" t="s">
        <v>1117</v>
      </c>
      <c r="J62">
        <v>8</v>
      </c>
      <c r="K62">
        <v>12</v>
      </c>
      <c r="L62">
        <v>23.06</v>
      </c>
      <c r="M62" t="s">
        <v>1570</v>
      </c>
    </row>
    <row r="63" spans="1:17">
      <c r="A63" s="46"/>
      <c r="B63" s="47"/>
      <c r="C63" s="47"/>
      <c r="D63" s="47"/>
      <c r="E63" s="47"/>
      <c r="F63" s="47"/>
      <c r="G63" s="48"/>
      <c r="I63" t="s">
        <v>1129</v>
      </c>
      <c r="J63">
        <v>8</v>
      </c>
      <c r="K63">
        <v>12</v>
      </c>
      <c r="L63">
        <v>20.68</v>
      </c>
      <c r="M63" t="s">
        <v>1571</v>
      </c>
    </row>
    <row r="64" spans="1:17">
      <c r="A64" s="46"/>
      <c r="B64" s="47"/>
      <c r="C64" s="47"/>
      <c r="D64" s="47"/>
      <c r="E64" s="47"/>
      <c r="F64" s="47"/>
      <c r="G64" s="48"/>
    </row>
    <row r="65" spans="1:7">
      <c r="A65" s="46"/>
      <c r="B65" s="47"/>
      <c r="C65" s="47"/>
      <c r="D65" s="47"/>
      <c r="E65" s="47"/>
      <c r="F65" s="47"/>
      <c r="G65" s="48"/>
    </row>
    <row r="66" spans="1:7">
      <c r="A66" s="46"/>
      <c r="B66" s="47"/>
      <c r="C66" s="47"/>
      <c r="D66" s="47"/>
      <c r="E66" s="47"/>
      <c r="F66" s="47"/>
      <c r="G66" s="48"/>
    </row>
    <row r="67" spans="1:7">
      <c r="A67" s="46"/>
      <c r="B67" s="47"/>
      <c r="C67" s="47"/>
      <c r="D67" s="47"/>
      <c r="E67" s="47"/>
      <c r="F67" s="47"/>
      <c r="G67" s="48"/>
    </row>
    <row r="68" spans="1:7" ht="14" thickBot="1">
      <c r="A68" s="49"/>
      <c r="B68" s="50"/>
      <c r="C68" s="50"/>
      <c r="D68" s="50"/>
      <c r="E68" s="50"/>
      <c r="F68" s="50"/>
      <c r="G68" s="51"/>
    </row>
  </sheetData>
  <mergeCells count="4">
    <mergeCell ref="A2:H21"/>
    <mergeCell ref="A55:G68"/>
    <mergeCell ref="A1:H1"/>
    <mergeCell ref="A54:G54"/>
  </mergeCells>
  <pageMargins left="0.7" right="0.7" top="0.75" bottom="0.75" header="0.3" footer="0.3"/>
  <tableParts count="2">
    <tablePart r:id="rId1"/>
    <tablePart r:id="rId2"/>
  </tableParts>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9D60A-DA6C-45C2-AFAE-9037E6973660}">
  <dimension ref="A1:L48"/>
  <sheetViews>
    <sheetView topLeftCell="I1" workbookViewId="0">
      <selection activeCell="O13" sqref="O13"/>
    </sheetView>
  </sheetViews>
  <sheetFormatPr baseColWidth="10" defaultColWidth="8.83203125" defaultRowHeight="13"/>
  <cols>
    <col min="1" max="1" width="18.5" bestFit="1" customWidth="1"/>
    <col min="2" max="2" width="17.5" bestFit="1" customWidth="1"/>
    <col min="3" max="3" width="16.83203125" bestFit="1" customWidth="1"/>
    <col min="4" max="4" width="23.1640625" bestFit="1" customWidth="1"/>
    <col min="5" max="5" width="11" bestFit="1" customWidth="1"/>
    <col min="6" max="6" width="12.1640625" bestFit="1" customWidth="1"/>
    <col min="7" max="7" width="12.33203125" bestFit="1" customWidth="1"/>
    <col min="8" max="8" width="12.83203125" bestFit="1" customWidth="1"/>
    <col min="9" max="9" width="14.1640625" bestFit="1" customWidth="1"/>
    <col min="10" max="10" width="15.83203125" bestFit="1" customWidth="1"/>
    <col min="11" max="11" width="26.1640625" bestFit="1" customWidth="1"/>
    <col min="12" max="12" width="27.1640625" bestFit="1" customWidth="1"/>
  </cols>
  <sheetData>
    <row r="1" spans="1:12">
      <c r="A1" t="s">
        <v>1529</v>
      </c>
      <c r="B1" t="s">
        <v>1531</v>
      </c>
      <c r="C1" t="s">
        <v>1113</v>
      </c>
      <c r="D1" t="s">
        <v>1576</v>
      </c>
      <c r="E1" t="s">
        <v>1577</v>
      </c>
      <c r="F1" t="s">
        <v>1551</v>
      </c>
      <c r="G1" t="s">
        <v>1578</v>
      </c>
      <c r="H1" t="s">
        <v>1579</v>
      </c>
      <c r="I1" t="s">
        <v>1580</v>
      </c>
      <c r="J1" t="s">
        <v>1581</v>
      </c>
      <c r="K1" t="s">
        <v>1582</v>
      </c>
      <c r="L1" t="s">
        <v>1583</v>
      </c>
    </row>
    <row r="2" spans="1:12">
      <c r="A2" t="s">
        <v>64</v>
      </c>
      <c r="B2" t="s">
        <v>63</v>
      </c>
      <c r="C2" t="s">
        <v>1115</v>
      </c>
      <c r="D2">
        <v>1</v>
      </c>
      <c r="E2">
        <v>1</v>
      </c>
      <c r="F2">
        <v>15</v>
      </c>
      <c r="G2">
        <v>15</v>
      </c>
      <c r="H2">
        <v>15</v>
      </c>
      <c r="I2">
        <v>0</v>
      </c>
      <c r="J2">
        <v>0</v>
      </c>
      <c r="K2">
        <v>14.15</v>
      </c>
      <c r="L2">
        <v>0.85</v>
      </c>
    </row>
    <row r="3" spans="1:12">
      <c r="A3" t="s">
        <v>64</v>
      </c>
      <c r="B3" t="s">
        <v>63</v>
      </c>
      <c r="C3" t="s">
        <v>1117</v>
      </c>
      <c r="D3">
        <v>1</v>
      </c>
      <c r="E3">
        <v>1</v>
      </c>
      <c r="F3">
        <v>43.9</v>
      </c>
      <c r="G3">
        <v>43.9</v>
      </c>
      <c r="H3">
        <v>43.9</v>
      </c>
      <c r="I3">
        <v>0</v>
      </c>
      <c r="J3">
        <v>0</v>
      </c>
      <c r="K3">
        <v>40.79</v>
      </c>
      <c r="L3">
        <v>3.11</v>
      </c>
    </row>
    <row r="4" spans="1:12">
      <c r="A4" t="s">
        <v>64</v>
      </c>
      <c r="B4" t="s">
        <v>63</v>
      </c>
      <c r="C4" t="s">
        <v>1119</v>
      </c>
      <c r="D4">
        <v>1</v>
      </c>
      <c r="E4">
        <v>1</v>
      </c>
      <c r="F4">
        <v>17.45</v>
      </c>
      <c r="G4">
        <v>17.45</v>
      </c>
      <c r="H4">
        <v>17.45</v>
      </c>
      <c r="I4">
        <v>0</v>
      </c>
      <c r="J4">
        <v>0</v>
      </c>
      <c r="K4">
        <v>16.38</v>
      </c>
      <c r="L4">
        <v>1.07</v>
      </c>
    </row>
    <row r="5" spans="1:12">
      <c r="A5" t="s">
        <v>64</v>
      </c>
      <c r="B5" t="s">
        <v>182</v>
      </c>
      <c r="C5" t="s">
        <v>1123</v>
      </c>
      <c r="D5">
        <v>1</v>
      </c>
      <c r="E5">
        <v>1</v>
      </c>
      <c r="F5">
        <v>7</v>
      </c>
      <c r="G5">
        <v>7</v>
      </c>
      <c r="H5">
        <v>7</v>
      </c>
      <c r="I5">
        <v>0</v>
      </c>
      <c r="J5">
        <v>0</v>
      </c>
      <c r="K5">
        <v>6.76</v>
      </c>
      <c r="L5">
        <v>0.24</v>
      </c>
    </row>
    <row r="6" spans="1:12">
      <c r="A6" t="s">
        <v>64</v>
      </c>
      <c r="B6" t="s">
        <v>182</v>
      </c>
      <c r="C6" t="s">
        <v>1125</v>
      </c>
      <c r="D6">
        <v>1</v>
      </c>
      <c r="E6">
        <v>1</v>
      </c>
      <c r="F6">
        <v>32.799999999999997</v>
      </c>
      <c r="G6">
        <v>32.799999999999997</v>
      </c>
      <c r="H6">
        <v>32.799999999999997</v>
      </c>
      <c r="I6">
        <v>0</v>
      </c>
      <c r="J6">
        <v>0</v>
      </c>
      <c r="K6">
        <v>30.16</v>
      </c>
      <c r="L6">
        <v>2.64</v>
      </c>
    </row>
    <row r="7" spans="1:12">
      <c r="A7" t="s">
        <v>64</v>
      </c>
      <c r="B7" t="s">
        <v>63</v>
      </c>
      <c r="C7" t="s">
        <v>1125</v>
      </c>
      <c r="D7">
        <v>1</v>
      </c>
      <c r="E7">
        <v>1</v>
      </c>
      <c r="F7">
        <v>39</v>
      </c>
      <c r="G7">
        <v>39</v>
      </c>
      <c r="H7">
        <v>39</v>
      </c>
      <c r="I7">
        <v>0</v>
      </c>
      <c r="J7">
        <v>0</v>
      </c>
      <c r="K7">
        <v>36.47</v>
      </c>
      <c r="L7">
        <v>2.5299999999999998</v>
      </c>
    </row>
    <row r="8" spans="1:12">
      <c r="A8" t="s">
        <v>64</v>
      </c>
      <c r="B8" t="s">
        <v>182</v>
      </c>
      <c r="C8" t="s">
        <v>1127</v>
      </c>
      <c r="D8">
        <v>1</v>
      </c>
      <c r="E8">
        <v>1</v>
      </c>
      <c r="F8">
        <v>53</v>
      </c>
      <c r="G8">
        <v>53</v>
      </c>
      <c r="H8">
        <v>53</v>
      </c>
      <c r="I8">
        <v>0</v>
      </c>
      <c r="J8">
        <v>0</v>
      </c>
      <c r="K8">
        <v>50.55</v>
      </c>
      <c r="L8">
        <v>2.4500000000000002</v>
      </c>
    </row>
    <row r="9" spans="1:12">
      <c r="A9" t="s">
        <v>64</v>
      </c>
      <c r="B9" t="s">
        <v>63</v>
      </c>
      <c r="C9" t="s">
        <v>1129</v>
      </c>
      <c r="D9">
        <v>1</v>
      </c>
      <c r="E9">
        <v>1</v>
      </c>
      <c r="F9">
        <v>62.5</v>
      </c>
      <c r="G9">
        <v>62.5</v>
      </c>
      <c r="H9">
        <v>62.5</v>
      </c>
      <c r="I9">
        <v>0</v>
      </c>
      <c r="J9">
        <v>0</v>
      </c>
      <c r="K9">
        <v>59.72</v>
      </c>
      <c r="L9">
        <v>2.78</v>
      </c>
    </row>
    <row r="10" spans="1:12">
      <c r="A10" t="s">
        <v>86</v>
      </c>
      <c r="B10" t="s">
        <v>1539</v>
      </c>
      <c r="C10" t="s">
        <v>1115</v>
      </c>
      <c r="D10">
        <v>1</v>
      </c>
      <c r="E10">
        <v>1</v>
      </c>
      <c r="F10">
        <v>4.5</v>
      </c>
      <c r="G10">
        <v>4.5</v>
      </c>
      <c r="H10">
        <v>4.5</v>
      </c>
      <c r="I10">
        <v>0</v>
      </c>
      <c r="J10">
        <v>0</v>
      </c>
      <c r="K10">
        <v>4.24</v>
      </c>
      <c r="L10">
        <v>0.26</v>
      </c>
    </row>
    <row r="11" spans="1:12">
      <c r="A11" t="s">
        <v>192</v>
      </c>
      <c r="B11" t="s">
        <v>1541</v>
      </c>
      <c r="C11" t="s">
        <v>1117</v>
      </c>
      <c r="D11">
        <v>1</v>
      </c>
      <c r="E11">
        <v>1</v>
      </c>
      <c r="F11">
        <v>28.5</v>
      </c>
      <c r="G11">
        <v>28.5</v>
      </c>
      <c r="H11">
        <v>28.5</v>
      </c>
      <c r="I11">
        <v>0</v>
      </c>
      <c r="J11">
        <v>0</v>
      </c>
      <c r="K11">
        <v>27.79</v>
      </c>
      <c r="L11">
        <v>0.71</v>
      </c>
    </row>
    <row r="12" spans="1:12">
      <c r="A12" t="s">
        <v>192</v>
      </c>
      <c r="B12" t="s">
        <v>1541</v>
      </c>
      <c r="C12" t="s">
        <v>1119</v>
      </c>
      <c r="D12">
        <v>1</v>
      </c>
      <c r="E12">
        <v>1</v>
      </c>
      <c r="F12">
        <v>49.3</v>
      </c>
      <c r="G12">
        <v>49.3</v>
      </c>
      <c r="H12">
        <v>49.3</v>
      </c>
      <c r="I12">
        <v>0</v>
      </c>
      <c r="J12">
        <v>0</v>
      </c>
      <c r="K12">
        <v>46.41</v>
      </c>
      <c r="L12">
        <v>2.89</v>
      </c>
    </row>
    <row r="13" spans="1:12">
      <c r="A13" t="s">
        <v>192</v>
      </c>
      <c r="B13" t="s">
        <v>1541</v>
      </c>
      <c r="C13" t="s">
        <v>1125</v>
      </c>
      <c r="D13">
        <v>1</v>
      </c>
      <c r="E13">
        <v>2</v>
      </c>
      <c r="F13">
        <v>15.37</v>
      </c>
      <c r="G13">
        <v>7.45</v>
      </c>
      <c r="H13">
        <v>24</v>
      </c>
      <c r="I13">
        <v>16.55</v>
      </c>
      <c r="J13">
        <v>8.27</v>
      </c>
      <c r="K13">
        <v>14.26</v>
      </c>
      <c r="L13">
        <v>1.1000000000000001</v>
      </c>
    </row>
    <row r="14" spans="1:12">
      <c r="A14" t="s">
        <v>161</v>
      </c>
      <c r="B14" t="s">
        <v>1539</v>
      </c>
      <c r="C14" t="s">
        <v>1129</v>
      </c>
      <c r="D14">
        <v>1</v>
      </c>
      <c r="E14">
        <v>2</v>
      </c>
      <c r="F14">
        <v>11.15</v>
      </c>
      <c r="G14">
        <v>9.5</v>
      </c>
      <c r="H14">
        <v>12</v>
      </c>
      <c r="I14">
        <v>2.5</v>
      </c>
      <c r="J14">
        <v>1.19</v>
      </c>
      <c r="K14">
        <v>10.47</v>
      </c>
      <c r="L14">
        <v>0.68</v>
      </c>
    </row>
    <row r="15" spans="1:12">
      <c r="A15" t="s">
        <v>176</v>
      </c>
      <c r="B15" t="s">
        <v>1539</v>
      </c>
      <c r="C15" t="s">
        <v>1115</v>
      </c>
      <c r="D15">
        <v>1</v>
      </c>
      <c r="E15">
        <v>1</v>
      </c>
      <c r="F15">
        <v>18</v>
      </c>
      <c r="G15">
        <v>18</v>
      </c>
      <c r="H15">
        <v>18</v>
      </c>
      <c r="I15">
        <v>0</v>
      </c>
      <c r="J15">
        <v>0</v>
      </c>
      <c r="K15">
        <v>16.98</v>
      </c>
      <c r="L15">
        <v>1.02</v>
      </c>
    </row>
    <row r="16" spans="1:12">
      <c r="A16" t="s">
        <v>176</v>
      </c>
      <c r="B16" t="s">
        <v>1539</v>
      </c>
      <c r="C16" t="s">
        <v>1119</v>
      </c>
      <c r="D16">
        <v>1</v>
      </c>
      <c r="E16">
        <v>2</v>
      </c>
      <c r="F16">
        <v>18.79</v>
      </c>
      <c r="G16">
        <v>16.25</v>
      </c>
      <c r="H16">
        <v>20</v>
      </c>
      <c r="I16">
        <v>3.75</v>
      </c>
      <c r="J16">
        <v>1.75</v>
      </c>
      <c r="K16">
        <v>17.34</v>
      </c>
      <c r="L16">
        <v>1.45</v>
      </c>
    </row>
    <row r="17" spans="1:12">
      <c r="A17" t="s">
        <v>140</v>
      </c>
      <c r="B17" t="s">
        <v>1539</v>
      </c>
      <c r="C17" t="s">
        <v>1115</v>
      </c>
      <c r="D17">
        <v>1</v>
      </c>
      <c r="E17">
        <v>2</v>
      </c>
      <c r="F17">
        <v>127.11</v>
      </c>
      <c r="G17">
        <v>18</v>
      </c>
      <c r="H17">
        <v>263.5</v>
      </c>
      <c r="I17">
        <v>245.5</v>
      </c>
      <c r="J17">
        <v>121.99</v>
      </c>
      <c r="K17">
        <v>118.57</v>
      </c>
      <c r="L17">
        <v>8.5399999999999991</v>
      </c>
    </row>
    <row r="18" spans="1:12">
      <c r="A18" t="s">
        <v>140</v>
      </c>
      <c r="B18" t="s">
        <v>1539</v>
      </c>
      <c r="C18" t="s">
        <v>1121</v>
      </c>
      <c r="D18">
        <v>1</v>
      </c>
      <c r="E18">
        <v>2</v>
      </c>
      <c r="F18">
        <v>44.8</v>
      </c>
      <c r="G18">
        <v>34</v>
      </c>
      <c r="H18">
        <v>55</v>
      </c>
      <c r="I18">
        <v>21</v>
      </c>
      <c r="J18">
        <v>10.5</v>
      </c>
      <c r="K18">
        <v>41.9</v>
      </c>
      <c r="L18">
        <v>2.9</v>
      </c>
    </row>
    <row r="19" spans="1:12">
      <c r="A19" t="s">
        <v>140</v>
      </c>
      <c r="B19" t="s">
        <v>1539</v>
      </c>
      <c r="C19" t="s">
        <v>1129</v>
      </c>
      <c r="D19">
        <v>1</v>
      </c>
      <c r="E19">
        <v>1</v>
      </c>
      <c r="F19">
        <v>13.25</v>
      </c>
      <c r="G19">
        <v>13.25</v>
      </c>
      <c r="H19">
        <v>13.25</v>
      </c>
      <c r="I19">
        <v>0</v>
      </c>
      <c r="J19">
        <v>0</v>
      </c>
      <c r="K19">
        <v>12.66</v>
      </c>
      <c r="L19">
        <v>0.59</v>
      </c>
    </row>
    <row r="20" spans="1:12">
      <c r="A20" t="s">
        <v>93</v>
      </c>
      <c r="B20" t="s">
        <v>1539</v>
      </c>
      <c r="C20" t="s">
        <v>1115</v>
      </c>
      <c r="D20">
        <v>1</v>
      </c>
      <c r="E20">
        <v>1</v>
      </c>
      <c r="F20">
        <v>7.75</v>
      </c>
      <c r="G20">
        <v>7.75</v>
      </c>
      <c r="H20">
        <v>7.75</v>
      </c>
      <c r="I20">
        <v>0</v>
      </c>
      <c r="J20">
        <v>0</v>
      </c>
      <c r="K20">
        <v>7.38</v>
      </c>
      <c r="L20">
        <v>0.37</v>
      </c>
    </row>
    <row r="21" spans="1:12">
      <c r="A21" t="s">
        <v>93</v>
      </c>
      <c r="B21" t="s">
        <v>1539</v>
      </c>
      <c r="C21" t="s">
        <v>1117</v>
      </c>
      <c r="D21">
        <v>1</v>
      </c>
      <c r="E21">
        <v>1</v>
      </c>
      <c r="F21">
        <v>13</v>
      </c>
      <c r="G21">
        <v>13</v>
      </c>
      <c r="H21">
        <v>13</v>
      </c>
      <c r="I21">
        <v>0</v>
      </c>
      <c r="J21">
        <v>0</v>
      </c>
      <c r="K21">
        <v>12.11</v>
      </c>
      <c r="L21">
        <v>0.89</v>
      </c>
    </row>
    <row r="22" spans="1:12">
      <c r="A22" t="s">
        <v>93</v>
      </c>
      <c r="B22" t="s">
        <v>1539</v>
      </c>
      <c r="C22" t="s">
        <v>1119</v>
      </c>
      <c r="D22">
        <v>1</v>
      </c>
      <c r="E22">
        <v>3</v>
      </c>
      <c r="F22">
        <v>27.91</v>
      </c>
      <c r="G22">
        <v>14</v>
      </c>
      <c r="H22">
        <v>43.9</v>
      </c>
      <c r="I22">
        <v>29.9</v>
      </c>
      <c r="J22">
        <v>10.199999999999999</v>
      </c>
      <c r="K22">
        <v>25.89</v>
      </c>
      <c r="L22">
        <v>2.02</v>
      </c>
    </row>
    <row r="23" spans="1:12">
      <c r="A23" t="s">
        <v>93</v>
      </c>
      <c r="B23" t="s">
        <v>1539</v>
      </c>
      <c r="C23" t="s">
        <v>1123</v>
      </c>
      <c r="D23">
        <v>1</v>
      </c>
      <c r="E23">
        <v>1</v>
      </c>
      <c r="F23">
        <v>33.25</v>
      </c>
      <c r="G23">
        <v>33.25</v>
      </c>
      <c r="H23">
        <v>33.25</v>
      </c>
      <c r="I23">
        <v>0</v>
      </c>
      <c r="J23">
        <v>0</v>
      </c>
      <c r="K23">
        <v>31.03</v>
      </c>
      <c r="L23">
        <v>2.2200000000000002</v>
      </c>
    </row>
    <row r="24" spans="1:12">
      <c r="A24" t="s">
        <v>93</v>
      </c>
      <c r="B24" t="s">
        <v>1539</v>
      </c>
      <c r="C24" t="s">
        <v>1125</v>
      </c>
      <c r="D24">
        <v>1</v>
      </c>
      <c r="E24">
        <v>1</v>
      </c>
      <c r="F24">
        <v>123.79</v>
      </c>
      <c r="G24">
        <v>123.79</v>
      </c>
      <c r="H24">
        <v>123.79</v>
      </c>
      <c r="I24">
        <v>0</v>
      </c>
      <c r="J24">
        <v>0</v>
      </c>
      <c r="K24">
        <v>116.04</v>
      </c>
      <c r="L24">
        <v>7.75</v>
      </c>
    </row>
    <row r="25" spans="1:12">
      <c r="A25" t="s">
        <v>93</v>
      </c>
      <c r="B25" t="s">
        <v>1539</v>
      </c>
      <c r="C25" t="s">
        <v>1127</v>
      </c>
      <c r="D25">
        <v>1</v>
      </c>
      <c r="E25">
        <v>1</v>
      </c>
      <c r="F25">
        <v>45.6</v>
      </c>
      <c r="G25">
        <v>45.6</v>
      </c>
      <c r="H25">
        <v>45.6</v>
      </c>
      <c r="I25">
        <v>0</v>
      </c>
      <c r="J25">
        <v>0</v>
      </c>
      <c r="K25">
        <v>41.98</v>
      </c>
      <c r="L25">
        <v>3.62</v>
      </c>
    </row>
    <row r="26" spans="1:12">
      <c r="A26" t="s">
        <v>93</v>
      </c>
      <c r="B26" t="s">
        <v>1539</v>
      </c>
      <c r="C26" t="s">
        <v>1129</v>
      </c>
      <c r="D26">
        <v>1</v>
      </c>
      <c r="E26">
        <v>1</v>
      </c>
      <c r="F26">
        <v>25.89</v>
      </c>
      <c r="G26">
        <v>25.89</v>
      </c>
      <c r="H26">
        <v>25.89</v>
      </c>
      <c r="I26">
        <v>0</v>
      </c>
      <c r="J26">
        <v>0</v>
      </c>
      <c r="K26">
        <v>24.27</v>
      </c>
      <c r="L26">
        <v>1.62</v>
      </c>
    </row>
    <row r="27" spans="1:12">
      <c r="A27" t="s">
        <v>113</v>
      </c>
      <c r="B27" t="s">
        <v>1539</v>
      </c>
      <c r="C27" t="s">
        <v>1121</v>
      </c>
      <c r="D27">
        <v>1</v>
      </c>
      <c r="E27">
        <v>3</v>
      </c>
      <c r="F27">
        <v>23.46</v>
      </c>
      <c r="G27">
        <v>12.5</v>
      </c>
      <c r="H27">
        <v>34.799999999999997</v>
      </c>
      <c r="I27">
        <v>22.3</v>
      </c>
      <c r="J27">
        <v>10.79</v>
      </c>
      <c r="K27">
        <v>21.86</v>
      </c>
      <c r="L27">
        <v>1.6</v>
      </c>
    </row>
    <row r="28" spans="1:12">
      <c r="A28" t="s">
        <v>113</v>
      </c>
      <c r="B28" t="s">
        <v>1539</v>
      </c>
      <c r="C28" t="s">
        <v>1123</v>
      </c>
      <c r="D28">
        <v>1</v>
      </c>
      <c r="E28">
        <v>2</v>
      </c>
      <c r="F28">
        <v>32.17</v>
      </c>
      <c r="G28">
        <v>19.5</v>
      </c>
      <c r="H28">
        <v>38</v>
      </c>
      <c r="I28">
        <v>18.5</v>
      </c>
      <c r="J28">
        <v>8.59</v>
      </c>
      <c r="K28">
        <v>29.97</v>
      </c>
      <c r="L28">
        <v>2.2000000000000002</v>
      </c>
    </row>
    <row r="29" spans="1:12">
      <c r="A29" t="s">
        <v>42</v>
      </c>
      <c r="B29" t="s">
        <v>1539</v>
      </c>
      <c r="C29" t="s">
        <v>1117</v>
      </c>
      <c r="D29">
        <v>1</v>
      </c>
      <c r="E29">
        <v>1</v>
      </c>
      <c r="F29">
        <v>15.5</v>
      </c>
      <c r="G29">
        <v>15.5</v>
      </c>
      <c r="H29">
        <v>15.5</v>
      </c>
      <c r="I29">
        <v>0</v>
      </c>
      <c r="J29">
        <v>0</v>
      </c>
      <c r="K29">
        <v>14.47</v>
      </c>
      <c r="L29">
        <v>1.03</v>
      </c>
    </row>
    <row r="30" spans="1:12">
      <c r="A30" t="s">
        <v>42</v>
      </c>
      <c r="B30" t="s">
        <v>1539</v>
      </c>
      <c r="C30" t="s">
        <v>1125</v>
      </c>
      <c r="D30">
        <v>1</v>
      </c>
      <c r="E30">
        <v>1</v>
      </c>
      <c r="F30">
        <v>97</v>
      </c>
      <c r="G30">
        <v>97</v>
      </c>
      <c r="H30">
        <v>97</v>
      </c>
      <c r="I30">
        <v>0</v>
      </c>
      <c r="J30">
        <v>0</v>
      </c>
      <c r="K30">
        <v>93.12</v>
      </c>
      <c r="L30">
        <v>3.88</v>
      </c>
    </row>
    <row r="31" spans="1:12">
      <c r="A31" t="s">
        <v>42</v>
      </c>
      <c r="B31" t="s">
        <v>1539</v>
      </c>
      <c r="C31" t="s">
        <v>1127</v>
      </c>
      <c r="D31">
        <v>2</v>
      </c>
      <c r="E31">
        <v>2</v>
      </c>
      <c r="F31">
        <v>18.329999999999998</v>
      </c>
      <c r="G31">
        <v>10</v>
      </c>
      <c r="H31">
        <v>23.25</v>
      </c>
      <c r="I31">
        <v>13.25</v>
      </c>
      <c r="J31">
        <v>6.4</v>
      </c>
      <c r="K31">
        <v>16.68</v>
      </c>
      <c r="L31">
        <v>1.65</v>
      </c>
    </row>
    <row r="32" spans="1:12">
      <c r="A32" t="s">
        <v>42</v>
      </c>
      <c r="B32" t="s">
        <v>1539</v>
      </c>
      <c r="C32" t="s">
        <v>1129</v>
      </c>
      <c r="D32">
        <v>2</v>
      </c>
      <c r="E32">
        <v>2</v>
      </c>
      <c r="F32">
        <v>17.3</v>
      </c>
      <c r="G32">
        <v>6</v>
      </c>
      <c r="H32">
        <v>31</v>
      </c>
      <c r="I32">
        <v>25</v>
      </c>
      <c r="J32">
        <v>12.44</v>
      </c>
      <c r="K32">
        <v>16.579999999999998</v>
      </c>
      <c r="L32">
        <v>0.73</v>
      </c>
    </row>
    <row r="33" spans="1:12">
      <c r="A33" t="s">
        <v>168</v>
      </c>
      <c r="B33" t="s">
        <v>1539</v>
      </c>
      <c r="C33" t="s">
        <v>1119</v>
      </c>
      <c r="D33">
        <v>1</v>
      </c>
      <c r="E33">
        <v>2</v>
      </c>
      <c r="F33">
        <v>10.220000000000001</v>
      </c>
      <c r="G33">
        <v>9.5</v>
      </c>
      <c r="H33">
        <v>12.75</v>
      </c>
      <c r="I33">
        <v>3.25</v>
      </c>
      <c r="J33">
        <v>1.35</v>
      </c>
      <c r="K33">
        <v>9.75</v>
      </c>
      <c r="L33">
        <v>0.47</v>
      </c>
    </row>
    <row r="34" spans="1:12">
      <c r="A34" t="s">
        <v>121</v>
      </c>
      <c r="B34" t="s">
        <v>1539</v>
      </c>
      <c r="C34" t="s">
        <v>1121</v>
      </c>
      <c r="D34">
        <v>1</v>
      </c>
      <c r="E34">
        <v>3</v>
      </c>
      <c r="F34">
        <v>19.989999999999998</v>
      </c>
      <c r="G34">
        <v>2.5</v>
      </c>
      <c r="H34">
        <v>36</v>
      </c>
      <c r="I34">
        <v>33.5</v>
      </c>
      <c r="J34">
        <v>13.03</v>
      </c>
      <c r="K34">
        <v>18.489999999999998</v>
      </c>
      <c r="L34">
        <v>1.5</v>
      </c>
    </row>
    <row r="35" spans="1:12">
      <c r="A35" t="s">
        <v>155</v>
      </c>
      <c r="B35" t="s">
        <v>1539</v>
      </c>
      <c r="C35" t="s">
        <v>1115</v>
      </c>
      <c r="D35">
        <v>1</v>
      </c>
      <c r="E35">
        <v>1</v>
      </c>
      <c r="F35">
        <v>46</v>
      </c>
      <c r="G35">
        <v>46</v>
      </c>
      <c r="H35">
        <v>46</v>
      </c>
      <c r="I35">
        <v>0</v>
      </c>
      <c r="J35">
        <v>0</v>
      </c>
      <c r="K35">
        <v>43.04</v>
      </c>
      <c r="L35">
        <v>2.96</v>
      </c>
    </row>
    <row r="36" spans="1:12">
      <c r="A36" t="s">
        <v>155</v>
      </c>
      <c r="B36" t="s">
        <v>1539</v>
      </c>
      <c r="C36" t="s">
        <v>1117</v>
      </c>
      <c r="D36">
        <v>1</v>
      </c>
      <c r="E36">
        <v>1</v>
      </c>
      <c r="F36">
        <v>19.45</v>
      </c>
      <c r="G36">
        <v>19.45</v>
      </c>
      <c r="H36">
        <v>19.45</v>
      </c>
      <c r="I36">
        <v>0</v>
      </c>
      <c r="J36">
        <v>0</v>
      </c>
      <c r="K36">
        <v>18.13</v>
      </c>
      <c r="L36">
        <v>1.32</v>
      </c>
    </row>
    <row r="37" spans="1:12">
      <c r="A37" t="s">
        <v>155</v>
      </c>
      <c r="B37" t="s">
        <v>1539</v>
      </c>
      <c r="C37" t="s">
        <v>1123</v>
      </c>
      <c r="D37">
        <v>1</v>
      </c>
      <c r="E37">
        <v>1</v>
      </c>
      <c r="F37">
        <v>14</v>
      </c>
      <c r="G37">
        <v>14</v>
      </c>
      <c r="H37">
        <v>14</v>
      </c>
      <c r="I37">
        <v>0</v>
      </c>
      <c r="J37">
        <v>0</v>
      </c>
      <c r="K37">
        <v>13.21</v>
      </c>
      <c r="L37">
        <v>0.79</v>
      </c>
    </row>
    <row r="38" spans="1:12">
      <c r="A38" t="s">
        <v>50</v>
      </c>
      <c r="B38" t="s">
        <v>49</v>
      </c>
      <c r="C38" t="s">
        <v>1121</v>
      </c>
      <c r="D38">
        <v>1</v>
      </c>
      <c r="E38">
        <v>2</v>
      </c>
      <c r="F38">
        <v>25.58</v>
      </c>
      <c r="G38">
        <v>21</v>
      </c>
      <c r="H38">
        <v>38</v>
      </c>
      <c r="I38">
        <v>17</v>
      </c>
      <c r="J38">
        <v>7.54</v>
      </c>
      <c r="K38">
        <v>24.26</v>
      </c>
      <c r="L38">
        <v>1.32</v>
      </c>
    </row>
    <row r="39" spans="1:12">
      <c r="A39" t="s">
        <v>79</v>
      </c>
      <c r="B39" t="s">
        <v>1539</v>
      </c>
      <c r="C39" t="s">
        <v>1123</v>
      </c>
      <c r="D39">
        <v>1</v>
      </c>
      <c r="E39">
        <v>2</v>
      </c>
      <c r="F39">
        <v>13.94</v>
      </c>
      <c r="G39">
        <v>9</v>
      </c>
      <c r="H39">
        <v>21</v>
      </c>
      <c r="I39">
        <v>12</v>
      </c>
      <c r="J39">
        <v>5.91</v>
      </c>
      <c r="K39">
        <v>13.32</v>
      </c>
      <c r="L39">
        <v>0.62</v>
      </c>
    </row>
    <row r="40" spans="1:12">
      <c r="A40" t="s">
        <v>79</v>
      </c>
      <c r="B40" t="s">
        <v>1539</v>
      </c>
      <c r="C40" t="s">
        <v>1129</v>
      </c>
      <c r="D40">
        <v>1</v>
      </c>
      <c r="E40">
        <v>3</v>
      </c>
      <c r="F40">
        <v>18.73</v>
      </c>
      <c r="G40">
        <v>15</v>
      </c>
      <c r="H40">
        <v>26</v>
      </c>
      <c r="I40">
        <v>11</v>
      </c>
      <c r="J40">
        <v>3.18</v>
      </c>
      <c r="K40">
        <v>17.57</v>
      </c>
      <c r="L40">
        <v>1.1499999999999999</v>
      </c>
    </row>
    <row r="41" spans="1:12">
      <c r="A41" t="s">
        <v>18</v>
      </c>
      <c r="B41" t="s">
        <v>1539</v>
      </c>
      <c r="C41" t="s">
        <v>1115</v>
      </c>
      <c r="D41">
        <v>1</v>
      </c>
      <c r="E41">
        <v>2</v>
      </c>
      <c r="F41">
        <v>18.54</v>
      </c>
      <c r="G41">
        <v>18</v>
      </c>
      <c r="H41">
        <v>19</v>
      </c>
      <c r="I41">
        <v>1</v>
      </c>
      <c r="J41">
        <v>0.5</v>
      </c>
      <c r="K41">
        <v>17.54</v>
      </c>
      <c r="L41">
        <v>1</v>
      </c>
    </row>
    <row r="42" spans="1:12">
      <c r="A42" t="s">
        <v>18</v>
      </c>
      <c r="B42" t="s">
        <v>1539</v>
      </c>
      <c r="C42" t="s">
        <v>1117</v>
      </c>
      <c r="D42">
        <v>1</v>
      </c>
      <c r="E42">
        <v>1</v>
      </c>
      <c r="F42">
        <v>10</v>
      </c>
      <c r="G42">
        <v>10</v>
      </c>
      <c r="H42">
        <v>10</v>
      </c>
      <c r="I42">
        <v>0</v>
      </c>
      <c r="J42">
        <v>0</v>
      </c>
      <c r="K42">
        <v>9.5</v>
      </c>
      <c r="L42">
        <v>0.5</v>
      </c>
    </row>
    <row r="43" spans="1:12">
      <c r="A43" t="s">
        <v>18</v>
      </c>
      <c r="B43" t="s">
        <v>1539</v>
      </c>
      <c r="C43" t="s">
        <v>1119</v>
      </c>
      <c r="D43">
        <v>1</v>
      </c>
      <c r="E43">
        <v>4</v>
      </c>
      <c r="F43">
        <v>19.46</v>
      </c>
      <c r="G43">
        <v>9.1999999999999993</v>
      </c>
      <c r="H43">
        <v>81</v>
      </c>
      <c r="I43">
        <v>71.8</v>
      </c>
      <c r="J43">
        <v>23.51</v>
      </c>
      <c r="K43">
        <v>18.170000000000002</v>
      </c>
      <c r="L43">
        <v>1.29</v>
      </c>
    </row>
    <row r="44" spans="1:12">
      <c r="A44" t="s">
        <v>26</v>
      </c>
      <c r="B44" t="s">
        <v>128</v>
      </c>
      <c r="C44" t="s">
        <v>1115</v>
      </c>
      <c r="D44">
        <v>1</v>
      </c>
      <c r="E44">
        <v>3</v>
      </c>
      <c r="F44">
        <v>16.22</v>
      </c>
      <c r="G44">
        <v>14</v>
      </c>
      <c r="H44">
        <v>18</v>
      </c>
      <c r="I44">
        <v>4</v>
      </c>
      <c r="J44">
        <v>1.99</v>
      </c>
      <c r="K44">
        <v>15.32</v>
      </c>
      <c r="L44">
        <v>0.9</v>
      </c>
    </row>
    <row r="45" spans="1:12">
      <c r="A45" t="s">
        <v>26</v>
      </c>
      <c r="B45" t="s">
        <v>25</v>
      </c>
      <c r="C45" t="s">
        <v>1117</v>
      </c>
      <c r="D45">
        <v>1</v>
      </c>
      <c r="E45">
        <v>4</v>
      </c>
      <c r="F45">
        <v>20.9</v>
      </c>
      <c r="G45">
        <v>17</v>
      </c>
      <c r="H45">
        <v>22</v>
      </c>
      <c r="I45">
        <v>5</v>
      </c>
      <c r="J45">
        <v>1.46</v>
      </c>
      <c r="K45">
        <v>19.350000000000001</v>
      </c>
      <c r="L45">
        <v>1.55</v>
      </c>
    </row>
    <row r="46" spans="1:12">
      <c r="A46" t="s">
        <v>26</v>
      </c>
      <c r="B46" t="s">
        <v>34</v>
      </c>
      <c r="C46" t="s">
        <v>1117</v>
      </c>
      <c r="D46">
        <v>1</v>
      </c>
      <c r="E46">
        <v>2</v>
      </c>
      <c r="F46">
        <v>32.799999999999997</v>
      </c>
      <c r="G46">
        <v>25</v>
      </c>
      <c r="H46">
        <v>40</v>
      </c>
      <c r="I46">
        <v>15</v>
      </c>
      <c r="J46">
        <v>7.49</v>
      </c>
      <c r="K46">
        <v>31.76</v>
      </c>
      <c r="L46">
        <v>1.04</v>
      </c>
    </row>
    <row r="47" spans="1:12">
      <c r="A47" t="s">
        <v>26</v>
      </c>
      <c r="B47" t="s">
        <v>34</v>
      </c>
      <c r="C47" t="s">
        <v>1127</v>
      </c>
      <c r="D47">
        <v>1</v>
      </c>
      <c r="E47">
        <v>1</v>
      </c>
      <c r="F47">
        <v>30</v>
      </c>
      <c r="G47">
        <v>30</v>
      </c>
      <c r="H47">
        <v>30</v>
      </c>
      <c r="I47">
        <v>0</v>
      </c>
      <c r="J47">
        <v>0</v>
      </c>
      <c r="K47">
        <v>29.17</v>
      </c>
      <c r="L47">
        <v>0.83</v>
      </c>
    </row>
    <row r="48" spans="1:12">
      <c r="A48" t="s">
        <v>26</v>
      </c>
      <c r="B48" t="s">
        <v>148</v>
      </c>
      <c r="C48" t="s">
        <v>1129</v>
      </c>
      <c r="D48">
        <v>1</v>
      </c>
      <c r="E48">
        <v>2</v>
      </c>
      <c r="F48">
        <v>13.73</v>
      </c>
      <c r="G48">
        <v>9.65</v>
      </c>
      <c r="H48">
        <v>18.399999999999999</v>
      </c>
      <c r="I48">
        <v>8.75</v>
      </c>
      <c r="J48">
        <v>4.3600000000000003</v>
      </c>
      <c r="K48">
        <v>12.94</v>
      </c>
      <c r="L48">
        <v>0.79</v>
      </c>
    </row>
  </sheetData>
  <pageMargins left="0.7" right="0.7" top="0.75" bottom="0.75" header="0.3" footer="0.3"/>
  <tableParts count="1">
    <tablePart r:id="rId1"/>
  </tableParts>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F7060-E6E5-C241-B363-DF389DE6EE28}">
  <dimension ref="A1:K37"/>
  <sheetViews>
    <sheetView showGridLines="0" zoomScale="90" workbookViewId="0">
      <selection activeCell="F48" sqref="F48"/>
    </sheetView>
  </sheetViews>
  <sheetFormatPr baseColWidth="10" defaultRowHeight="13"/>
  <cols>
    <col min="2" max="2" width="17.33203125" customWidth="1"/>
    <col min="3" max="3" width="13.1640625" bestFit="1" customWidth="1"/>
    <col min="4" max="4" width="12.6640625" bestFit="1" customWidth="1"/>
    <col min="5" max="5" width="10.83203125" bestFit="1" customWidth="1"/>
    <col min="6" max="6" width="13.33203125" bestFit="1" customWidth="1"/>
    <col min="7" max="7" width="13.5" bestFit="1" customWidth="1"/>
    <col min="8" max="8" width="11.33203125" bestFit="1" customWidth="1"/>
    <col min="9" max="9" width="8" bestFit="1" customWidth="1"/>
    <col min="10" max="10" width="7.83203125" bestFit="1" customWidth="1"/>
    <col min="11" max="11" width="10.6640625" bestFit="1" customWidth="1"/>
    <col min="12" max="12" width="14.33203125" customWidth="1"/>
    <col min="13" max="13" width="17.83203125" customWidth="1"/>
    <col min="14" max="14" width="145.6640625" bestFit="1" customWidth="1"/>
    <col min="15" max="15" width="107" bestFit="1" customWidth="1"/>
    <col min="16" max="16" width="91" bestFit="1" customWidth="1"/>
    <col min="17" max="17" width="91.5" bestFit="1" customWidth="1"/>
    <col min="18" max="18" width="79.33203125" bestFit="1" customWidth="1"/>
    <col min="19" max="19" width="24.33203125" bestFit="1" customWidth="1"/>
    <col min="20" max="20" width="23.83203125" bestFit="1" customWidth="1"/>
    <col min="21" max="21" width="25.5" bestFit="1" customWidth="1"/>
    <col min="22" max="22" width="26.6640625" bestFit="1" customWidth="1"/>
    <col min="23" max="23" width="22.83203125" bestFit="1" customWidth="1"/>
    <col min="24" max="24" width="25.5" bestFit="1" customWidth="1"/>
    <col min="25" max="25" width="26.6640625" bestFit="1" customWidth="1"/>
    <col min="26" max="26" width="54.83203125" customWidth="1"/>
    <col min="27" max="27" width="30.1640625" bestFit="1" customWidth="1"/>
    <col min="28" max="28" width="16.1640625" customWidth="1"/>
    <col min="29" max="29" width="13.83203125" customWidth="1"/>
  </cols>
  <sheetData>
    <row r="1" spans="1:11" ht="22" thickBot="1">
      <c r="A1" s="19" t="s">
        <v>1616</v>
      </c>
      <c r="B1" s="20" t="s">
        <v>1601</v>
      </c>
      <c r="C1" s="21"/>
      <c r="D1" s="21"/>
      <c r="E1" s="21"/>
      <c r="F1" s="21"/>
      <c r="G1" s="21"/>
      <c r="H1" s="22"/>
    </row>
    <row r="3" spans="1:11">
      <c r="B3" s="12" t="s">
        <v>1662</v>
      </c>
      <c r="C3" s="12" t="s">
        <v>1627</v>
      </c>
    </row>
    <row r="4" spans="1:11">
      <c r="B4" s="12" t="s">
        <v>8</v>
      </c>
      <c r="C4" t="s">
        <v>1115</v>
      </c>
      <c r="D4" t="s">
        <v>1117</v>
      </c>
      <c r="E4" t="s">
        <v>1119</v>
      </c>
      <c r="F4" t="s">
        <v>1121</v>
      </c>
      <c r="G4" t="s">
        <v>1123</v>
      </c>
      <c r="H4" t="s">
        <v>1125</v>
      </c>
      <c r="I4" t="s">
        <v>1127</v>
      </c>
      <c r="J4" t="s">
        <v>1129</v>
      </c>
      <c r="K4" t="s">
        <v>1184</v>
      </c>
    </row>
    <row r="5" spans="1:11">
      <c r="B5" s="13" t="s">
        <v>64</v>
      </c>
      <c r="C5">
        <v>1</v>
      </c>
      <c r="D5">
        <v>1</v>
      </c>
      <c r="E5">
        <v>1</v>
      </c>
      <c r="G5">
        <v>1</v>
      </c>
      <c r="H5">
        <v>2</v>
      </c>
      <c r="I5">
        <v>1</v>
      </c>
      <c r="J5">
        <v>1</v>
      </c>
      <c r="K5">
        <v>8</v>
      </c>
    </row>
    <row r="6" spans="1:11">
      <c r="B6" s="13" t="s">
        <v>86</v>
      </c>
      <c r="C6">
        <v>1</v>
      </c>
      <c r="K6">
        <v>1</v>
      </c>
    </row>
    <row r="7" spans="1:11">
      <c r="B7" s="13" t="s">
        <v>192</v>
      </c>
      <c r="D7">
        <v>1</v>
      </c>
      <c r="E7">
        <v>1</v>
      </c>
      <c r="H7">
        <v>1</v>
      </c>
      <c r="K7">
        <v>3</v>
      </c>
    </row>
    <row r="8" spans="1:11">
      <c r="B8" s="13" t="s">
        <v>161</v>
      </c>
      <c r="J8">
        <v>1</v>
      </c>
      <c r="K8">
        <v>1</v>
      </c>
    </row>
    <row r="9" spans="1:11">
      <c r="B9" s="13" t="s">
        <v>176</v>
      </c>
      <c r="C9">
        <v>1</v>
      </c>
      <c r="E9">
        <v>1</v>
      </c>
      <c r="K9">
        <v>2</v>
      </c>
    </row>
    <row r="10" spans="1:11">
      <c r="B10" s="13" t="s">
        <v>140</v>
      </c>
      <c r="C10">
        <v>1</v>
      </c>
      <c r="F10">
        <v>1</v>
      </c>
      <c r="J10">
        <v>1</v>
      </c>
      <c r="K10">
        <v>3</v>
      </c>
    </row>
    <row r="11" spans="1:11">
      <c r="B11" s="13" t="s">
        <v>93</v>
      </c>
      <c r="C11">
        <v>1</v>
      </c>
      <c r="D11">
        <v>1</v>
      </c>
      <c r="E11">
        <v>1</v>
      </c>
      <c r="G11">
        <v>1</v>
      </c>
      <c r="H11">
        <v>1</v>
      </c>
      <c r="I11">
        <v>1</v>
      </c>
      <c r="J11">
        <v>1</v>
      </c>
      <c r="K11">
        <v>7</v>
      </c>
    </row>
    <row r="12" spans="1:11">
      <c r="B12" s="13" t="s">
        <v>113</v>
      </c>
      <c r="F12">
        <v>1</v>
      </c>
      <c r="G12">
        <v>1</v>
      </c>
      <c r="K12">
        <v>2</v>
      </c>
    </row>
    <row r="13" spans="1:11">
      <c r="B13" s="13" t="s">
        <v>42</v>
      </c>
      <c r="D13">
        <v>1</v>
      </c>
      <c r="H13">
        <v>1</v>
      </c>
      <c r="I13">
        <v>2</v>
      </c>
      <c r="J13">
        <v>2</v>
      </c>
      <c r="K13">
        <v>6</v>
      </c>
    </row>
    <row r="14" spans="1:11">
      <c r="B14" s="13" t="s">
        <v>168</v>
      </c>
      <c r="E14">
        <v>1</v>
      </c>
      <c r="K14">
        <v>1</v>
      </c>
    </row>
    <row r="15" spans="1:11">
      <c r="B15" s="13" t="s">
        <v>121</v>
      </c>
      <c r="F15">
        <v>1</v>
      </c>
      <c r="K15">
        <v>1</v>
      </c>
    </row>
    <row r="16" spans="1:11">
      <c r="B16" s="13" t="s">
        <v>155</v>
      </c>
      <c r="C16">
        <v>1</v>
      </c>
      <c r="D16">
        <v>1</v>
      </c>
      <c r="G16">
        <v>1</v>
      </c>
      <c r="K16">
        <v>3</v>
      </c>
    </row>
    <row r="17" spans="2:11">
      <c r="B17" s="13" t="s">
        <v>50</v>
      </c>
      <c r="F17">
        <v>1</v>
      </c>
      <c r="K17">
        <v>1</v>
      </c>
    </row>
    <row r="18" spans="2:11">
      <c r="B18" s="13" t="s">
        <v>79</v>
      </c>
      <c r="G18">
        <v>1</v>
      </c>
      <c r="J18">
        <v>1</v>
      </c>
      <c r="K18">
        <v>2</v>
      </c>
    </row>
    <row r="19" spans="2:11">
      <c r="B19" s="13" t="s">
        <v>18</v>
      </c>
      <c r="C19">
        <v>1</v>
      </c>
      <c r="D19">
        <v>1</v>
      </c>
      <c r="E19">
        <v>1</v>
      </c>
      <c r="K19">
        <v>3</v>
      </c>
    </row>
    <row r="20" spans="2:11">
      <c r="B20" s="13" t="s">
        <v>26</v>
      </c>
      <c r="C20">
        <v>1</v>
      </c>
      <c r="D20">
        <v>2</v>
      </c>
      <c r="I20">
        <v>1</v>
      </c>
      <c r="J20">
        <v>1</v>
      </c>
      <c r="K20">
        <v>5</v>
      </c>
    </row>
    <row r="21" spans="2:11">
      <c r="B21" s="13" t="s">
        <v>1184</v>
      </c>
      <c r="C21">
        <v>8</v>
      </c>
      <c r="D21">
        <v>8</v>
      </c>
      <c r="E21">
        <v>6</v>
      </c>
      <c r="F21">
        <v>4</v>
      </c>
      <c r="G21">
        <v>5</v>
      </c>
      <c r="H21">
        <v>5</v>
      </c>
      <c r="I21">
        <v>5</v>
      </c>
      <c r="J21">
        <v>8</v>
      </c>
      <c r="K21">
        <v>49</v>
      </c>
    </row>
    <row r="28" spans="2:11">
      <c r="B28" s="12" t="s">
        <v>1627</v>
      </c>
      <c r="C28" t="s">
        <v>1640</v>
      </c>
      <c r="D28" t="s">
        <v>1641</v>
      </c>
    </row>
    <row r="29" spans="2:11">
      <c r="B29" s="13" t="s">
        <v>1115</v>
      </c>
      <c r="C29">
        <v>8</v>
      </c>
      <c r="D29">
        <v>12</v>
      </c>
    </row>
    <row r="30" spans="2:11">
      <c r="B30" s="13" t="s">
        <v>1117</v>
      </c>
      <c r="C30">
        <v>8</v>
      </c>
      <c r="D30">
        <v>12</v>
      </c>
    </row>
    <row r="31" spans="2:11">
      <c r="B31" s="13" t="s">
        <v>1119</v>
      </c>
      <c r="C31">
        <v>6</v>
      </c>
      <c r="D31">
        <v>13</v>
      </c>
    </row>
    <row r="32" spans="2:11">
      <c r="B32" s="13" t="s">
        <v>1121</v>
      </c>
      <c r="C32">
        <v>4</v>
      </c>
      <c r="D32">
        <v>10</v>
      </c>
    </row>
    <row r="33" spans="2:4">
      <c r="B33" s="13" t="s">
        <v>1123</v>
      </c>
      <c r="C33">
        <v>5</v>
      </c>
      <c r="D33">
        <v>7</v>
      </c>
    </row>
    <row r="34" spans="2:4">
      <c r="B34" s="13" t="s">
        <v>1125</v>
      </c>
      <c r="C34">
        <v>5</v>
      </c>
      <c r="D34">
        <v>6</v>
      </c>
    </row>
    <row r="35" spans="2:4">
      <c r="B35" s="13" t="s">
        <v>1127</v>
      </c>
      <c r="C35">
        <v>5</v>
      </c>
      <c r="D35">
        <v>5</v>
      </c>
    </row>
    <row r="36" spans="2:4">
      <c r="B36" s="13" t="s">
        <v>1129</v>
      </c>
      <c r="C36">
        <v>8</v>
      </c>
      <c r="D36">
        <v>12</v>
      </c>
    </row>
    <row r="37" spans="2:4">
      <c r="B37" s="13" t="s">
        <v>1184</v>
      </c>
      <c r="C37">
        <v>49</v>
      </c>
      <c r="D37">
        <v>77</v>
      </c>
    </row>
  </sheetData>
  <pageMargins left="0.7" right="0.7" top="0.75" bottom="0.75" header="0.3" footer="0.3"/>
  <drawing r:id="rId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433DE-D84D-4676-AD6D-C666C06A4702}">
  <dimension ref="A1:U49"/>
  <sheetViews>
    <sheetView showGridLines="0" workbookViewId="0">
      <selection activeCell="A24" sqref="A24"/>
    </sheetView>
  </sheetViews>
  <sheetFormatPr baseColWidth="10" defaultColWidth="8.83203125" defaultRowHeight="13"/>
  <cols>
    <col min="10" max="10" width="18.5" bestFit="1" customWidth="1"/>
    <col min="11" max="11" width="17.5" bestFit="1" customWidth="1"/>
    <col min="12" max="12" width="16.83203125" bestFit="1" customWidth="1"/>
    <col min="13" max="13" width="23.1640625" bestFit="1" customWidth="1"/>
    <col min="14" max="14" width="11" bestFit="1" customWidth="1"/>
    <col min="15" max="15" width="12.1640625" bestFit="1" customWidth="1"/>
    <col min="16" max="16" width="12.33203125" bestFit="1" customWidth="1"/>
    <col min="17" max="17" width="12.83203125" bestFit="1" customWidth="1"/>
    <col min="18" max="18" width="14.1640625" bestFit="1" customWidth="1"/>
    <col min="19" max="19" width="15.83203125" bestFit="1" customWidth="1"/>
    <col min="20" max="20" width="26.1640625" bestFit="1" customWidth="1"/>
    <col min="21" max="21" width="27.1640625" bestFit="1" customWidth="1"/>
  </cols>
  <sheetData>
    <row r="1" spans="1:21" ht="14" thickBot="1">
      <c r="A1" s="43" t="s">
        <v>1584</v>
      </c>
      <c r="B1" s="44"/>
      <c r="C1" s="44"/>
      <c r="D1" s="44"/>
      <c r="E1" s="44"/>
      <c r="F1" s="44"/>
      <c r="G1" s="44"/>
      <c r="H1" s="45"/>
    </row>
    <row r="2" spans="1:21">
      <c r="A2" s="46" t="s">
        <v>1585</v>
      </c>
      <c r="B2" s="47"/>
      <c r="C2" s="47"/>
      <c r="D2" s="47"/>
      <c r="E2" s="47"/>
      <c r="F2" s="47"/>
      <c r="G2" s="47"/>
      <c r="H2" s="48"/>
      <c r="J2" t="s">
        <v>1529</v>
      </c>
      <c r="K2" t="s">
        <v>1531</v>
      </c>
      <c r="L2" t="s">
        <v>1113</v>
      </c>
      <c r="M2" t="s">
        <v>1576</v>
      </c>
      <c r="N2" t="s">
        <v>1577</v>
      </c>
      <c r="O2" t="s">
        <v>1551</v>
      </c>
      <c r="P2" t="s">
        <v>1578</v>
      </c>
      <c r="Q2" t="s">
        <v>1579</v>
      </c>
      <c r="R2" t="s">
        <v>1580</v>
      </c>
      <c r="S2" t="s">
        <v>1581</v>
      </c>
      <c r="T2" t="s">
        <v>1582</v>
      </c>
      <c r="U2" t="s">
        <v>1583</v>
      </c>
    </row>
    <row r="3" spans="1:21">
      <c r="A3" s="46"/>
      <c r="B3" s="47"/>
      <c r="C3" s="47"/>
      <c r="D3" s="47"/>
      <c r="E3" s="47"/>
      <c r="F3" s="47"/>
      <c r="G3" s="47"/>
      <c r="H3" s="48"/>
      <c r="J3" t="s">
        <v>64</v>
      </c>
      <c r="K3" t="s">
        <v>63</v>
      </c>
      <c r="L3" t="s">
        <v>1115</v>
      </c>
      <c r="M3">
        <v>1</v>
      </c>
      <c r="N3">
        <v>1</v>
      </c>
      <c r="O3">
        <v>15</v>
      </c>
      <c r="P3">
        <v>15</v>
      </c>
      <c r="Q3">
        <v>15</v>
      </c>
      <c r="R3">
        <v>0</v>
      </c>
      <c r="S3">
        <v>0</v>
      </c>
      <c r="T3">
        <v>14.15</v>
      </c>
      <c r="U3">
        <v>0.85</v>
      </c>
    </row>
    <row r="4" spans="1:21">
      <c r="A4" s="46"/>
      <c r="B4" s="47"/>
      <c r="C4" s="47"/>
      <c r="D4" s="47"/>
      <c r="E4" s="47"/>
      <c r="F4" s="47"/>
      <c r="G4" s="47"/>
      <c r="H4" s="48"/>
      <c r="J4" t="s">
        <v>64</v>
      </c>
      <c r="K4" t="s">
        <v>63</v>
      </c>
      <c r="L4" t="s">
        <v>1117</v>
      </c>
      <c r="M4">
        <v>1</v>
      </c>
      <c r="N4">
        <v>1</v>
      </c>
      <c r="O4">
        <v>43.9</v>
      </c>
      <c r="P4">
        <v>43.9</v>
      </c>
      <c r="Q4">
        <v>43.9</v>
      </c>
      <c r="R4">
        <v>0</v>
      </c>
      <c r="S4">
        <v>0</v>
      </c>
      <c r="T4">
        <v>40.79</v>
      </c>
      <c r="U4">
        <v>3.11</v>
      </c>
    </row>
    <row r="5" spans="1:21">
      <c r="A5" s="46"/>
      <c r="B5" s="47"/>
      <c r="C5" s="47"/>
      <c r="D5" s="47"/>
      <c r="E5" s="47"/>
      <c r="F5" s="47"/>
      <c r="G5" s="47"/>
      <c r="H5" s="48"/>
      <c r="J5" t="s">
        <v>64</v>
      </c>
      <c r="K5" t="s">
        <v>63</v>
      </c>
      <c r="L5" t="s">
        <v>1119</v>
      </c>
      <c r="M5">
        <v>1</v>
      </c>
      <c r="N5">
        <v>1</v>
      </c>
      <c r="O5">
        <v>17.45</v>
      </c>
      <c r="P5">
        <v>17.45</v>
      </c>
      <c r="Q5">
        <v>17.45</v>
      </c>
      <c r="R5">
        <v>0</v>
      </c>
      <c r="S5">
        <v>0</v>
      </c>
      <c r="T5">
        <v>16.38</v>
      </c>
      <c r="U5">
        <v>1.07</v>
      </c>
    </row>
    <row r="6" spans="1:21">
      <c r="A6" s="46"/>
      <c r="B6" s="47"/>
      <c r="C6" s="47"/>
      <c r="D6" s="47"/>
      <c r="E6" s="47"/>
      <c r="F6" s="47"/>
      <c r="G6" s="47"/>
      <c r="H6" s="48"/>
      <c r="J6" t="s">
        <v>64</v>
      </c>
      <c r="K6" t="s">
        <v>182</v>
      </c>
      <c r="L6" t="s">
        <v>1123</v>
      </c>
      <c r="M6">
        <v>1</v>
      </c>
      <c r="N6">
        <v>1</v>
      </c>
      <c r="O6">
        <v>7</v>
      </c>
      <c r="P6">
        <v>7</v>
      </c>
      <c r="Q6">
        <v>7</v>
      </c>
      <c r="R6">
        <v>0</v>
      </c>
      <c r="S6">
        <v>0</v>
      </c>
      <c r="T6">
        <v>6.76</v>
      </c>
      <c r="U6">
        <v>0.24</v>
      </c>
    </row>
    <row r="7" spans="1:21">
      <c r="A7" s="46"/>
      <c r="B7" s="47"/>
      <c r="C7" s="47"/>
      <c r="D7" s="47"/>
      <c r="E7" s="47"/>
      <c r="F7" s="47"/>
      <c r="G7" s="47"/>
      <c r="H7" s="48"/>
      <c r="J7" t="s">
        <v>64</v>
      </c>
      <c r="K7" t="s">
        <v>182</v>
      </c>
      <c r="L7" t="s">
        <v>1125</v>
      </c>
      <c r="M7">
        <v>1</v>
      </c>
      <c r="N7">
        <v>1</v>
      </c>
      <c r="O7">
        <v>32.799999999999997</v>
      </c>
      <c r="P7">
        <v>32.799999999999997</v>
      </c>
      <c r="Q7">
        <v>32.799999999999997</v>
      </c>
      <c r="R7">
        <v>0</v>
      </c>
      <c r="S7">
        <v>0</v>
      </c>
      <c r="T7">
        <v>30.16</v>
      </c>
      <c r="U7">
        <v>2.64</v>
      </c>
    </row>
    <row r="8" spans="1:21">
      <c r="A8" s="46"/>
      <c r="B8" s="47"/>
      <c r="C8" s="47"/>
      <c r="D8" s="47"/>
      <c r="E8" s="47"/>
      <c r="F8" s="47"/>
      <c r="G8" s="47"/>
      <c r="H8" s="48"/>
      <c r="J8" t="s">
        <v>64</v>
      </c>
      <c r="K8" t="s">
        <v>63</v>
      </c>
      <c r="L8" t="s">
        <v>1125</v>
      </c>
      <c r="M8">
        <v>1</v>
      </c>
      <c r="N8">
        <v>1</v>
      </c>
      <c r="O8">
        <v>39</v>
      </c>
      <c r="P8">
        <v>39</v>
      </c>
      <c r="Q8">
        <v>39</v>
      </c>
      <c r="R8">
        <v>0</v>
      </c>
      <c r="S8">
        <v>0</v>
      </c>
      <c r="T8">
        <v>36.47</v>
      </c>
      <c r="U8">
        <v>2.5299999999999998</v>
      </c>
    </row>
    <row r="9" spans="1:21">
      <c r="A9" s="46"/>
      <c r="B9" s="47"/>
      <c r="C9" s="47"/>
      <c r="D9" s="47"/>
      <c r="E9" s="47"/>
      <c r="F9" s="47"/>
      <c r="G9" s="47"/>
      <c r="H9" s="48"/>
      <c r="J9" t="s">
        <v>64</v>
      </c>
      <c r="K9" t="s">
        <v>182</v>
      </c>
      <c r="L9" t="s">
        <v>1127</v>
      </c>
      <c r="M9">
        <v>1</v>
      </c>
      <c r="N9">
        <v>1</v>
      </c>
      <c r="O9">
        <v>53</v>
      </c>
      <c r="P9">
        <v>53</v>
      </c>
      <c r="Q9">
        <v>53</v>
      </c>
      <c r="R9">
        <v>0</v>
      </c>
      <c r="S9">
        <v>0</v>
      </c>
      <c r="T9">
        <v>50.55</v>
      </c>
      <c r="U9">
        <v>2.4500000000000002</v>
      </c>
    </row>
    <row r="10" spans="1:21">
      <c r="A10" s="46"/>
      <c r="B10" s="47"/>
      <c r="C10" s="47"/>
      <c r="D10" s="47"/>
      <c r="E10" s="47"/>
      <c r="F10" s="47"/>
      <c r="G10" s="47"/>
      <c r="H10" s="48"/>
      <c r="J10" t="s">
        <v>64</v>
      </c>
      <c r="K10" t="s">
        <v>63</v>
      </c>
      <c r="L10" t="s">
        <v>1129</v>
      </c>
      <c r="M10">
        <v>1</v>
      </c>
      <c r="N10">
        <v>1</v>
      </c>
      <c r="O10">
        <v>62.5</v>
      </c>
      <c r="P10">
        <v>62.5</v>
      </c>
      <c r="Q10">
        <v>62.5</v>
      </c>
      <c r="R10">
        <v>0</v>
      </c>
      <c r="S10">
        <v>0</v>
      </c>
      <c r="T10">
        <v>59.72</v>
      </c>
      <c r="U10">
        <v>2.78</v>
      </c>
    </row>
    <row r="11" spans="1:21">
      <c r="A11" s="46"/>
      <c r="B11" s="47"/>
      <c r="C11" s="47"/>
      <c r="D11" s="47"/>
      <c r="E11" s="47"/>
      <c r="F11" s="47"/>
      <c r="G11" s="47"/>
      <c r="H11" s="48"/>
      <c r="J11" t="s">
        <v>86</v>
      </c>
      <c r="K11" t="s">
        <v>1539</v>
      </c>
      <c r="L11" t="s">
        <v>1115</v>
      </c>
      <c r="M11">
        <v>1</v>
      </c>
      <c r="N11">
        <v>1</v>
      </c>
      <c r="O11">
        <v>4.5</v>
      </c>
      <c r="P11">
        <v>4.5</v>
      </c>
      <c r="Q11">
        <v>4.5</v>
      </c>
      <c r="R11">
        <v>0</v>
      </c>
      <c r="S11">
        <v>0</v>
      </c>
      <c r="T11">
        <v>4.24</v>
      </c>
      <c r="U11">
        <v>0.26</v>
      </c>
    </row>
    <row r="12" spans="1:21">
      <c r="A12" s="46"/>
      <c r="B12" s="47"/>
      <c r="C12" s="47"/>
      <c r="D12" s="47"/>
      <c r="E12" s="47"/>
      <c r="F12" s="47"/>
      <c r="G12" s="47"/>
      <c r="H12" s="48"/>
      <c r="J12" t="s">
        <v>192</v>
      </c>
      <c r="K12" t="s">
        <v>1541</v>
      </c>
      <c r="L12" t="s">
        <v>1117</v>
      </c>
      <c r="M12">
        <v>1</v>
      </c>
      <c r="N12">
        <v>1</v>
      </c>
      <c r="O12">
        <v>28.5</v>
      </c>
      <c r="P12">
        <v>28.5</v>
      </c>
      <c r="Q12">
        <v>28.5</v>
      </c>
      <c r="R12">
        <v>0</v>
      </c>
      <c r="S12">
        <v>0</v>
      </c>
      <c r="T12">
        <v>27.79</v>
      </c>
      <c r="U12">
        <v>0.71</v>
      </c>
    </row>
    <row r="13" spans="1:21">
      <c r="A13" s="46"/>
      <c r="B13" s="47"/>
      <c r="C13" s="47"/>
      <c r="D13" s="47"/>
      <c r="E13" s="47"/>
      <c r="F13" s="47"/>
      <c r="G13" s="47"/>
      <c r="H13" s="48"/>
      <c r="J13" t="s">
        <v>192</v>
      </c>
      <c r="K13" t="s">
        <v>1541</v>
      </c>
      <c r="L13" t="s">
        <v>1119</v>
      </c>
      <c r="M13">
        <v>1</v>
      </c>
      <c r="N13">
        <v>1</v>
      </c>
      <c r="O13">
        <v>49.3</v>
      </c>
      <c r="P13">
        <v>49.3</v>
      </c>
      <c r="Q13">
        <v>49.3</v>
      </c>
      <c r="R13">
        <v>0</v>
      </c>
      <c r="S13">
        <v>0</v>
      </c>
      <c r="T13">
        <v>46.41</v>
      </c>
      <c r="U13">
        <v>2.89</v>
      </c>
    </row>
    <row r="14" spans="1:21">
      <c r="A14" s="46"/>
      <c r="B14" s="47"/>
      <c r="C14" s="47"/>
      <c r="D14" s="47"/>
      <c r="E14" s="47"/>
      <c r="F14" s="47"/>
      <c r="G14" s="47"/>
      <c r="H14" s="48"/>
      <c r="J14" t="s">
        <v>192</v>
      </c>
      <c r="K14" t="s">
        <v>1541</v>
      </c>
      <c r="L14" t="s">
        <v>1125</v>
      </c>
      <c r="M14">
        <v>1</v>
      </c>
      <c r="N14">
        <v>2</v>
      </c>
      <c r="O14">
        <v>15.37</v>
      </c>
      <c r="P14">
        <v>7.45</v>
      </c>
      <c r="Q14">
        <v>24</v>
      </c>
      <c r="R14">
        <v>16.55</v>
      </c>
      <c r="S14">
        <v>8.27</v>
      </c>
      <c r="T14">
        <v>14.26</v>
      </c>
      <c r="U14">
        <v>1.1000000000000001</v>
      </c>
    </row>
    <row r="15" spans="1:21">
      <c r="A15" s="46"/>
      <c r="B15" s="47"/>
      <c r="C15" s="47"/>
      <c r="D15" s="47"/>
      <c r="E15" s="47"/>
      <c r="F15" s="47"/>
      <c r="G15" s="47"/>
      <c r="H15" s="48"/>
      <c r="J15" t="s">
        <v>161</v>
      </c>
      <c r="K15" t="s">
        <v>1539</v>
      </c>
      <c r="L15" t="s">
        <v>1129</v>
      </c>
      <c r="M15">
        <v>1</v>
      </c>
      <c r="N15">
        <v>2</v>
      </c>
      <c r="O15">
        <v>11.15</v>
      </c>
      <c r="P15">
        <v>9.5</v>
      </c>
      <c r="Q15">
        <v>12</v>
      </c>
      <c r="R15">
        <v>2.5</v>
      </c>
      <c r="S15">
        <v>1.19</v>
      </c>
      <c r="T15">
        <v>10.47</v>
      </c>
      <c r="U15">
        <v>0.68</v>
      </c>
    </row>
    <row r="16" spans="1:21">
      <c r="A16" s="46"/>
      <c r="B16" s="47"/>
      <c r="C16" s="47"/>
      <c r="D16" s="47"/>
      <c r="E16" s="47"/>
      <c r="F16" s="47"/>
      <c r="G16" s="47"/>
      <c r="H16" s="48"/>
      <c r="J16" t="s">
        <v>176</v>
      </c>
      <c r="K16" t="s">
        <v>1539</v>
      </c>
      <c r="L16" t="s">
        <v>1115</v>
      </c>
      <c r="M16">
        <v>1</v>
      </c>
      <c r="N16">
        <v>1</v>
      </c>
      <c r="O16">
        <v>18</v>
      </c>
      <c r="P16">
        <v>18</v>
      </c>
      <c r="Q16">
        <v>18</v>
      </c>
      <c r="R16">
        <v>0</v>
      </c>
      <c r="S16">
        <v>0</v>
      </c>
      <c r="T16">
        <v>16.98</v>
      </c>
      <c r="U16">
        <v>1.02</v>
      </c>
    </row>
    <row r="17" spans="1:21">
      <c r="A17" s="46"/>
      <c r="B17" s="47"/>
      <c r="C17" s="47"/>
      <c r="D17" s="47"/>
      <c r="E17" s="47"/>
      <c r="F17" s="47"/>
      <c r="G17" s="47"/>
      <c r="H17" s="48"/>
      <c r="J17" t="s">
        <v>176</v>
      </c>
      <c r="K17" t="s">
        <v>1539</v>
      </c>
      <c r="L17" t="s">
        <v>1119</v>
      </c>
      <c r="M17">
        <v>1</v>
      </c>
      <c r="N17">
        <v>2</v>
      </c>
      <c r="O17">
        <v>18.79</v>
      </c>
      <c r="P17">
        <v>16.25</v>
      </c>
      <c r="Q17">
        <v>20</v>
      </c>
      <c r="R17">
        <v>3.75</v>
      </c>
      <c r="S17">
        <v>1.75</v>
      </c>
      <c r="T17">
        <v>17.34</v>
      </c>
      <c r="U17">
        <v>1.45</v>
      </c>
    </row>
    <row r="18" spans="1:21">
      <c r="A18" s="46"/>
      <c r="B18" s="47"/>
      <c r="C18" s="47"/>
      <c r="D18" s="47"/>
      <c r="E18" s="47"/>
      <c r="F18" s="47"/>
      <c r="G18" s="47"/>
      <c r="H18" s="48"/>
      <c r="J18" t="s">
        <v>140</v>
      </c>
      <c r="K18" t="s">
        <v>1539</v>
      </c>
      <c r="L18" t="s">
        <v>1115</v>
      </c>
      <c r="M18">
        <v>1</v>
      </c>
      <c r="N18">
        <v>2</v>
      </c>
      <c r="O18">
        <v>127.11</v>
      </c>
      <c r="P18">
        <v>18</v>
      </c>
      <c r="Q18">
        <v>263.5</v>
      </c>
      <c r="R18">
        <v>245.5</v>
      </c>
      <c r="S18">
        <v>121.99</v>
      </c>
      <c r="T18">
        <v>118.57</v>
      </c>
      <c r="U18">
        <v>8.5399999999999991</v>
      </c>
    </row>
    <row r="19" spans="1:21">
      <c r="A19" s="46"/>
      <c r="B19" s="47"/>
      <c r="C19" s="47"/>
      <c r="D19" s="47"/>
      <c r="E19" s="47"/>
      <c r="F19" s="47"/>
      <c r="G19" s="47"/>
      <c r="H19" s="48"/>
      <c r="J19" t="s">
        <v>140</v>
      </c>
      <c r="K19" t="s">
        <v>1539</v>
      </c>
      <c r="L19" t="s">
        <v>1121</v>
      </c>
      <c r="M19">
        <v>1</v>
      </c>
      <c r="N19">
        <v>2</v>
      </c>
      <c r="O19">
        <v>44.8</v>
      </c>
      <c r="P19">
        <v>34</v>
      </c>
      <c r="Q19">
        <v>55</v>
      </c>
      <c r="R19">
        <v>21</v>
      </c>
      <c r="S19">
        <v>10.5</v>
      </c>
      <c r="T19">
        <v>41.9</v>
      </c>
      <c r="U19">
        <v>2.9</v>
      </c>
    </row>
    <row r="20" spans="1:21">
      <c r="A20" s="46"/>
      <c r="B20" s="47"/>
      <c r="C20" s="47"/>
      <c r="D20" s="47"/>
      <c r="E20" s="47"/>
      <c r="F20" s="47"/>
      <c r="G20" s="47"/>
      <c r="H20" s="48"/>
      <c r="J20" t="s">
        <v>140</v>
      </c>
      <c r="K20" t="s">
        <v>1539</v>
      </c>
      <c r="L20" t="s">
        <v>1129</v>
      </c>
      <c r="M20">
        <v>1</v>
      </c>
      <c r="N20">
        <v>1</v>
      </c>
      <c r="O20">
        <v>13.25</v>
      </c>
      <c r="P20">
        <v>13.25</v>
      </c>
      <c r="Q20">
        <v>13.25</v>
      </c>
      <c r="R20">
        <v>0</v>
      </c>
      <c r="S20">
        <v>0</v>
      </c>
      <c r="T20">
        <v>12.66</v>
      </c>
      <c r="U20">
        <v>0.59</v>
      </c>
    </row>
    <row r="21" spans="1:21">
      <c r="A21" s="46"/>
      <c r="B21" s="47"/>
      <c r="C21" s="47"/>
      <c r="D21" s="47"/>
      <c r="E21" s="47"/>
      <c r="F21" s="47"/>
      <c r="G21" s="47"/>
      <c r="H21" s="48"/>
      <c r="J21" t="s">
        <v>93</v>
      </c>
      <c r="K21" t="s">
        <v>1539</v>
      </c>
      <c r="L21" t="s">
        <v>1115</v>
      </c>
      <c r="M21">
        <v>1</v>
      </c>
      <c r="N21">
        <v>1</v>
      </c>
      <c r="O21">
        <v>7.75</v>
      </c>
      <c r="P21">
        <v>7.75</v>
      </c>
      <c r="Q21">
        <v>7.75</v>
      </c>
      <c r="R21">
        <v>0</v>
      </c>
      <c r="S21">
        <v>0</v>
      </c>
      <c r="T21">
        <v>7.38</v>
      </c>
      <c r="U21">
        <v>0.37</v>
      </c>
    </row>
    <row r="22" spans="1:21" ht="14" thickBot="1">
      <c r="A22" s="49"/>
      <c r="B22" s="50"/>
      <c r="C22" s="50"/>
      <c r="D22" s="50"/>
      <c r="E22" s="50"/>
      <c r="F22" s="50"/>
      <c r="G22" s="50"/>
      <c r="H22" s="51"/>
      <c r="J22" t="s">
        <v>93</v>
      </c>
      <c r="K22" t="s">
        <v>1539</v>
      </c>
      <c r="L22" t="s">
        <v>1117</v>
      </c>
      <c r="M22">
        <v>1</v>
      </c>
      <c r="N22">
        <v>1</v>
      </c>
      <c r="O22">
        <v>13</v>
      </c>
      <c r="P22">
        <v>13</v>
      </c>
      <c r="Q22">
        <v>13</v>
      </c>
      <c r="R22">
        <v>0</v>
      </c>
      <c r="S22">
        <v>0</v>
      </c>
      <c r="T22">
        <v>12.11</v>
      </c>
      <c r="U22">
        <v>0.89</v>
      </c>
    </row>
    <row r="23" spans="1:21">
      <c r="J23" t="s">
        <v>93</v>
      </c>
      <c r="K23" t="s">
        <v>1539</v>
      </c>
      <c r="L23" t="s">
        <v>1119</v>
      </c>
      <c r="M23">
        <v>1</v>
      </c>
      <c r="N23">
        <v>3</v>
      </c>
      <c r="O23">
        <v>27.91</v>
      </c>
      <c r="P23">
        <v>14</v>
      </c>
      <c r="Q23">
        <v>43.9</v>
      </c>
      <c r="R23">
        <v>29.9</v>
      </c>
      <c r="S23">
        <v>10.199999999999999</v>
      </c>
      <c r="T23">
        <v>25.89</v>
      </c>
      <c r="U23">
        <v>2.02</v>
      </c>
    </row>
    <row r="24" spans="1:21">
      <c r="J24" t="s">
        <v>93</v>
      </c>
      <c r="K24" t="s">
        <v>1539</v>
      </c>
      <c r="L24" t="s">
        <v>1123</v>
      </c>
      <c r="M24">
        <v>1</v>
      </c>
      <c r="N24">
        <v>1</v>
      </c>
      <c r="O24">
        <v>33.25</v>
      </c>
      <c r="P24">
        <v>33.25</v>
      </c>
      <c r="Q24">
        <v>33.25</v>
      </c>
      <c r="R24">
        <v>0</v>
      </c>
      <c r="S24">
        <v>0</v>
      </c>
      <c r="T24">
        <v>31.03</v>
      </c>
      <c r="U24">
        <v>2.2200000000000002</v>
      </c>
    </row>
    <row r="25" spans="1:21">
      <c r="J25" t="s">
        <v>93</v>
      </c>
      <c r="K25" t="s">
        <v>1539</v>
      </c>
      <c r="L25" t="s">
        <v>1125</v>
      </c>
      <c r="M25">
        <v>1</v>
      </c>
      <c r="N25">
        <v>1</v>
      </c>
      <c r="O25">
        <v>123.79</v>
      </c>
      <c r="P25">
        <v>123.79</v>
      </c>
      <c r="Q25">
        <v>123.79</v>
      </c>
      <c r="R25">
        <v>0</v>
      </c>
      <c r="S25">
        <v>0</v>
      </c>
      <c r="T25">
        <v>116.04</v>
      </c>
      <c r="U25">
        <v>7.75</v>
      </c>
    </row>
    <row r="26" spans="1:21">
      <c r="J26" t="s">
        <v>93</v>
      </c>
      <c r="K26" t="s">
        <v>1539</v>
      </c>
      <c r="L26" t="s">
        <v>1127</v>
      </c>
      <c r="M26">
        <v>1</v>
      </c>
      <c r="N26">
        <v>1</v>
      </c>
      <c r="O26">
        <v>45.6</v>
      </c>
      <c r="P26">
        <v>45.6</v>
      </c>
      <c r="Q26">
        <v>45.6</v>
      </c>
      <c r="R26">
        <v>0</v>
      </c>
      <c r="S26">
        <v>0</v>
      </c>
      <c r="T26">
        <v>41.98</v>
      </c>
      <c r="U26">
        <v>3.62</v>
      </c>
    </row>
    <row r="27" spans="1:21">
      <c r="J27" t="s">
        <v>93</v>
      </c>
      <c r="K27" t="s">
        <v>1539</v>
      </c>
      <c r="L27" t="s">
        <v>1129</v>
      </c>
      <c r="M27">
        <v>1</v>
      </c>
      <c r="N27">
        <v>1</v>
      </c>
      <c r="O27">
        <v>25.89</v>
      </c>
      <c r="P27">
        <v>25.89</v>
      </c>
      <c r="Q27">
        <v>25.89</v>
      </c>
      <c r="R27">
        <v>0</v>
      </c>
      <c r="S27">
        <v>0</v>
      </c>
      <c r="T27">
        <v>24.27</v>
      </c>
      <c r="U27">
        <v>1.62</v>
      </c>
    </row>
    <row r="28" spans="1:21">
      <c r="J28" t="s">
        <v>113</v>
      </c>
      <c r="K28" t="s">
        <v>1539</v>
      </c>
      <c r="L28" t="s">
        <v>1121</v>
      </c>
      <c r="M28">
        <v>1</v>
      </c>
      <c r="N28">
        <v>3</v>
      </c>
      <c r="O28">
        <v>23.46</v>
      </c>
      <c r="P28">
        <v>12.5</v>
      </c>
      <c r="Q28">
        <v>34.799999999999997</v>
      </c>
      <c r="R28">
        <v>22.3</v>
      </c>
      <c r="S28">
        <v>10.79</v>
      </c>
      <c r="T28">
        <v>21.86</v>
      </c>
      <c r="U28">
        <v>1.6</v>
      </c>
    </row>
    <row r="29" spans="1:21">
      <c r="J29" t="s">
        <v>113</v>
      </c>
      <c r="K29" t="s">
        <v>1539</v>
      </c>
      <c r="L29" t="s">
        <v>1123</v>
      </c>
      <c r="M29">
        <v>1</v>
      </c>
      <c r="N29">
        <v>2</v>
      </c>
      <c r="O29">
        <v>32.17</v>
      </c>
      <c r="P29">
        <v>19.5</v>
      </c>
      <c r="Q29">
        <v>38</v>
      </c>
      <c r="R29">
        <v>18.5</v>
      </c>
      <c r="S29">
        <v>8.59</v>
      </c>
      <c r="T29">
        <v>29.97</v>
      </c>
      <c r="U29">
        <v>2.2000000000000002</v>
      </c>
    </row>
    <row r="30" spans="1:21">
      <c r="J30" t="s">
        <v>42</v>
      </c>
      <c r="K30" t="s">
        <v>1539</v>
      </c>
      <c r="L30" t="s">
        <v>1117</v>
      </c>
      <c r="M30">
        <v>1</v>
      </c>
      <c r="N30">
        <v>1</v>
      </c>
      <c r="O30">
        <v>15.5</v>
      </c>
      <c r="P30">
        <v>15.5</v>
      </c>
      <c r="Q30">
        <v>15.5</v>
      </c>
      <c r="R30">
        <v>0</v>
      </c>
      <c r="S30">
        <v>0</v>
      </c>
      <c r="T30">
        <v>14.47</v>
      </c>
      <c r="U30">
        <v>1.03</v>
      </c>
    </row>
    <row r="31" spans="1:21">
      <c r="J31" t="s">
        <v>42</v>
      </c>
      <c r="K31" t="s">
        <v>1539</v>
      </c>
      <c r="L31" t="s">
        <v>1125</v>
      </c>
      <c r="M31">
        <v>1</v>
      </c>
      <c r="N31">
        <v>1</v>
      </c>
      <c r="O31">
        <v>97</v>
      </c>
      <c r="P31">
        <v>97</v>
      </c>
      <c r="Q31">
        <v>97</v>
      </c>
      <c r="R31">
        <v>0</v>
      </c>
      <c r="S31">
        <v>0</v>
      </c>
      <c r="T31">
        <v>93.12</v>
      </c>
      <c r="U31">
        <v>3.88</v>
      </c>
    </row>
    <row r="32" spans="1:21">
      <c r="J32" t="s">
        <v>42</v>
      </c>
      <c r="K32" t="s">
        <v>1539</v>
      </c>
      <c r="L32" t="s">
        <v>1127</v>
      </c>
      <c r="M32">
        <v>2</v>
      </c>
      <c r="N32">
        <v>2</v>
      </c>
      <c r="O32">
        <v>18.329999999999998</v>
      </c>
      <c r="P32">
        <v>10</v>
      </c>
      <c r="Q32">
        <v>23.25</v>
      </c>
      <c r="R32">
        <v>13.25</v>
      </c>
      <c r="S32">
        <v>6.4</v>
      </c>
      <c r="T32">
        <v>16.68</v>
      </c>
      <c r="U32">
        <v>1.65</v>
      </c>
    </row>
    <row r="33" spans="10:21">
      <c r="J33" t="s">
        <v>42</v>
      </c>
      <c r="K33" t="s">
        <v>1539</v>
      </c>
      <c r="L33" t="s">
        <v>1129</v>
      </c>
      <c r="M33">
        <v>2</v>
      </c>
      <c r="N33">
        <v>2</v>
      </c>
      <c r="O33">
        <v>17.3</v>
      </c>
      <c r="P33">
        <v>6</v>
      </c>
      <c r="Q33">
        <v>31</v>
      </c>
      <c r="R33">
        <v>25</v>
      </c>
      <c r="S33">
        <v>12.44</v>
      </c>
      <c r="T33">
        <v>16.579999999999998</v>
      </c>
      <c r="U33">
        <v>0.73</v>
      </c>
    </row>
    <row r="34" spans="10:21">
      <c r="J34" t="s">
        <v>168</v>
      </c>
      <c r="K34" t="s">
        <v>1539</v>
      </c>
      <c r="L34" t="s">
        <v>1119</v>
      </c>
      <c r="M34">
        <v>1</v>
      </c>
      <c r="N34">
        <v>2</v>
      </c>
      <c r="O34">
        <v>10.220000000000001</v>
      </c>
      <c r="P34">
        <v>9.5</v>
      </c>
      <c r="Q34">
        <v>12.75</v>
      </c>
      <c r="R34">
        <v>3.25</v>
      </c>
      <c r="S34">
        <v>1.35</v>
      </c>
      <c r="T34">
        <v>9.75</v>
      </c>
      <c r="U34">
        <v>0.47</v>
      </c>
    </row>
    <row r="35" spans="10:21">
      <c r="J35" t="s">
        <v>121</v>
      </c>
      <c r="K35" t="s">
        <v>1539</v>
      </c>
      <c r="L35" t="s">
        <v>1121</v>
      </c>
      <c r="M35">
        <v>1</v>
      </c>
      <c r="N35">
        <v>3</v>
      </c>
      <c r="O35">
        <v>19.989999999999998</v>
      </c>
      <c r="P35">
        <v>2.5</v>
      </c>
      <c r="Q35">
        <v>36</v>
      </c>
      <c r="R35">
        <v>33.5</v>
      </c>
      <c r="S35">
        <v>13.03</v>
      </c>
      <c r="T35">
        <v>18.489999999999998</v>
      </c>
      <c r="U35">
        <v>1.5</v>
      </c>
    </row>
    <row r="36" spans="10:21">
      <c r="J36" t="s">
        <v>155</v>
      </c>
      <c r="K36" t="s">
        <v>1539</v>
      </c>
      <c r="L36" t="s">
        <v>1115</v>
      </c>
      <c r="M36">
        <v>1</v>
      </c>
      <c r="N36">
        <v>1</v>
      </c>
      <c r="O36">
        <v>46</v>
      </c>
      <c r="P36">
        <v>46</v>
      </c>
      <c r="Q36">
        <v>46</v>
      </c>
      <c r="R36">
        <v>0</v>
      </c>
      <c r="S36">
        <v>0</v>
      </c>
      <c r="T36">
        <v>43.04</v>
      </c>
      <c r="U36">
        <v>2.96</v>
      </c>
    </row>
    <row r="37" spans="10:21">
      <c r="J37" t="s">
        <v>155</v>
      </c>
      <c r="K37" t="s">
        <v>1539</v>
      </c>
      <c r="L37" t="s">
        <v>1117</v>
      </c>
      <c r="M37">
        <v>1</v>
      </c>
      <c r="N37">
        <v>1</v>
      </c>
      <c r="O37">
        <v>19.45</v>
      </c>
      <c r="P37">
        <v>19.45</v>
      </c>
      <c r="Q37">
        <v>19.45</v>
      </c>
      <c r="R37">
        <v>0</v>
      </c>
      <c r="S37">
        <v>0</v>
      </c>
      <c r="T37">
        <v>18.13</v>
      </c>
      <c r="U37">
        <v>1.32</v>
      </c>
    </row>
    <row r="38" spans="10:21">
      <c r="J38" t="s">
        <v>155</v>
      </c>
      <c r="K38" t="s">
        <v>1539</v>
      </c>
      <c r="L38" t="s">
        <v>1123</v>
      </c>
      <c r="M38">
        <v>1</v>
      </c>
      <c r="N38">
        <v>1</v>
      </c>
      <c r="O38">
        <v>14</v>
      </c>
      <c r="P38">
        <v>14</v>
      </c>
      <c r="Q38">
        <v>14</v>
      </c>
      <c r="R38">
        <v>0</v>
      </c>
      <c r="S38">
        <v>0</v>
      </c>
      <c r="T38">
        <v>13.21</v>
      </c>
      <c r="U38">
        <v>0.79</v>
      </c>
    </row>
    <row r="39" spans="10:21">
      <c r="J39" t="s">
        <v>50</v>
      </c>
      <c r="K39" t="s">
        <v>49</v>
      </c>
      <c r="L39" t="s">
        <v>1121</v>
      </c>
      <c r="M39">
        <v>1</v>
      </c>
      <c r="N39">
        <v>2</v>
      </c>
      <c r="O39">
        <v>25.58</v>
      </c>
      <c r="P39">
        <v>21</v>
      </c>
      <c r="Q39">
        <v>38</v>
      </c>
      <c r="R39">
        <v>17</v>
      </c>
      <c r="S39">
        <v>7.54</v>
      </c>
      <c r="T39">
        <v>24.26</v>
      </c>
      <c r="U39">
        <v>1.32</v>
      </c>
    </row>
    <row r="40" spans="10:21">
      <c r="J40" t="s">
        <v>79</v>
      </c>
      <c r="K40" t="s">
        <v>1539</v>
      </c>
      <c r="L40" t="s">
        <v>1123</v>
      </c>
      <c r="M40">
        <v>1</v>
      </c>
      <c r="N40">
        <v>2</v>
      </c>
      <c r="O40">
        <v>13.94</v>
      </c>
      <c r="P40">
        <v>9</v>
      </c>
      <c r="Q40">
        <v>21</v>
      </c>
      <c r="R40">
        <v>12</v>
      </c>
      <c r="S40">
        <v>5.91</v>
      </c>
      <c r="T40">
        <v>13.32</v>
      </c>
      <c r="U40">
        <v>0.62</v>
      </c>
    </row>
    <row r="41" spans="10:21">
      <c r="J41" t="s">
        <v>79</v>
      </c>
      <c r="K41" t="s">
        <v>1539</v>
      </c>
      <c r="L41" t="s">
        <v>1129</v>
      </c>
      <c r="M41">
        <v>1</v>
      </c>
      <c r="N41">
        <v>3</v>
      </c>
      <c r="O41">
        <v>18.73</v>
      </c>
      <c r="P41">
        <v>15</v>
      </c>
      <c r="Q41">
        <v>26</v>
      </c>
      <c r="R41">
        <v>11</v>
      </c>
      <c r="S41">
        <v>3.18</v>
      </c>
      <c r="T41">
        <v>17.57</v>
      </c>
      <c r="U41">
        <v>1.1499999999999999</v>
      </c>
    </row>
    <row r="42" spans="10:21">
      <c r="J42" t="s">
        <v>18</v>
      </c>
      <c r="K42" t="s">
        <v>1539</v>
      </c>
      <c r="L42" t="s">
        <v>1115</v>
      </c>
      <c r="M42">
        <v>1</v>
      </c>
      <c r="N42">
        <v>2</v>
      </c>
      <c r="O42">
        <v>18.54</v>
      </c>
      <c r="P42">
        <v>18</v>
      </c>
      <c r="Q42">
        <v>19</v>
      </c>
      <c r="R42">
        <v>1</v>
      </c>
      <c r="S42">
        <v>0.5</v>
      </c>
      <c r="T42">
        <v>17.54</v>
      </c>
      <c r="U42">
        <v>1</v>
      </c>
    </row>
    <row r="43" spans="10:21">
      <c r="J43" t="s">
        <v>18</v>
      </c>
      <c r="K43" t="s">
        <v>1539</v>
      </c>
      <c r="L43" t="s">
        <v>1117</v>
      </c>
      <c r="M43">
        <v>1</v>
      </c>
      <c r="N43">
        <v>1</v>
      </c>
      <c r="O43">
        <v>10</v>
      </c>
      <c r="P43">
        <v>10</v>
      </c>
      <c r="Q43">
        <v>10</v>
      </c>
      <c r="R43">
        <v>0</v>
      </c>
      <c r="S43">
        <v>0</v>
      </c>
      <c r="T43">
        <v>9.5</v>
      </c>
      <c r="U43">
        <v>0.5</v>
      </c>
    </row>
    <row r="44" spans="10:21">
      <c r="J44" t="s">
        <v>18</v>
      </c>
      <c r="K44" t="s">
        <v>1539</v>
      </c>
      <c r="L44" t="s">
        <v>1119</v>
      </c>
      <c r="M44">
        <v>1</v>
      </c>
      <c r="N44">
        <v>4</v>
      </c>
      <c r="O44">
        <v>19.46</v>
      </c>
      <c r="P44">
        <v>9.1999999999999993</v>
      </c>
      <c r="Q44">
        <v>81</v>
      </c>
      <c r="R44">
        <v>71.8</v>
      </c>
      <c r="S44">
        <v>23.51</v>
      </c>
      <c r="T44">
        <v>18.170000000000002</v>
      </c>
      <c r="U44">
        <v>1.29</v>
      </c>
    </row>
    <row r="45" spans="10:21">
      <c r="J45" t="s">
        <v>26</v>
      </c>
      <c r="K45" t="s">
        <v>128</v>
      </c>
      <c r="L45" t="s">
        <v>1115</v>
      </c>
      <c r="M45">
        <v>1</v>
      </c>
      <c r="N45">
        <v>3</v>
      </c>
      <c r="O45">
        <v>16.22</v>
      </c>
      <c r="P45">
        <v>14</v>
      </c>
      <c r="Q45">
        <v>18</v>
      </c>
      <c r="R45">
        <v>4</v>
      </c>
      <c r="S45">
        <v>1.99</v>
      </c>
      <c r="T45">
        <v>15.32</v>
      </c>
      <c r="U45">
        <v>0.9</v>
      </c>
    </row>
    <row r="46" spans="10:21">
      <c r="J46" t="s">
        <v>26</v>
      </c>
      <c r="K46" t="s">
        <v>25</v>
      </c>
      <c r="L46" t="s">
        <v>1117</v>
      </c>
      <c r="M46">
        <v>1</v>
      </c>
      <c r="N46">
        <v>4</v>
      </c>
      <c r="O46">
        <v>20.9</v>
      </c>
      <c r="P46">
        <v>17</v>
      </c>
      <c r="Q46">
        <v>22</v>
      </c>
      <c r="R46">
        <v>5</v>
      </c>
      <c r="S46">
        <v>1.46</v>
      </c>
      <c r="T46">
        <v>19.350000000000001</v>
      </c>
      <c r="U46">
        <v>1.55</v>
      </c>
    </row>
    <row r="47" spans="10:21">
      <c r="J47" t="s">
        <v>26</v>
      </c>
      <c r="K47" t="s">
        <v>34</v>
      </c>
      <c r="L47" t="s">
        <v>1117</v>
      </c>
      <c r="M47">
        <v>1</v>
      </c>
      <c r="N47">
        <v>2</v>
      </c>
      <c r="O47">
        <v>32.799999999999997</v>
      </c>
      <c r="P47">
        <v>25</v>
      </c>
      <c r="Q47">
        <v>40</v>
      </c>
      <c r="R47">
        <v>15</v>
      </c>
      <c r="S47">
        <v>7.49</v>
      </c>
      <c r="T47">
        <v>31.76</v>
      </c>
      <c r="U47">
        <v>1.04</v>
      </c>
    </row>
    <row r="48" spans="10:21">
      <c r="J48" t="s">
        <v>26</v>
      </c>
      <c r="K48" t="s">
        <v>34</v>
      </c>
      <c r="L48" t="s">
        <v>1127</v>
      </c>
      <c r="M48">
        <v>1</v>
      </c>
      <c r="N48">
        <v>1</v>
      </c>
      <c r="O48">
        <v>30</v>
      </c>
      <c r="P48">
        <v>30</v>
      </c>
      <c r="Q48">
        <v>30</v>
      </c>
      <c r="R48">
        <v>0</v>
      </c>
      <c r="S48">
        <v>0</v>
      </c>
      <c r="T48">
        <v>29.17</v>
      </c>
      <c r="U48">
        <v>0.83</v>
      </c>
    </row>
    <row r="49" spans="10:21">
      <c r="J49" t="s">
        <v>26</v>
      </c>
      <c r="K49" t="s">
        <v>148</v>
      </c>
      <c r="L49" t="s">
        <v>1129</v>
      </c>
      <c r="M49">
        <v>1</v>
      </c>
      <c r="N49">
        <v>2</v>
      </c>
      <c r="O49">
        <v>13.73</v>
      </c>
      <c r="P49">
        <v>9.65</v>
      </c>
      <c r="Q49">
        <v>18.399999999999999</v>
      </c>
      <c r="R49">
        <v>8.75</v>
      </c>
      <c r="S49">
        <v>4.3600000000000003</v>
      </c>
      <c r="T49">
        <v>12.94</v>
      </c>
      <c r="U49">
        <v>0.79</v>
      </c>
    </row>
  </sheetData>
  <mergeCells count="2">
    <mergeCell ref="A2:H22"/>
    <mergeCell ref="A1:H1"/>
  </mergeCells>
  <pageMargins left="0.7" right="0.7" top="0.75" bottom="0.75" header="0.3" footer="0.3"/>
  <tableParts count="1">
    <tablePart r:id="rId1"/>
  </tableParts>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9BD28-9DF5-804C-B557-65D238879A6C}">
  <dimension ref="A1:K45"/>
  <sheetViews>
    <sheetView showGridLines="0" workbookViewId="0">
      <selection activeCell="B47" sqref="B47"/>
    </sheetView>
  </sheetViews>
  <sheetFormatPr baseColWidth="10" defaultRowHeight="13"/>
  <cols>
    <col min="2" max="2" width="15.5" bestFit="1" customWidth="1"/>
    <col min="3" max="3" width="15.83203125" bestFit="1" customWidth="1"/>
    <col min="4" max="5" width="10.83203125" bestFit="1" customWidth="1"/>
    <col min="6" max="6" width="13.33203125" bestFit="1" customWidth="1"/>
    <col min="7" max="7" width="13.5" bestFit="1" customWidth="1"/>
    <col min="8" max="8" width="11.33203125" bestFit="1" customWidth="1"/>
    <col min="9" max="9" width="8" bestFit="1" customWidth="1"/>
    <col min="10" max="10" width="7.83203125" bestFit="1" customWidth="1"/>
    <col min="11" max="11" width="10.6640625" bestFit="1" customWidth="1"/>
    <col min="12" max="12" width="14.6640625" bestFit="1" customWidth="1"/>
    <col min="13" max="13" width="16.5" bestFit="1" customWidth="1"/>
    <col min="14" max="14" width="14.6640625" bestFit="1" customWidth="1"/>
    <col min="15" max="15" width="16.5" bestFit="1" customWidth="1"/>
    <col min="16" max="16" width="14.6640625" bestFit="1" customWidth="1"/>
    <col min="17" max="17" width="16.5" bestFit="1" customWidth="1"/>
    <col min="18" max="18" width="14.6640625" bestFit="1" customWidth="1"/>
    <col min="19" max="19" width="20.83203125" bestFit="1" customWidth="1"/>
    <col min="20" max="20" width="19.1640625" bestFit="1" customWidth="1"/>
  </cols>
  <sheetData>
    <row r="1" spans="1:11" ht="22" thickBot="1">
      <c r="A1" s="19" t="s">
        <v>1617</v>
      </c>
      <c r="B1" s="20" t="s">
        <v>1602</v>
      </c>
      <c r="C1" s="21"/>
      <c r="D1" s="21"/>
      <c r="E1" s="21"/>
      <c r="F1" s="21"/>
      <c r="G1" s="21"/>
      <c r="H1" s="22"/>
    </row>
    <row r="3" spans="1:11">
      <c r="B3" s="12" t="s">
        <v>1639</v>
      </c>
      <c r="C3" s="12" t="s">
        <v>1627</v>
      </c>
    </row>
    <row r="4" spans="1:11">
      <c r="B4" s="12" t="s">
        <v>6</v>
      </c>
      <c r="C4" t="s">
        <v>1115</v>
      </c>
      <c r="D4" t="s">
        <v>1117</v>
      </c>
      <c r="E4" t="s">
        <v>1119</v>
      </c>
      <c r="F4" t="s">
        <v>1121</v>
      </c>
      <c r="G4" t="s">
        <v>1123</v>
      </c>
      <c r="H4" t="s">
        <v>1125</v>
      </c>
      <c r="I4" t="s">
        <v>1127</v>
      </c>
      <c r="J4" t="s">
        <v>1129</v>
      </c>
      <c r="K4" t="s">
        <v>1184</v>
      </c>
    </row>
    <row r="5" spans="1:11">
      <c r="B5" s="13"/>
      <c r="C5">
        <v>221.9</v>
      </c>
      <c r="D5">
        <v>57.95</v>
      </c>
      <c r="E5">
        <v>76.38</v>
      </c>
      <c r="F5">
        <v>88.249999999999986</v>
      </c>
      <c r="G5">
        <v>93.36</v>
      </c>
      <c r="H5">
        <v>220.79000000000002</v>
      </c>
      <c r="I5">
        <v>63.93</v>
      </c>
      <c r="J5">
        <v>86.320000000000007</v>
      </c>
      <c r="K5">
        <v>908.88000000000011</v>
      </c>
    </row>
    <row r="6" spans="1:11">
      <c r="B6" s="13" t="s">
        <v>49</v>
      </c>
      <c r="F6">
        <v>25.58</v>
      </c>
      <c r="K6">
        <v>25.58</v>
      </c>
    </row>
    <row r="7" spans="1:11">
      <c r="B7" s="13" t="s">
        <v>25</v>
      </c>
      <c r="D7">
        <v>20.9</v>
      </c>
      <c r="K7">
        <v>20.9</v>
      </c>
    </row>
    <row r="8" spans="1:11">
      <c r="B8" s="13" t="s">
        <v>148</v>
      </c>
      <c r="J8">
        <v>13.73</v>
      </c>
      <c r="K8">
        <v>13.73</v>
      </c>
    </row>
    <row r="9" spans="1:11">
      <c r="B9" s="13" t="s">
        <v>34</v>
      </c>
      <c r="D9">
        <v>32.799999999999997</v>
      </c>
      <c r="I9">
        <v>30</v>
      </c>
      <c r="K9">
        <v>62.8</v>
      </c>
    </row>
    <row r="10" spans="1:11">
      <c r="B10" s="13" t="s">
        <v>182</v>
      </c>
      <c r="G10">
        <v>7</v>
      </c>
      <c r="H10">
        <v>32.799999999999997</v>
      </c>
      <c r="I10">
        <v>53</v>
      </c>
      <c r="K10">
        <v>92.8</v>
      </c>
    </row>
    <row r="11" spans="1:11">
      <c r="B11" s="13" t="s">
        <v>128</v>
      </c>
      <c r="C11">
        <v>16.22</v>
      </c>
      <c r="K11">
        <v>16.22</v>
      </c>
    </row>
    <row r="12" spans="1:11">
      <c r="B12" s="13" t="s">
        <v>1541</v>
      </c>
      <c r="D12">
        <v>28.5</v>
      </c>
      <c r="E12">
        <v>49.3</v>
      </c>
      <c r="H12">
        <v>15.37</v>
      </c>
      <c r="K12">
        <v>93.17</v>
      </c>
    </row>
    <row r="13" spans="1:11">
      <c r="B13" s="13" t="s">
        <v>63</v>
      </c>
      <c r="C13">
        <v>15</v>
      </c>
      <c r="D13">
        <v>43.9</v>
      </c>
      <c r="E13">
        <v>17.45</v>
      </c>
      <c r="H13">
        <v>39</v>
      </c>
      <c r="J13">
        <v>62.5</v>
      </c>
      <c r="K13">
        <v>177.85</v>
      </c>
    </row>
    <row r="14" spans="1:11">
      <c r="B14" s="13" t="s">
        <v>1184</v>
      </c>
      <c r="C14">
        <v>253.12</v>
      </c>
      <c r="D14">
        <v>184.04999999999998</v>
      </c>
      <c r="E14">
        <v>143.13</v>
      </c>
      <c r="F14">
        <v>113.82999999999998</v>
      </c>
      <c r="G14">
        <v>100.36</v>
      </c>
      <c r="H14">
        <v>307.96000000000004</v>
      </c>
      <c r="I14">
        <v>146.93</v>
      </c>
      <c r="J14">
        <v>162.55000000000001</v>
      </c>
      <c r="K14">
        <v>1411.93</v>
      </c>
    </row>
    <row r="27" spans="2:11">
      <c r="B27" s="12" t="s">
        <v>1639</v>
      </c>
      <c r="C27" s="12" t="s">
        <v>1627</v>
      </c>
    </row>
    <row r="28" spans="2:11">
      <c r="B28" s="12" t="s">
        <v>8</v>
      </c>
      <c r="C28" t="s">
        <v>1115</v>
      </c>
      <c r="D28" t="s">
        <v>1117</v>
      </c>
      <c r="E28" t="s">
        <v>1119</v>
      </c>
      <c r="F28" t="s">
        <v>1121</v>
      </c>
      <c r="G28" t="s">
        <v>1123</v>
      </c>
      <c r="H28" t="s">
        <v>1125</v>
      </c>
      <c r="I28" t="s">
        <v>1127</v>
      </c>
      <c r="J28" t="s">
        <v>1129</v>
      </c>
      <c r="K28" t="s">
        <v>1184</v>
      </c>
    </row>
    <row r="29" spans="2:11">
      <c r="B29" s="13" t="s">
        <v>64</v>
      </c>
      <c r="C29">
        <v>15</v>
      </c>
      <c r="D29">
        <v>43.9</v>
      </c>
      <c r="E29">
        <v>17.45</v>
      </c>
      <c r="G29">
        <v>7</v>
      </c>
      <c r="H29">
        <v>71.8</v>
      </c>
      <c r="I29">
        <v>53</v>
      </c>
      <c r="J29">
        <v>62.5</v>
      </c>
      <c r="K29">
        <v>270.64999999999998</v>
      </c>
    </row>
    <row r="30" spans="2:11">
      <c r="B30" s="13" t="s">
        <v>86</v>
      </c>
      <c r="C30">
        <v>4.5</v>
      </c>
      <c r="K30">
        <v>4.5</v>
      </c>
    </row>
    <row r="31" spans="2:11">
      <c r="B31" s="13" t="s">
        <v>192</v>
      </c>
      <c r="D31">
        <v>28.5</v>
      </c>
      <c r="E31">
        <v>49.3</v>
      </c>
      <c r="H31">
        <v>15.37</v>
      </c>
      <c r="K31">
        <v>93.17</v>
      </c>
    </row>
    <row r="32" spans="2:11">
      <c r="B32" s="13" t="s">
        <v>161</v>
      </c>
      <c r="J32">
        <v>11.15</v>
      </c>
      <c r="K32">
        <v>11.15</v>
      </c>
    </row>
    <row r="33" spans="2:11">
      <c r="B33" s="13" t="s">
        <v>176</v>
      </c>
      <c r="C33">
        <v>18</v>
      </c>
      <c r="E33">
        <v>18.79</v>
      </c>
      <c r="K33">
        <v>36.79</v>
      </c>
    </row>
    <row r="34" spans="2:11">
      <c r="B34" s="13" t="s">
        <v>140</v>
      </c>
      <c r="C34">
        <v>127.11</v>
      </c>
      <c r="F34">
        <v>44.8</v>
      </c>
      <c r="J34">
        <v>13.25</v>
      </c>
      <c r="K34">
        <v>185.16</v>
      </c>
    </row>
    <row r="35" spans="2:11">
      <c r="B35" s="13" t="s">
        <v>93</v>
      </c>
      <c r="C35">
        <v>7.75</v>
      </c>
      <c r="D35">
        <v>13</v>
      </c>
      <c r="E35">
        <v>27.91</v>
      </c>
      <c r="G35">
        <v>33.25</v>
      </c>
      <c r="H35">
        <v>123.79</v>
      </c>
      <c r="I35">
        <v>45.6</v>
      </c>
      <c r="J35">
        <v>25.89</v>
      </c>
      <c r="K35">
        <v>277.19</v>
      </c>
    </row>
    <row r="36" spans="2:11">
      <c r="B36" s="13" t="s">
        <v>113</v>
      </c>
      <c r="F36">
        <v>23.46</v>
      </c>
      <c r="G36">
        <v>32.17</v>
      </c>
      <c r="K36">
        <v>55.63</v>
      </c>
    </row>
    <row r="37" spans="2:11">
      <c r="B37" s="13" t="s">
        <v>42</v>
      </c>
      <c r="D37">
        <v>15.5</v>
      </c>
      <c r="H37">
        <v>97</v>
      </c>
      <c r="I37">
        <v>18.329999999999998</v>
      </c>
      <c r="J37">
        <v>17.3</v>
      </c>
      <c r="K37">
        <v>148.13</v>
      </c>
    </row>
    <row r="38" spans="2:11">
      <c r="B38" s="13" t="s">
        <v>168</v>
      </c>
      <c r="E38">
        <v>10.220000000000001</v>
      </c>
      <c r="K38">
        <v>10.220000000000001</v>
      </c>
    </row>
    <row r="39" spans="2:11">
      <c r="B39" s="13" t="s">
        <v>121</v>
      </c>
      <c r="F39">
        <v>19.989999999999998</v>
      </c>
      <c r="K39">
        <v>19.989999999999998</v>
      </c>
    </row>
    <row r="40" spans="2:11">
      <c r="B40" s="13" t="s">
        <v>155</v>
      </c>
      <c r="C40">
        <v>46</v>
      </c>
      <c r="D40">
        <v>19.45</v>
      </c>
      <c r="G40">
        <v>14</v>
      </c>
      <c r="K40">
        <v>79.45</v>
      </c>
    </row>
    <row r="41" spans="2:11">
      <c r="B41" s="13" t="s">
        <v>50</v>
      </c>
      <c r="F41">
        <v>25.58</v>
      </c>
      <c r="K41">
        <v>25.58</v>
      </c>
    </row>
    <row r="42" spans="2:11">
      <c r="B42" s="13" t="s">
        <v>79</v>
      </c>
      <c r="G42">
        <v>13.94</v>
      </c>
      <c r="J42">
        <v>18.73</v>
      </c>
      <c r="K42">
        <v>32.67</v>
      </c>
    </row>
    <row r="43" spans="2:11">
      <c r="B43" s="13" t="s">
        <v>18</v>
      </c>
      <c r="C43">
        <v>18.54</v>
      </c>
      <c r="D43">
        <v>10</v>
      </c>
      <c r="E43">
        <v>19.46</v>
      </c>
      <c r="K43">
        <v>48</v>
      </c>
    </row>
    <row r="44" spans="2:11">
      <c r="B44" s="13" t="s">
        <v>26</v>
      </c>
      <c r="C44">
        <v>16.22</v>
      </c>
      <c r="D44">
        <v>53.699999999999996</v>
      </c>
      <c r="I44">
        <v>30</v>
      </c>
      <c r="J44">
        <v>13.73</v>
      </c>
      <c r="K44">
        <v>113.64999999999999</v>
      </c>
    </row>
    <row r="45" spans="2:11">
      <c r="B45" s="13" t="s">
        <v>1184</v>
      </c>
      <c r="C45">
        <v>253.12</v>
      </c>
      <c r="D45">
        <v>184.05</v>
      </c>
      <c r="E45">
        <v>143.13</v>
      </c>
      <c r="F45">
        <v>113.82999999999998</v>
      </c>
      <c r="G45">
        <v>100.36</v>
      </c>
      <c r="H45">
        <v>307.96000000000004</v>
      </c>
      <c r="I45">
        <v>146.93</v>
      </c>
      <c r="J45">
        <v>162.54999999999998</v>
      </c>
      <c r="K45">
        <v>1411.93</v>
      </c>
    </row>
  </sheetData>
  <pageMargins left="0.7" right="0.7" top="0.75" bottom="0.75" header="0.3" footer="0.3"/>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55ACFA9E-52C2-4553-AC5D-FC107258C02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61</vt:i4>
      </vt:variant>
    </vt:vector>
  </HeadingPairs>
  <TitlesOfParts>
    <vt:vector size="61" baseType="lpstr">
      <vt:lpstr>Suppliers</vt:lpstr>
      <vt:lpstr>Shippers</vt:lpstr>
      <vt:lpstr>Products</vt:lpstr>
      <vt:lpstr>Orders</vt:lpstr>
      <vt:lpstr>Employees</vt:lpstr>
      <vt:lpstr>Order Details</vt:lpstr>
      <vt:lpstr>Customers</vt:lpstr>
      <vt:lpstr>Categories</vt:lpstr>
      <vt:lpstr>EDA Questions</vt:lpstr>
      <vt:lpstr>Query 1 (5)</vt:lpstr>
      <vt:lpstr>Query 1 SQL</vt:lpstr>
      <vt:lpstr>Query 2 (3)</vt:lpstr>
      <vt:lpstr>Q-1 Analysis</vt:lpstr>
      <vt:lpstr>Query 2 SQL</vt:lpstr>
      <vt:lpstr>Query 3 (3)</vt:lpstr>
      <vt:lpstr>Q-2 Analysis</vt:lpstr>
      <vt:lpstr>Query 3 SQL</vt:lpstr>
      <vt:lpstr>Query 4(a) (3)</vt:lpstr>
      <vt:lpstr>Query 4(b) (3)</vt:lpstr>
      <vt:lpstr>Q-3 Analysis</vt:lpstr>
      <vt:lpstr>Query 4 SQL</vt:lpstr>
      <vt:lpstr>Query 5 1</vt:lpstr>
      <vt:lpstr>Q-4 Analysis</vt:lpstr>
      <vt:lpstr>Query 5.1 SQL</vt:lpstr>
      <vt:lpstr>Query 5 2</vt:lpstr>
      <vt:lpstr>Q-5.1 Analysis</vt:lpstr>
      <vt:lpstr>Query 5.2 SQL</vt:lpstr>
      <vt:lpstr>Query 6(a)</vt:lpstr>
      <vt:lpstr>Query 6(b)</vt:lpstr>
      <vt:lpstr>Q-5.2 Analysis</vt:lpstr>
      <vt:lpstr>Query 6 SQL</vt:lpstr>
      <vt:lpstr>Query 7(a)</vt:lpstr>
      <vt:lpstr>Query 7(b)</vt:lpstr>
      <vt:lpstr>Q-6 Analysis</vt:lpstr>
      <vt:lpstr>Query 7 SQL</vt:lpstr>
      <vt:lpstr>Query 8(a)</vt:lpstr>
      <vt:lpstr>Query 8(b)</vt:lpstr>
      <vt:lpstr>Q-7 Analysis</vt:lpstr>
      <vt:lpstr>Query 8 SQL</vt:lpstr>
      <vt:lpstr>Query 9 (2)</vt:lpstr>
      <vt:lpstr>Q-8 Analysis</vt:lpstr>
      <vt:lpstr>Query 9 SQL</vt:lpstr>
      <vt:lpstr>Query 10 (2)</vt:lpstr>
      <vt:lpstr>Q-9 Analysis</vt:lpstr>
      <vt:lpstr>Query 10 SQL</vt:lpstr>
      <vt:lpstr>Query 11 (2)</vt:lpstr>
      <vt:lpstr>Q-10 Analysis</vt:lpstr>
      <vt:lpstr>Query 11 SQL</vt:lpstr>
      <vt:lpstr>Query 12(a)</vt:lpstr>
      <vt:lpstr>Query 12(b)</vt:lpstr>
      <vt:lpstr>Query 12(c)</vt:lpstr>
      <vt:lpstr>Q-11 Analysis</vt:lpstr>
      <vt:lpstr>Query 12 SQL</vt:lpstr>
      <vt:lpstr>Query 13(a)</vt:lpstr>
      <vt:lpstr>Query 13(b)</vt:lpstr>
      <vt:lpstr>Q-12 Analysis</vt:lpstr>
      <vt:lpstr>Query 13 SQL</vt:lpstr>
      <vt:lpstr>Query 14 (2)</vt:lpstr>
      <vt:lpstr>Q-13 Analysis</vt:lpstr>
      <vt:lpstr>Query 14 SQL</vt:lpstr>
      <vt:lpstr>Q-14 Analysis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Pavan kumar magandi</cp:lastModifiedBy>
  <cp:revision/>
  <dcterms:created xsi:type="dcterms:W3CDTF">2026-04-26T16:53:13Z</dcterms:created>
  <dcterms:modified xsi:type="dcterms:W3CDTF">2026-05-08T12:53:26Z</dcterms:modified>
  <cp:category/>
  <cp:contentStatus/>
</cp:coreProperties>
</file>